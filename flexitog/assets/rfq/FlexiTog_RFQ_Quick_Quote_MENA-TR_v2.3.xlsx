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lockStructure="true"/>
  <bookViews>
    <workbookView showHorizontalScroll="true" showVerticalScroll="true" showSheetTabs="true" xWindow="0" yWindow="0" windowWidth="16384" windowHeight="8192" tabRatio="500" firstSheet="0" activeTab="0"/>
  </bookViews>
  <sheets>
    <sheet name="Test Shipments" sheetId="1" state="visible" r:id="rId3"/>
    <sheet name="Questions" sheetId="2" state="visible" r:id="rId4"/>
    <sheet name="Warehouse" sheetId="3" state="visible" r:id="rId5"/>
    <sheet name="Export"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<sst xmlns="http://schemas.openxmlformats.org/spreadsheetml/2006/main" count="2463" uniqueCount="961">
  <si>
    <t xml:space="preserve">FlexiTog EU: quick quote for MENA and Türkiye</t>
  </si>
  <si>
    <t xml:space="preserve">FlexiTog EU B.V. (Helmond, NL, part of RefrigiWear Group) is selecting logistics partners for cold-store workwear shipments to Saudi Arabia, UAE, Kuwait, Qatar, Türkiye, Morocco, Algeria, Egypt and Tunisia. Estimated 140 to 330 shipments per year, about three quarters to the GCC. Estimates only, not a volume commitment.</t>
  </si>
  <si>
    <t xml:space="preserve">FlexiTog contact</t>
  </si>
  <si>
    <t xml:space="preserve">Sami El Hassouni, Logistics Engineering</t>
  </si>
  <si>
    <t xml:space="preserve">Input check</t>
  </si>
  <si>
    <t xml:space="preserve">E-mail</t>
  </si>
  <si>
    <t xml:space="preserve">[fill in before sending]</t>
  </si>
  <si>
    <t xml:space="preserve">Please reply by</t>
  </si>
  <si>
    <t xml:space="preserve">Time needed</t>
  </si>
  <si>
    <t xml:space="preserve">Option 1: about 45 to 60 minutes. Options 2 and 3: about 30 minutes extra, only if you offer them</t>
  </si>
  <si>
    <t xml:space="preserve">How to fill in: three ways to deliver the same shipment</t>
  </si>
  <si>
    <t xml:space="preserve">Option 1 (required): you collect in Helmond and deliver to the consignee door. Freight forwarding or express.</t>
  </si>
  <si>
    <t xml:space="preserve">Option 2 (optional): FlexiTog stock in your regional warehouse. Price the delivery from your warehouse to the door here, and your warehouse rates on the Warehouse sheet.</t>
  </si>
  <si>
    <t xml:space="preserve">Option 3 (optional): any other service you advise, for example road, sea, economy air or consolidation.</t>
  </si>
  <si>
    <t xml:space="preserve">Every price is all-in DAP to the door in EUR excl. VAT, including fuel and every fixed fee. Not included: import duty, import VAT and import clearance fees (paid by the consignee).</t>
  </si>
  <si>
    <t xml:space="preserve">Leave a price blank for a service you do not offer. Use your own volumetric rule. Cartons are 60 x 40 x 40 cm, non-dangerous workwear, stackable. Paste values only, not formulas.</t>
  </si>
  <si>
    <t xml:space="preserve">Option 1: from Helmond (required)</t>
  </si>
  <si>
    <t xml:space="preserve">Option 2: from your warehouse (optional)</t>
  </si>
  <si>
    <t xml:space="preserve">Option 3: other option you offer (optional)</t>
  </si>
  <si>
    <t xml:space="preserve">ID</t>
  </si>
  <si>
    <t xml:space="preserve">Lane</t>
  </si>
  <si>
    <t xml:space="preserve">Destination</t>
  </si>
  <si>
    <t xml:space="preserve">Delivery city</t>
  </si>
  <si>
    <t xml:space="preserve">Size</t>
  </si>
  <si>
    <t xml:space="preserve">Gross kg</t>
  </si>
  <si>
    <t xml:space="preserve">Cartons</t>
  </si>
  <si>
    <t xml:space="preserve">Volume m3</t>
  </si>
  <si>
    <t xml:space="preserve">Service</t>
  </si>
  <si>
    <t xml:space="preserve">All-in price EUR</t>
  </si>
  <si>
    <t xml:space="preserve">Transit days</t>
  </si>
  <si>
    <t xml:space="preserve">Delivery price EUR</t>
  </si>
  <si>
    <t xml:space="preserve">Comment (optional)</t>
  </si>
  <si>
    <t xml:space="preserve">Check</t>
  </si>
  <si>
    <t xml:space="preserve">EX</t>
  </si>
  <si>
    <t xml:space="preserve">Example</t>
  </si>
  <si>
    <t xml:space="preserve">Netherlands</t>
  </si>
  <si>
    <t xml:space="preserve">Rotterdam</t>
  </si>
  <si>
    <t xml:space="preserve">S</t>
  </si>
  <si>
    <t xml:space="preserve">Express parcel</t>
  </si>
  <si>
    <t xml:space="preserve">Road economy</t>
  </si>
  <si>
    <t xml:space="preserve">Fuel 30% included, Nov 2026</t>
  </si>
  <si>
    <t xml:space="preserve">OK</t>
  </si>
  <si>
    <t xml:space="preserve">T01</t>
  </si>
  <si>
    <t xml:space="preserve">L01</t>
  </si>
  <si>
    <t xml:space="preserve">Saudi Arabia</t>
  </si>
  <si>
    <t xml:space="preserve">Jeddah</t>
  </si>
  <si>
    <t xml:space="preserve">T02</t>
  </si>
  <si>
    <t xml:space="preserve">M</t>
  </si>
  <si>
    <t xml:space="preserve">T03</t>
  </si>
  <si>
    <t xml:space="preserve">L</t>
  </si>
  <si>
    <t xml:space="preserve">T04</t>
  </si>
  <si>
    <t xml:space="preserve">XL</t>
  </si>
  <si>
    <t xml:space="preserve">T05</t>
  </si>
  <si>
    <t xml:space="preserve">XXL</t>
  </si>
  <si>
    <t xml:space="preserve">T06</t>
  </si>
  <si>
    <t xml:space="preserve">L02</t>
  </si>
  <si>
    <t xml:space="preserve">United Arab Emirates</t>
  </si>
  <si>
    <t xml:space="preserve">Dubai</t>
  </si>
  <si>
    <t xml:space="preserve">T07</t>
  </si>
  <si>
    <t xml:space="preserve">T08</t>
  </si>
  <si>
    <t xml:space="preserve">T09</t>
  </si>
  <si>
    <t xml:space="preserve">L03</t>
  </si>
  <si>
    <t xml:space="preserve">Kuwait</t>
  </si>
  <si>
    <t xml:space="preserve">Kuwait City</t>
  </si>
  <si>
    <t xml:space="preserve">T10</t>
  </si>
  <si>
    <t xml:space="preserve">T11</t>
  </si>
  <si>
    <t xml:space="preserve">T12</t>
  </si>
  <si>
    <t xml:space="preserve">T13</t>
  </si>
  <si>
    <t xml:space="preserve">L04</t>
  </si>
  <si>
    <t xml:space="preserve">Qatar</t>
  </si>
  <si>
    <t xml:space="preserve">Doha</t>
  </si>
  <si>
    <t xml:space="preserve">T14</t>
  </si>
  <si>
    <t xml:space="preserve">T15</t>
  </si>
  <si>
    <t xml:space="preserve">T16</t>
  </si>
  <si>
    <t xml:space="preserve">L05</t>
  </si>
  <si>
    <t xml:space="preserve">Türkiye</t>
  </si>
  <si>
    <t xml:space="preserve">Istanbul</t>
  </si>
  <si>
    <t xml:space="preserve">T17</t>
  </si>
  <si>
    <t xml:space="preserve">T18</t>
  </si>
  <si>
    <t xml:space="preserve">T19</t>
  </si>
  <si>
    <t xml:space="preserve">L06</t>
  </si>
  <si>
    <t xml:space="preserve">Morocco</t>
  </si>
  <si>
    <t xml:space="preserve">Casablanca</t>
  </si>
  <si>
    <t xml:space="preserve">T20</t>
  </si>
  <si>
    <t xml:space="preserve">T21</t>
  </si>
  <si>
    <t xml:space="preserve">T22</t>
  </si>
  <si>
    <t xml:space="preserve">T23</t>
  </si>
  <si>
    <t xml:space="preserve">L07</t>
  </si>
  <si>
    <t xml:space="preserve">Algeria</t>
  </si>
  <si>
    <t xml:space="preserve">Algiers</t>
  </si>
  <si>
    <t xml:space="preserve">T24</t>
  </si>
  <si>
    <t xml:space="preserve">T25</t>
  </si>
  <si>
    <t xml:space="preserve">T26</t>
  </si>
  <si>
    <t xml:space="preserve">T27</t>
  </si>
  <si>
    <t xml:space="preserve">L08</t>
  </si>
  <si>
    <t xml:space="preserve">Egypt</t>
  </si>
  <si>
    <t xml:space="preserve">Cairo</t>
  </si>
  <si>
    <t xml:space="preserve">T28</t>
  </si>
  <si>
    <t xml:space="preserve">T29</t>
  </si>
  <si>
    <t xml:space="preserve">T30</t>
  </si>
  <si>
    <t xml:space="preserve">T31</t>
  </si>
  <si>
    <t xml:space="preserve">L09</t>
  </si>
  <si>
    <t xml:space="preserve">Tunisia</t>
  </si>
  <si>
    <t xml:space="preserve">Sousse</t>
  </si>
  <si>
    <t xml:space="preserve">T32</t>
  </si>
  <si>
    <t xml:space="preserve">T33</t>
  </si>
  <si>
    <t xml:space="preserve">Sizes: S = parcel, M = small air shipment, L = about 1 pallet, XL = about 4 pallets, XXL = about 10 pallets. Example shipments for pricing only, not a volume commitment.</t>
  </si>
  <si>
    <t xml:space="preserve">Questions: service level, quality and options</t>
  </si>
  <si>
    <t xml:space="preserve">Choose from the dropdown where one is shown. Add context in Comment.</t>
  </si>
  <si>
    <t xml:space="preserve">#</t>
  </si>
  <si>
    <t xml:space="preserve">Question</t>
  </si>
  <si>
    <t xml:space="preserve">Your answer</t>
  </si>
  <si>
    <t xml:space="preserve">A. Contact, validity and commercial</t>
  </si>
  <si>
    <t xml:space="preserve">Q01</t>
  </si>
  <si>
    <t xml:space="preserve">Company name</t>
  </si>
  <si>
    <t xml:space="preserve">Q02</t>
  </si>
  <si>
    <t xml:space="preserve">Contact person for this quote</t>
  </si>
  <si>
    <t xml:space="preserve">Q03</t>
  </si>
  <si>
    <t xml:space="preserve">Contact e-mail</t>
  </si>
  <si>
    <t xml:space="preserve">Q04</t>
  </si>
  <si>
    <t xml:space="preserve">Contact phone (with country code)</t>
  </si>
  <si>
    <t xml:space="preserve">Q05</t>
  </si>
  <si>
    <t xml:space="preserve">Prices valid until</t>
  </si>
  <si>
    <t xml:space="preserve">Q06</t>
  </si>
  <si>
    <t xml:space="preserve">Fuel surcharge % included in your prices (state the month in Comment)</t>
  </si>
  <si>
    <t xml:space="preserve">Q07</t>
  </si>
  <si>
    <t xml:space="preserve">Surcharges possible on top of the all-in prices (peak, emergency, oversize, remote area)</t>
  </si>
  <si>
    <t xml:space="preserve">Q08</t>
  </si>
  <si>
    <t xml:space="preserve">Payment terms (days after invoice date)</t>
  </si>
  <si>
    <t xml:space="preserve">B. Service level</t>
  </si>
  <si>
    <t xml:space="preserve">Q09</t>
  </si>
  <si>
    <t xml:space="preserve">Daily pick-up cut-off time in Helmond for same-day dispatch</t>
  </si>
  <si>
    <t xml:space="preserve">Q10</t>
  </si>
  <si>
    <t xml:space="preserve">Next-day delivery in the GCC (Saudi Arabia, UAE, Kuwait, Qatar)</t>
  </si>
  <si>
    <t xml:space="preserve">Q11</t>
  </si>
  <si>
    <t xml:space="preserve">Average import clearance time at destination (working days)</t>
  </si>
  <si>
    <t xml:space="preserve">Q12</t>
  </si>
  <si>
    <t xml:space="preserve">Capacity in the peak month (1.5 times an average month)</t>
  </si>
  <si>
    <t xml:space="preserve">C. Quality</t>
  </si>
  <si>
    <t xml:space="preserve">Q13</t>
  </si>
  <si>
    <t xml:space="preserve">On-time delivery rate on these lanes, last 12 months</t>
  </si>
  <si>
    <t xml:space="preserve">Q14</t>
  </si>
  <si>
    <t xml:space="preserve">Damage and loss rate, last 12 months (share of shipments)</t>
  </si>
  <si>
    <t xml:space="preserve">Q15</t>
  </si>
  <si>
    <t xml:space="preserve">Track and trace and electronic proof of delivery (e-POD)</t>
  </si>
  <si>
    <t xml:space="preserve">Q16</t>
  </si>
  <si>
    <t xml:space="preserve">One contact person and one invoice for all lanes</t>
  </si>
  <si>
    <t xml:space="preserve">Q17</t>
  </si>
  <si>
    <t xml:space="preserve">Experience with Saudi SASO / SABER for textiles and footwear</t>
  </si>
  <si>
    <t xml:space="preserve">Q18</t>
  </si>
  <si>
    <t xml:space="preserve">Handling of Egypt ACID / CargoX pre-registration</t>
  </si>
  <si>
    <t xml:space="preserve">Q19</t>
  </si>
  <si>
    <t xml:space="preserve">Certifications held</t>
  </si>
  <si>
    <t xml:space="preserve">D. Options available (list countries in Comment where not all 9)</t>
  </si>
  <si>
    <t xml:space="preserve">Q20</t>
  </si>
  <si>
    <t xml:space="preserve">Express parcel service</t>
  </si>
  <si>
    <t xml:space="preserve">Q21</t>
  </si>
  <si>
    <t xml:space="preserve">Air freight</t>
  </si>
  <si>
    <t xml:space="preserve">Q22</t>
  </si>
  <si>
    <t xml:space="preserve">Road groupage (for example Türkiye, Morocco, Tunisia)</t>
  </si>
  <si>
    <t xml:space="preserve">Q23</t>
  </si>
  <si>
    <t xml:space="preserve">Sea freight LCL or FCL</t>
  </si>
  <si>
    <t xml:space="preserve">Q24</t>
  </si>
  <si>
    <t xml:space="preserve">Import customs clearance for the consignee (on their account)</t>
  </si>
  <si>
    <t xml:space="preserve">Q25</t>
  </si>
  <si>
    <t xml:space="preserve">DDP service (you pay import duty and VAT, recharged to FlexiTog)</t>
  </si>
  <si>
    <t xml:space="preserve">Q26</t>
  </si>
  <si>
    <t xml:space="preserve">You issue EUR.1 / A.TR origin documents</t>
  </si>
  <si>
    <t xml:space="preserve">Q27</t>
  </si>
  <si>
    <t xml:space="preserve">Cargo insurance premium (% of invoice value). Leave blank if not offered</t>
  </si>
  <si>
    <t xml:space="preserve">Q28</t>
  </si>
  <si>
    <t xml:space="preserve">Your standard rate sheets and surcharge list are attached</t>
  </si>
  <si>
    <t xml:space="preserve">Option 2: FlexiTog stock in your regional warehouse</t>
  </si>
  <si>
    <t xml:space="preserve">Only if you offer stock-holding. FlexiTog sends stock from Helmond or directly from suppliers. You store, pick, pack and deliver. Delivery prices go in Option 2 on the Test Shipments sheet.</t>
  </si>
  <si>
    <t xml:space="preserve">A. Location</t>
  </si>
  <si>
    <t xml:space="preserve">W01</t>
  </si>
  <si>
    <t xml:space="preserve">Warehouse location (city, country)</t>
  </si>
  <si>
    <t xml:space="preserve">W02</t>
  </si>
  <si>
    <t xml:space="preserve">Customs status of the stock</t>
  </si>
  <si>
    <t xml:space="preserve">W03</t>
  </si>
  <si>
    <t xml:space="preserve">Countries you deliver to from this warehouse</t>
  </si>
  <si>
    <t xml:space="preserve">B. Warehouse rates (EUR excl. VAT). Pallet: 120 x 80 cm, max. 160 cm high, about 250 kg of cartons</t>
  </si>
  <si>
    <t xml:space="preserve">W04</t>
  </si>
  <si>
    <t xml:space="preserve">Storage per pallet position per month</t>
  </si>
  <si>
    <t xml:space="preserve">W05</t>
  </si>
  <si>
    <t xml:space="preserve">Inbound receiving per pallet (from Helmond or a supplier)</t>
  </si>
  <si>
    <t xml:space="preserve">W06</t>
  </si>
  <si>
    <t xml:space="preserve">Pick per order line</t>
  </si>
  <si>
    <t xml:space="preserve">W07</t>
  </si>
  <si>
    <t xml:space="preserve">Pack and dispatch per order (labels, documents)</t>
  </si>
  <si>
    <t xml:space="preserve">W08</t>
  </si>
  <si>
    <t xml:space="preserve">Export or clearance fee per outbound order, if not in the delivery prices</t>
  </si>
  <si>
    <t xml:space="preserve">W09</t>
  </si>
  <si>
    <t xml:space="preserve">Fixed monthly fee (account, WMS, minimum charge)</t>
  </si>
  <si>
    <t xml:space="preserve">W10</t>
  </si>
  <si>
    <t xml:space="preserve">Minimum contract period (months)</t>
  </si>
  <si>
    <t xml:space="preserve">C. Replenishment: Helmond to your warehouse (all-in, per pallet)</t>
  </si>
  <si>
    <t xml:space="preserve">W11</t>
  </si>
  <si>
    <t xml:space="preserve">Price per pallet by sea</t>
  </si>
  <si>
    <t xml:space="preserve">W12</t>
  </si>
  <si>
    <t xml:space="preserve">Transit days by sea (working days)</t>
  </si>
  <si>
    <t xml:space="preserve">W13</t>
  </si>
  <si>
    <t xml:space="preserve">Price per pallet by air</t>
  </si>
  <si>
    <t xml:space="preserve">W14</t>
  </si>
  <si>
    <t xml:space="preserve">Transit days by air (working days)</t>
  </si>
  <si>
    <t xml:space="preserve">key</t>
  </si>
  <si>
    <t xml:space="preserve">value</t>
  </si>
  <si>
    <t xml:space="preserve">type</t>
  </si>
  <si>
    <t xml:space="preserve">description</t>
  </si>
  <si>
    <t xml:space="preserve">meta.rfq_version</t>
  </si>
  <si>
    <t xml:space="preserve">RFQ-MENA-TR-QUICK v2.3</t>
  </si>
  <si>
    <t xml:space="preserve">text</t>
  </si>
  <si>
    <t xml:space="preserve">Template version</t>
  </si>
  <si>
    <t xml:space="preserve">meta.shipment_count</t>
  </si>
  <si>
    <t xml:space="preserve">number</t>
  </si>
  <si>
    <t xml:space="preserve">Number of test shipments</t>
  </si>
  <si>
    <t xml:space="preserve">meta.input_check</t>
  </si>
  <si>
    <t xml:space="preserve">Result of the in-file input check</t>
  </si>
  <si>
    <t xml:space="preserve">wh.W01.answer</t>
  </si>
  <si>
    <t xml:space="preserve">wh.W01.comment</t>
  </si>
  <si>
    <t xml:space="preserve">Warehouse location (city, country) (comment)</t>
  </si>
  <si>
    <t xml:space="preserve">wh.W02.answer</t>
  </si>
  <si>
    <t xml:space="preserve">list</t>
  </si>
  <si>
    <t xml:space="preserve">wh.W02.comment</t>
  </si>
  <si>
    <t xml:space="preserve">Customs status of the stock (comment)</t>
  </si>
  <si>
    <t xml:space="preserve">wh.W03.answer</t>
  </si>
  <si>
    <t xml:space="preserve">wh.W03.comment</t>
  </si>
  <si>
    <t xml:space="preserve">Countries you deliver to from this warehouse (comment)</t>
  </si>
  <si>
    <t xml:space="preserve">wh.W04.answer</t>
  </si>
  <si>
    <t xml:space="preserve">wh.W04.comment</t>
  </si>
  <si>
    <t xml:space="preserve">Storage per pallet position per month (comment)</t>
  </si>
  <si>
    <t xml:space="preserve">wh.W05.answer</t>
  </si>
  <si>
    <t xml:space="preserve">wh.W05.comment</t>
  </si>
  <si>
    <t xml:space="preserve">Inbound receiving per pallet (from Helmond or a supplier) (comment)</t>
  </si>
  <si>
    <t xml:space="preserve">wh.W06.answer</t>
  </si>
  <si>
    <t xml:space="preserve">wh.W06.comment</t>
  </si>
  <si>
    <t xml:space="preserve">Pick per order line (comment)</t>
  </si>
  <si>
    <t xml:space="preserve">wh.W07.answer</t>
  </si>
  <si>
    <t xml:space="preserve">wh.W07.comment</t>
  </si>
  <si>
    <t xml:space="preserve">Pack and dispatch per order (labels, documents) (comment)</t>
  </si>
  <si>
    <t xml:space="preserve">wh.W08.answer</t>
  </si>
  <si>
    <t xml:space="preserve">wh.W08.comment</t>
  </si>
  <si>
    <t xml:space="preserve">Export or clearance fee per outbound order, if not in the delivery prices (comment)</t>
  </si>
  <si>
    <t xml:space="preserve">wh.W09.answer</t>
  </si>
  <si>
    <t xml:space="preserve">wh.W09.comment</t>
  </si>
  <si>
    <t xml:space="preserve">Fixed monthly fee (account, WMS, minimum charge) (comment)</t>
  </si>
  <si>
    <t xml:space="preserve">wh.W10.answer</t>
  </si>
  <si>
    <t xml:space="preserve">wh.W10.comment</t>
  </si>
  <si>
    <t xml:space="preserve">Minimum contract period (months) (comment)</t>
  </si>
  <si>
    <t xml:space="preserve">wh.W11.answer</t>
  </si>
  <si>
    <t xml:space="preserve">wh.W11.comment</t>
  </si>
  <si>
    <t xml:space="preserve">Price per pallet by sea (comment)</t>
  </si>
  <si>
    <t xml:space="preserve">wh.W12.answer</t>
  </si>
  <si>
    <t xml:space="preserve">wh.W12.comment</t>
  </si>
  <si>
    <t xml:space="preserve">Transit days by sea (working days) (comment)</t>
  </si>
  <si>
    <t xml:space="preserve">wh.W13.answer</t>
  </si>
  <si>
    <t xml:space="preserve">wh.W13.comment</t>
  </si>
  <si>
    <t xml:space="preserve">Price per pallet by air (comment)</t>
  </si>
  <si>
    <t xml:space="preserve">wh.W14.answer</t>
  </si>
  <si>
    <t xml:space="preserve">wh.W14.comment</t>
  </si>
  <si>
    <t xml:space="preserve">Transit days by air (working days) (comment)</t>
  </si>
  <si>
    <t xml:space="preserve">q.Q01.answer</t>
  </si>
  <si>
    <t xml:space="preserve">q.Q01.comment</t>
  </si>
  <si>
    <t xml:space="preserve">Company name (comment)</t>
  </si>
  <si>
    <t xml:space="preserve">q.Q02.answer</t>
  </si>
  <si>
    <t xml:space="preserve">q.Q02.comment</t>
  </si>
  <si>
    <t xml:space="preserve">Contact person for this quote (comment)</t>
  </si>
  <si>
    <t xml:space="preserve">q.Q03.answer</t>
  </si>
  <si>
    <t xml:space="preserve">q.Q03.comment</t>
  </si>
  <si>
    <t xml:space="preserve">Contact e-mail (comment)</t>
  </si>
  <si>
    <t xml:space="preserve">q.Q04.answer</t>
  </si>
  <si>
    <t xml:space="preserve">q.Q04.comment</t>
  </si>
  <si>
    <t xml:space="preserve">Contact phone (with country code) (comment)</t>
  </si>
  <si>
    <t xml:space="preserve">q.Q05.answer</t>
  </si>
  <si>
    <t xml:space="preserve">date</t>
  </si>
  <si>
    <t xml:space="preserve">q.Q05.comment</t>
  </si>
  <si>
    <t xml:space="preserve">Prices valid until (comment)</t>
  </si>
  <si>
    <t xml:space="preserve">q.Q06.answer</t>
  </si>
  <si>
    <t xml:space="preserve">percent</t>
  </si>
  <si>
    <t xml:space="preserve">q.Q06.comment</t>
  </si>
  <si>
    <t xml:space="preserve">Fuel surcharge % included in your prices (state the month in Comment) (comment)</t>
  </si>
  <si>
    <t xml:space="preserve">q.Q07.answer</t>
  </si>
  <si>
    <t xml:space="preserve">q.Q07.comment</t>
  </si>
  <si>
    <t xml:space="preserve">Surcharges possible on top of the all-in prices (peak, emergency, oversize, remote area) (comment)</t>
  </si>
  <si>
    <t xml:space="preserve">q.Q08.answer</t>
  </si>
  <si>
    <t xml:space="preserve">q.Q08.comment</t>
  </si>
  <si>
    <t xml:space="preserve">Payment terms (days after invoice date) (comment)</t>
  </si>
  <si>
    <t xml:space="preserve">q.Q09.answer</t>
  </si>
  <si>
    <t xml:space="preserve">time</t>
  </si>
  <si>
    <t xml:space="preserve">q.Q09.comment</t>
  </si>
  <si>
    <t xml:space="preserve">Daily pick-up cut-off time in Helmond for same-day dispatch (comment)</t>
  </si>
  <si>
    <t xml:space="preserve">q.Q10.answer</t>
  </si>
  <si>
    <t xml:space="preserve">q.Q10.comment</t>
  </si>
  <si>
    <t xml:space="preserve">Next-day delivery in the GCC (Saudi Arabia, UAE, Kuwait, Qatar) (comment)</t>
  </si>
  <si>
    <t xml:space="preserve">q.Q11.answer</t>
  </si>
  <si>
    <t xml:space="preserve">q.Q11.comment</t>
  </si>
  <si>
    <t xml:space="preserve">Average import clearance time at destination (working days) (comment)</t>
  </si>
  <si>
    <t xml:space="preserve">q.Q12.answer</t>
  </si>
  <si>
    <t xml:space="preserve">q.Q12.comment</t>
  </si>
  <si>
    <t xml:space="preserve">Capacity in the peak month (1.5 times an average month) (comment)</t>
  </si>
  <si>
    <t xml:space="preserve">q.Q13.answer</t>
  </si>
  <si>
    <t xml:space="preserve">q.Q13.comment</t>
  </si>
  <si>
    <t xml:space="preserve">On-time delivery rate on these lanes, last 12 months (comment)</t>
  </si>
  <si>
    <t xml:space="preserve">q.Q14.answer</t>
  </si>
  <si>
    <t xml:space="preserve">q.Q14.comment</t>
  </si>
  <si>
    <t xml:space="preserve">Damage and loss rate, last 12 months (share of shipments) (comment)</t>
  </si>
  <si>
    <t xml:space="preserve">q.Q15.answer</t>
  </si>
  <si>
    <t xml:space="preserve">q.Q15.comment</t>
  </si>
  <si>
    <t xml:space="preserve">Track and trace and electronic proof of delivery (e-POD) (comment)</t>
  </si>
  <si>
    <t xml:space="preserve">q.Q16.answer</t>
  </si>
  <si>
    <t xml:space="preserve">q.Q16.comment</t>
  </si>
  <si>
    <t xml:space="preserve">One contact person and one invoice for all lanes (comment)</t>
  </si>
  <si>
    <t xml:space="preserve">q.Q17.answer</t>
  </si>
  <si>
    <t xml:space="preserve">q.Q17.comment</t>
  </si>
  <si>
    <t xml:space="preserve">Experience with Saudi SASO / SABER for textiles and footwear (comment)</t>
  </si>
  <si>
    <t xml:space="preserve">q.Q18.answer</t>
  </si>
  <si>
    <t xml:space="preserve">q.Q18.comment</t>
  </si>
  <si>
    <t xml:space="preserve">Handling of Egypt ACID / CargoX pre-registration (comment)</t>
  </si>
  <si>
    <t xml:space="preserve">q.Q19.answer</t>
  </si>
  <si>
    <t xml:space="preserve">q.Q19.comment</t>
  </si>
  <si>
    <t xml:space="preserve">Certifications held (comment)</t>
  </si>
  <si>
    <t xml:space="preserve">q.Q20.answer</t>
  </si>
  <si>
    <t xml:space="preserve">q.Q20.comment</t>
  </si>
  <si>
    <t xml:space="preserve">Express parcel service (comment)</t>
  </si>
  <si>
    <t xml:space="preserve">q.Q21.answer</t>
  </si>
  <si>
    <t xml:space="preserve">q.Q21.comment</t>
  </si>
  <si>
    <t xml:space="preserve">Air freight (comment)</t>
  </si>
  <si>
    <t xml:space="preserve">q.Q22.answer</t>
  </si>
  <si>
    <t xml:space="preserve">q.Q22.comment</t>
  </si>
  <si>
    <t xml:space="preserve">Road groupage (for example Türkiye, Morocco, Tunisia) (comment)</t>
  </si>
  <si>
    <t xml:space="preserve">q.Q23.answer</t>
  </si>
  <si>
    <t xml:space="preserve">q.Q23.comment</t>
  </si>
  <si>
    <t xml:space="preserve">Sea freight LCL or FCL (comment)</t>
  </si>
  <si>
    <t xml:space="preserve">q.Q24.answer</t>
  </si>
  <si>
    <t xml:space="preserve">q.Q24.comment</t>
  </si>
  <si>
    <t xml:space="preserve">Import customs clearance for the consignee (on their account) (comment)</t>
  </si>
  <si>
    <t xml:space="preserve">q.Q25.answer</t>
  </si>
  <si>
    <t xml:space="preserve">q.Q25.comment</t>
  </si>
  <si>
    <t xml:space="preserve">DDP service (you pay import duty and VAT, recharged to FlexiTog) (comment)</t>
  </si>
  <si>
    <t xml:space="preserve">q.Q26.answer</t>
  </si>
  <si>
    <t xml:space="preserve">q.Q26.comment</t>
  </si>
  <si>
    <t xml:space="preserve">You issue EUR.1 / A.TR origin documents (comment)</t>
  </si>
  <si>
    <t xml:space="preserve">q.Q27.answer</t>
  </si>
  <si>
    <t xml:space="preserve">q.Q27.comment</t>
  </si>
  <si>
    <t xml:space="preserve">Cargo insurance premium (% of invoice value). Leave blank if not offered (comment)</t>
  </si>
  <si>
    <t xml:space="preserve">q.Q28.answer</t>
  </si>
  <si>
    <t xml:space="preserve">q.Q28.comment</t>
  </si>
  <si>
    <t xml:space="preserve">Your standard rate sheets and surcharge list are attached (comment)</t>
  </si>
  <si>
    <t xml:space="preserve">ship.T01.lane</t>
  </si>
  <si>
    <t xml:space="preserve">ship.T01.band</t>
  </si>
  <si>
    <t xml:space="preserve">B1</t>
  </si>
  <si>
    <t xml:space="preserve">Weight band in FlexiTog volume model</t>
  </si>
  <si>
    <t xml:space="preserve">ship.T01.size</t>
  </si>
  <si>
    <t xml:space="preserve">ship.T01.gross_kg</t>
  </si>
  <si>
    <t xml:space="preserve">ship.T01.cartons</t>
  </si>
  <si>
    <t xml:space="preserve">Cartons 60x40x40</t>
  </si>
  <si>
    <t xml:space="preserve">ship.T01.m3</t>
  </si>
  <si>
    <t xml:space="preserve">ship.T01.opt1_service</t>
  </si>
  <si>
    <t xml:space="preserve">Option 1 from Helmond: service</t>
  </si>
  <si>
    <t xml:space="preserve">ship.T01.opt1_price_eur</t>
  </si>
  <si>
    <t xml:space="preserve">Option 1 all-in price EUR</t>
  </si>
  <si>
    <t xml:space="preserve">ship.T01.opt1_transit_days</t>
  </si>
  <si>
    <t xml:space="preserve">Option 1 transit days</t>
  </si>
  <si>
    <t xml:space="preserve">ship.T01.opt1_status</t>
  </si>
  <si>
    <t xml:space="preserve">Option 1 quoted or not_offered</t>
  </si>
  <si>
    <t xml:space="preserve">ship.T01.opt2_delivery_price_eur</t>
  </si>
  <si>
    <t xml:space="preserve">Option 2 delivery from regional warehouse EUR</t>
  </si>
  <si>
    <t xml:space="preserve">ship.T01.opt2_transit_days</t>
  </si>
  <si>
    <t xml:space="preserve">Option 2 transit days</t>
  </si>
  <si>
    <t xml:space="preserve">ship.T01.opt2_status</t>
  </si>
  <si>
    <t xml:space="preserve">Option 2 quoted or not_offered</t>
  </si>
  <si>
    <t xml:space="preserve">ship.T01.opt3_service</t>
  </si>
  <si>
    <t xml:space="preserve">Option 3 service</t>
  </si>
  <si>
    <t xml:space="preserve">ship.T01.opt3_price_eur</t>
  </si>
  <si>
    <t xml:space="preserve">Option 3 all-in price EUR</t>
  </si>
  <si>
    <t xml:space="preserve">ship.T01.opt3_transit_days</t>
  </si>
  <si>
    <t xml:space="preserve">Option 3 transit days</t>
  </si>
  <si>
    <t xml:space="preserve">ship.T01.opt3_status</t>
  </si>
  <si>
    <t xml:space="preserve">Option 3 quoted or not_offered</t>
  </si>
  <si>
    <t xml:space="preserve">ship.T01.comment</t>
  </si>
  <si>
    <t xml:space="preserve">Comment</t>
  </si>
  <si>
    <t xml:space="preserve">ship.T02.lane</t>
  </si>
  <si>
    <t xml:space="preserve">ship.T02.band</t>
  </si>
  <si>
    <t xml:space="preserve">B2</t>
  </si>
  <si>
    <t xml:space="preserve">ship.T02.size</t>
  </si>
  <si>
    <t xml:space="preserve">ship.T02.gross_kg</t>
  </si>
  <si>
    <t xml:space="preserve">ship.T02.cartons</t>
  </si>
  <si>
    <t xml:space="preserve">ship.T02.m3</t>
  </si>
  <si>
    <t xml:space="preserve">ship.T02.opt1_service</t>
  </si>
  <si>
    <t xml:space="preserve">ship.T02.opt1_price_eur</t>
  </si>
  <si>
    <t xml:space="preserve">ship.T02.opt1_transit_days</t>
  </si>
  <si>
    <t xml:space="preserve">ship.T02.opt1_status</t>
  </si>
  <si>
    <t xml:space="preserve">ship.T02.opt2_delivery_price_eur</t>
  </si>
  <si>
    <t xml:space="preserve">ship.T02.opt2_transit_days</t>
  </si>
  <si>
    <t xml:space="preserve">ship.T02.opt2_status</t>
  </si>
  <si>
    <t xml:space="preserve">ship.T02.opt3_service</t>
  </si>
  <si>
    <t xml:space="preserve">ship.T02.opt3_price_eur</t>
  </si>
  <si>
    <t xml:space="preserve">ship.T02.opt3_transit_days</t>
  </si>
  <si>
    <t xml:space="preserve">ship.T02.opt3_status</t>
  </si>
  <si>
    <t xml:space="preserve">ship.T02.comment</t>
  </si>
  <si>
    <t xml:space="preserve">ship.T03.lane</t>
  </si>
  <si>
    <t xml:space="preserve">ship.T03.band</t>
  </si>
  <si>
    <t xml:space="preserve">B3</t>
  </si>
  <si>
    <t xml:space="preserve">ship.T03.size</t>
  </si>
  <si>
    <t xml:space="preserve">ship.T03.gross_kg</t>
  </si>
  <si>
    <t xml:space="preserve">ship.T03.cartons</t>
  </si>
  <si>
    <t xml:space="preserve">ship.T03.m3</t>
  </si>
  <si>
    <t xml:space="preserve">ship.T03.opt1_service</t>
  </si>
  <si>
    <t xml:space="preserve">ship.T03.opt1_price_eur</t>
  </si>
  <si>
    <t xml:space="preserve">ship.T03.opt1_transit_days</t>
  </si>
  <si>
    <t xml:space="preserve">ship.T03.opt1_status</t>
  </si>
  <si>
    <t xml:space="preserve">ship.T03.opt2_delivery_price_eur</t>
  </si>
  <si>
    <t xml:space="preserve">ship.T03.opt2_transit_days</t>
  </si>
  <si>
    <t xml:space="preserve">ship.T03.opt2_status</t>
  </si>
  <si>
    <t xml:space="preserve">ship.T03.opt3_service</t>
  </si>
  <si>
    <t xml:space="preserve">ship.T03.opt3_price_eur</t>
  </si>
  <si>
    <t xml:space="preserve">ship.T03.opt3_transit_days</t>
  </si>
  <si>
    <t xml:space="preserve">ship.T03.opt3_status</t>
  </si>
  <si>
    <t xml:space="preserve">ship.T03.comment</t>
  </si>
  <si>
    <t xml:space="preserve">ship.T04.lane</t>
  </si>
  <si>
    <t xml:space="preserve">ship.T04.band</t>
  </si>
  <si>
    <t xml:space="preserve">B4</t>
  </si>
  <si>
    <t xml:space="preserve">ship.T04.size</t>
  </si>
  <si>
    <t xml:space="preserve">ship.T04.gross_kg</t>
  </si>
  <si>
    <t xml:space="preserve">ship.T04.cartons</t>
  </si>
  <si>
    <t xml:space="preserve">ship.T04.m3</t>
  </si>
  <si>
    <t xml:space="preserve">ship.T04.opt1_service</t>
  </si>
  <si>
    <t xml:space="preserve">ship.T04.opt1_price_eur</t>
  </si>
  <si>
    <t xml:space="preserve">ship.T04.opt1_transit_days</t>
  </si>
  <si>
    <t xml:space="preserve">ship.T04.opt1_status</t>
  </si>
  <si>
    <t xml:space="preserve">ship.T04.opt2_delivery_price_eur</t>
  </si>
  <si>
    <t xml:space="preserve">ship.T04.opt2_transit_days</t>
  </si>
  <si>
    <t xml:space="preserve">ship.T04.opt2_status</t>
  </si>
  <si>
    <t xml:space="preserve">ship.T04.opt3_service</t>
  </si>
  <si>
    <t xml:space="preserve">ship.T04.opt3_price_eur</t>
  </si>
  <si>
    <t xml:space="preserve">ship.T04.opt3_transit_days</t>
  </si>
  <si>
    <t xml:space="preserve">ship.T04.opt3_status</t>
  </si>
  <si>
    <t xml:space="preserve">ship.T04.comment</t>
  </si>
  <si>
    <t xml:space="preserve">ship.T05.lane</t>
  </si>
  <si>
    <t xml:space="preserve">ship.T05.band</t>
  </si>
  <si>
    <t xml:space="preserve">B5</t>
  </si>
  <si>
    <t xml:space="preserve">ship.T05.size</t>
  </si>
  <si>
    <t xml:space="preserve">ship.T05.gross_kg</t>
  </si>
  <si>
    <t xml:space="preserve">ship.T05.cartons</t>
  </si>
  <si>
    <t xml:space="preserve">ship.T05.m3</t>
  </si>
  <si>
    <t xml:space="preserve">ship.T05.opt1_service</t>
  </si>
  <si>
    <t xml:space="preserve">ship.T05.opt1_price_eur</t>
  </si>
  <si>
    <t xml:space="preserve">ship.T05.opt1_transit_days</t>
  </si>
  <si>
    <t xml:space="preserve">ship.T05.opt1_status</t>
  </si>
  <si>
    <t xml:space="preserve">ship.T05.opt2_delivery_price_eur</t>
  </si>
  <si>
    <t xml:space="preserve">ship.T05.opt2_transit_days</t>
  </si>
  <si>
    <t xml:space="preserve">ship.T05.opt2_status</t>
  </si>
  <si>
    <t xml:space="preserve">ship.T05.opt3_service</t>
  </si>
  <si>
    <t xml:space="preserve">ship.T05.opt3_price_eur</t>
  </si>
  <si>
    <t xml:space="preserve">ship.T05.opt3_transit_days</t>
  </si>
  <si>
    <t xml:space="preserve">ship.T05.opt3_status</t>
  </si>
  <si>
    <t xml:space="preserve">ship.T05.comment</t>
  </si>
  <si>
    <t xml:space="preserve">ship.T06.lane</t>
  </si>
  <si>
    <t xml:space="preserve">ship.T06.band</t>
  </si>
  <si>
    <t xml:space="preserve">ship.T06.size</t>
  </si>
  <si>
    <t xml:space="preserve">ship.T06.gross_kg</t>
  </si>
  <si>
    <t xml:space="preserve">ship.T06.cartons</t>
  </si>
  <si>
    <t xml:space="preserve">ship.T06.m3</t>
  </si>
  <si>
    <t xml:space="preserve">ship.T06.opt1_service</t>
  </si>
  <si>
    <t xml:space="preserve">ship.T06.opt1_price_eur</t>
  </si>
  <si>
    <t xml:space="preserve">ship.T06.opt1_transit_days</t>
  </si>
  <si>
    <t xml:space="preserve">ship.T06.opt1_status</t>
  </si>
  <si>
    <t xml:space="preserve">ship.T06.opt2_delivery_price_eur</t>
  </si>
  <si>
    <t xml:space="preserve">ship.T06.opt2_transit_days</t>
  </si>
  <si>
    <t xml:space="preserve">ship.T06.opt2_status</t>
  </si>
  <si>
    <t xml:space="preserve">ship.T06.opt3_service</t>
  </si>
  <si>
    <t xml:space="preserve">ship.T06.opt3_price_eur</t>
  </si>
  <si>
    <t xml:space="preserve">ship.T06.opt3_transit_days</t>
  </si>
  <si>
    <t xml:space="preserve">ship.T06.opt3_status</t>
  </si>
  <si>
    <t xml:space="preserve">ship.T06.comment</t>
  </si>
  <si>
    <t xml:space="preserve">ship.T07.lane</t>
  </si>
  <si>
    <t xml:space="preserve">ship.T07.band</t>
  </si>
  <si>
    <t xml:space="preserve">ship.T07.size</t>
  </si>
  <si>
    <t xml:space="preserve">ship.T07.gross_kg</t>
  </si>
  <si>
    <t xml:space="preserve">ship.T07.cartons</t>
  </si>
  <si>
    <t xml:space="preserve">ship.T07.m3</t>
  </si>
  <si>
    <t xml:space="preserve">ship.T07.opt1_service</t>
  </si>
  <si>
    <t xml:space="preserve">ship.T07.opt1_price_eur</t>
  </si>
  <si>
    <t xml:space="preserve">ship.T07.opt1_transit_days</t>
  </si>
  <si>
    <t xml:space="preserve">ship.T07.opt1_status</t>
  </si>
  <si>
    <t xml:space="preserve">ship.T07.opt2_delivery_price_eur</t>
  </si>
  <si>
    <t xml:space="preserve">ship.T07.opt2_transit_days</t>
  </si>
  <si>
    <t xml:space="preserve">ship.T07.opt2_status</t>
  </si>
  <si>
    <t xml:space="preserve">ship.T07.opt3_service</t>
  </si>
  <si>
    <t xml:space="preserve">ship.T07.opt3_price_eur</t>
  </si>
  <si>
    <t xml:space="preserve">ship.T07.opt3_transit_days</t>
  </si>
  <si>
    <t xml:space="preserve">ship.T07.opt3_status</t>
  </si>
  <si>
    <t xml:space="preserve">ship.T07.comment</t>
  </si>
  <si>
    <t xml:space="preserve">ship.T08.lane</t>
  </si>
  <si>
    <t xml:space="preserve">ship.T08.band</t>
  </si>
  <si>
    <t xml:space="preserve">ship.T08.size</t>
  </si>
  <si>
    <t xml:space="preserve">ship.T08.gross_kg</t>
  </si>
  <si>
    <t xml:space="preserve">ship.T08.cartons</t>
  </si>
  <si>
    <t xml:space="preserve">ship.T08.m3</t>
  </si>
  <si>
    <t xml:space="preserve">ship.T08.opt1_service</t>
  </si>
  <si>
    <t xml:space="preserve">ship.T08.opt1_price_eur</t>
  </si>
  <si>
    <t xml:space="preserve">ship.T08.opt1_transit_days</t>
  </si>
  <si>
    <t xml:space="preserve">ship.T08.opt1_status</t>
  </si>
  <si>
    <t xml:space="preserve">ship.T08.opt2_delivery_price_eur</t>
  </si>
  <si>
    <t xml:space="preserve">ship.T08.opt2_transit_days</t>
  </si>
  <si>
    <t xml:space="preserve">ship.T08.opt2_status</t>
  </si>
  <si>
    <t xml:space="preserve">ship.T08.opt3_service</t>
  </si>
  <si>
    <t xml:space="preserve">ship.T08.opt3_price_eur</t>
  </si>
  <si>
    <t xml:space="preserve">ship.T08.opt3_transit_days</t>
  </si>
  <si>
    <t xml:space="preserve">ship.T08.opt3_status</t>
  </si>
  <si>
    <t xml:space="preserve">ship.T08.comment</t>
  </si>
  <si>
    <t xml:space="preserve">ship.T09.lane</t>
  </si>
  <si>
    <t xml:space="preserve">ship.T09.band</t>
  </si>
  <si>
    <t xml:space="preserve">ship.T09.size</t>
  </si>
  <si>
    <t xml:space="preserve">ship.T09.gross_kg</t>
  </si>
  <si>
    <t xml:space="preserve">ship.T09.cartons</t>
  </si>
  <si>
    <t xml:space="preserve">ship.T09.m3</t>
  </si>
  <si>
    <t xml:space="preserve">ship.T09.opt1_service</t>
  </si>
  <si>
    <t xml:space="preserve">ship.T09.opt1_price_eur</t>
  </si>
  <si>
    <t xml:space="preserve">ship.T09.opt1_transit_days</t>
  </si>
  <si>
    <t xml:space="preserve">ship.T09.opt1_status</t>
  </si>
  <si>
    <t xml:space="preserve">ship.T09.opt2_delivery_price_eur</t>
  </si>
  <si>
    <t xml:space="preserve">ship.T09.opt2_transit_days</t>
  </si>
  <si>
    <t xml:space="preserve">ship.T09.opt2_status</t>
  </si>
  <si>
    <t xml:space="preserve">ship.T09.opt3_service</t>
  </si>
  <si>
    <t xml:space="preserve">ship.T09.opt3_price_eur</t>
  </si>
  <si>
    <t xml:space="preserve">ship.T09.opt3_transit_days</t>
  </si>
  <si>
    <t xml:space="preserve">ship.T09.opt3_status</t>
  </si>
  <si>
    <t xml:space="preserve">ship.T09.comment</t>
  </si>
  <si>
    <t xml:space="preserve">ship.T10.lane</t>
  </si>
  <si>
    <t xml:space="preserve">ship.T10.band</t>
  </si>
  <si>
    <t xml:space="preserve">ship.T10.size</t>
  </si>
  <si>
    <t xml:space="preserve">ship.T10.gross_kg</t>
  </si>
  <si>
    <t xml:space="preserve">ship.T10.cartons</t>
  </si>
  <si>
    <t xml:space="preserve">ship.T10.m3</t>
  </si>
  <si>
    <t xml:space="preserve">ship.T10.opt1_service</t>
  </si>
  <si>
    <t xml:space="preserve">ship.T10.opt1_price_eur</t>
  </si>
  <si>
    <t xml:space="preserve">ship.T10.opt1_transit_days</t>
  </si>
  <si>
    <t xml:space="preserve">ship.T10.opt1_status</t>
  </si>
  <si>
    <t xml:space="preserve">ship.T10.opt2_delivery_price_eur</t>
  </si>
  <si>
    <t xml:space="preserve">ship.T10.opt2_transit_days</t>
  </si>
  <si>
    <t xml:space="preserve">ship.T10.opt2_status</t>
  </si>
  <si>
    <t xml:space="preserve">ship.T10.opt3_service</t>
  </si>
  <si>
    <t xml:space="preserve">ship.T10.opt3_price_eur</t>
  </si>
  <si>
    <t xml:space="preserve">ship.T10.opt3_transit_days</t>
  </si>
  <si>
    <t xml:space="preserve">ship.T10.opt3_status</t>
  </si>
  <si>
    <t xml:space="preserve">ship.T10.comment</t>
  </si>
  <si>
    <t xml:space="preserve">ship.T11.lane</t>
  </si>
  <si>
    <t xml:space="preserve">ship.T11.band</t>
  </si>
  <si>
    <t xml:space="preserve">ship.T11.size</t>
  </si>
  <si>
    <t xml:space="preserve">ship.T11.gross_kg</t>
  </si>
  <si>
    <t xml:space="preserve">ship.T11.cartons</t>
  </si>
  <si>
    <t xml:space="preserve">ship.T11.m3</t>
  </si>
  <si>
    <t xml:space="preserve">ship.T11.opt1_service</t>
  </si>
  <si>
    <t xml:space="preserve">ship.T11.opt1_price_eur</t>
  </si>
  <si>
    <t xml:space="preserve">ship.T11.opt1_transit_days</t>
  </si>
  <si>
    <t xml:space="preserve">ship.T11.opt1_status</t>
  </si>
  <si>
    <t xml:space="preserve">ship.T11.opt2_delivery_price_eur</t>
  </si>
  <si>
    <t xml:space="preserve">ship.T11.opt2_transit_days</t>
  </si>
  <si>
    <t xml:space="preserve">ship.T11.opt2_status</t>
  </si>
  <si>
    <t xml:space="preserve">ship.T11.opt3_service</t>
  </si>
  <si>
    <t xml:space="preserve">ship.T11.opt3_price_eur</t>
  </si>
  <si>
    <t xml:space="preserve">ship.T11.opt3_transit_days</t>
  </si>
  <si>
    <t xml:space="preserve">ship.T11.opt3_status</t>
  </si>
  <si>
    <t xml:space="preserve">ship.T11.comment</t>
  </si>
  <si>
    <t xml:space="preserve">ship.T12.lane</t>
  </si>
  <si>
    <t xml:space="preserve">ship.T12.band</t>
  </si>
  <si>
    <t xml:space="preserve">ship.T12.size</t>
  </si>
  <si>
    <t xml:space="preserve">ship.T12.gross_kg</t>
  </si>
  <si>
    <t xml:space="preserve">ship.T12.cartons</t>
  </si>
  <si>
    <t xml:space="preserve">ship.T12.m3</t>
  </si>
  <si>
    <t xml:space="preserve">ship.T12.opt1_service</t>
  </si>
  <si>
    <t xml:space="preserve">ship.T12.opt1_price_eur</t>
  </si>
  <si>
    <t xml:space="preserve">ship.T12.opt1_transit_days</t>
  </si>
  <si>
    <t xml:space="preserve">ship.T12.opt1_status</t>
  </si>
  <si>
    <t xml:space="preserve">ship.T12.opt2_delivery_price_eur</t>
  </si>
  <si>
    <t xml:space="preserve">ship.T12.opt2_transit_days</t>
  </si>
  <si>
    <t xml:space="preserve">ship.T12.opt2_status</t>
  </si>
  <si>
    <t xml:space="preserve">ship.T12.opt3_service</t>
  </si>
  <si>
    <t xml:space="preserve">ship.T12.opt3_price_eur</t>
  </si>
  <si>
    <t xml:space="preserve">ship.T12.opt3_transit_days</t>
  </si>
  <si>
    <t xml:space="preserve">ship.T12.opt3_status</t>
  </si>
  <si>
    <t xml:space="preserve">ship.T12.comment</t>
  </si>
  <si>
    <t xml:space="preserve">ship.T13.lane</t>
  </si>
  <si>
    <t xml:space="preserve">ship.T13.band</t>
  </si>
  <si>
    <t xml:space="preserve">ship.T13.size</t>
  </si>
  <si>
    <t xml:space="preserve">ship.T13.gross_kg</t>
  </si>
  <si>
    <t xml:space="preserve">ship.T13.cartons</t>
  </si>
  <si>
    <t xml:space="preserve">ship.T13.m3</t>
  </si>
  <si>
    <t xml:space="preserve">ship.T13.opt1_service</t>
  </si>
  <si>
    <t xml:space="preserve">ship.T13.opt1_price_eur</t>
  </si>
  <si>
    <t xml:space="preserve">ship.T13.opt1_transit_days</t>
  </si>
  <si>
    <t xml:space="preserve">ship.T13.opt1_status</t>
  </si>
  <si>
    <t xml:space="preserve">ship.T13.opt2_delivery_price_eur</t>
  </si>
  <si>
    <t xml:space="preserve">ship.T13.opt2_transit_days</t>
  </si>
  <si>
    <t xml:space="preserve">ship.T13.opt2_status</t>
  </si>
  <si>
    <t xml:space="preserve">ship.T13.opt3_service</t>
  </si>
  <si>
    <t xml:space="preserve">ship.T13.opt3_price_eur</t>
  </si>
  <si>
    <t xml:space="preserve">ship.T13.opt3_transit_days</t>
  </si>
  <si>
    <t xml:space="preserve">ship.T13.opt3_status</t>
  </si>
  <si>
    <t xml:space="preserve">ship.T13.comment</t>
  </si>
  <si>
    <t xml:space="preserve">ship.T14.lane</t>
  </si>
  <si>
    <t xml:space="preserve">ship.T14.band</t>
  </si>
  <si>
    <t xml:space="preserve">ship.T14.size</t>
  </si>
  <si>
    <t xml:space="preserve">ship.T14.gross_kg</t>
  </si>
  <si>
    <t xml:space="preserve">ship.T14.cartons</t>
  </si>
  <si>
    <t xml:space="preserve">ship.T14.m3</t>
  </si>
  <si>
    <t xml:space="preserve">ship.T14.opt1_service</t>
  </si>
  <si>
    <t xml:space="preserve">ship.T14.opt1_price_eur</t>
  </si>
  <si>
    <t xml:space="preserve">ship.T14.opt1_transit_days</t>
  </si>
  <si>
    <t xml:space="preserve">ship.T14.opt1_status</t>
  </si>
  <si>
    <t xml:space="preserve">ship.T14.opt2_delivery_price_eur</t>
  </si>
  <si>
    <t xml:space="preserve">ship.T14.opt2_transit_days</t>
  </si>
  <si>
    <t xml:space="preserve">ship.T14.opt2_status</t>
  </si>
  <si>
    <t xml:space="preserve">ship.T14.opt3_service</t>
  </si>
  <si>
    <t xml:space="preserve">ship.T14.opt3_price_eur</t>
  </si>
  <si>
    <t xml:space="preserve">ship.T14.opt3_transit_days</t>
  </si>
  <si>
    <t xml:space="preserve">ship.T14.opt3_status</t>
  </si>
  <si>
    <t xml:space="preserve">ship.T14.comment</t>
  </si>
  <si>
    <t xml:space="preserve">ship.T15.lane</t>
  </si>
  <si>
    <t xml:space="preserve">ship.T15.band</t>
  </si>
  <si>
    <t xml:space="preserve">ship.T15.size</t>
  </si>
  <si>
    <t xml:space="preserve">ship.T15.gross_kg</t>
  </si>
  <si>
    <t xml:space="preserve">ship.T15.cartons</t>
  </si>
  <si>
    <t xml:space="preserve">ship.T15.m3</t>
  </si>
  <si>
    <t xml:space="preserve">ship.T15.opt1_service</t>
  </si>
  <si>
    <t xml:space="preserve">ship.T15.opt1_price_eur</t>
  </si>
  <si>
    <t xml:space="preserve">ship.T15.opt1_transit_days</t>
  </si>
  <si>
    <t xml:space="preserve">ship.T15.opt1_status</t>
  </si>
  <si>
    <t xml:space="preserve">ship.T15.opt2_delivery_price_eur</t>
  </si>
  <si>
    <t xml:space="preserve">ship.T15.opt2_transit_days</t>
  </si>
  <si>
    <t xml:space="preserve">ship.T15.opt2_status</t>
  </si>
  <si>
    <t xml:space="preserve">ship.T15.opt3_service</t>
  </si>
  <si>
    <t xml:space="preserve">ship.T15.opt3_price_eur</t>
  </si>
  <si>
    <t xml:space="preserve">ship.T15.opt3_transit_days</t>
  </si>
  <si>
    <t xml:space="preserve">ship.T15.opt3_status</t>
  </si>
  <si>
    <t xml:space="preserve">ship.T15.comment</t>
  </si>
  <si>
    <t xml:space="preserve">ship.T16.lane</t>
  </si>
  <si>
    <t xml:space="preserve">ship.T16.band</t>
  </si>
  <si>
    <t xml:space="preserve">ship.T16.size</t>
  </si>
  <si>
    <t xml:space="preserve">ship.T16.gross_kg</t>
  </si>
  <si>
    <t xml:space="preserve">ship.T16.cartons</t>
  </si>
  <si>
    <t xml:space="preserve">ship.T16.m3</t>
  </si>
  <si>
    <t xml:space="preserve">ship.T16.opt1_service</t>
  </si>
  <si>
    <t xml:space="preserve">ship.T16.opt1_price_eur</t>
  </si>
  <si>
    <t xml:space="preserve">ship.T16.opt1_transit_days</t>
  </si>
  <si>
    <t xml:space="preserve">ship.T16.opt1_status</t>
  </si>
  <si>
    <t xml:space="preserve">ship.T16.opt2_delivery_price_eur</t>
  </si>
  <si>
    <t xml:space="preserve">ship.T16.opt2_transit_days</t>
  </si>
  <si>
    <t xml:space="preserve">ship.T16.opt2_status</t>
  </si>
  <si>
    <t xml:space="preserve">ship.T16.opt3_service</t>
  </si>
  <si>
    <t xml:space="preserve">ship.T16.opt3_price_eur</t>
  </si>
  <si>
    <t xml:space="preserve">ship.T16.opt3_transit_days</t>
  </si>
  <si>
    <t xml:space="preserve">ship.T16.opt3_status</t>
  </si>
  <si>
    <t xml:space="preserve">ship.T16.comment</t>
  </si>
  <si>
    <t xml:space="preserve">ship.T17.lane</t>
  </si>
  <si>
    <t xml:space="preserve">ship.T17.band</t>
  </si>
  <si>
    <t xml:space="preserve">ship.T17.size</t>
  </si>
  <si>
    <t xml:space="preserve">ship.T17.gross_kg</t>
  </si>
  <si>
    <t xml:space="preserve">ship.T17.cartons</t>
  </si>
  <si>
    <t xml:space="preserve">ship.T17.m3</t>
  </si>
  <si>
    <t xml:space="preserve">ship.T17.opt1_service</t>
  </si>
  <si>
    <t xml:space="preserve">ship.T17.opt1_price_eur</t>
  </si>
  <si>
    <t xml:space="preserve">ship.T17.opt1_transit_days</t>
  </si>
  <si>
    <t xml:space="preserve">ship.T17.opt1_status</t>
  </si>
  <si>
    <t xml:space="preserve">ship.T17.opt2_delivery_price_eur</t>
  </si>
  <si>
    <t xml:space="preserve">ship.T17.opt2_transit_days</t>
  </si>
  <si>
    <t xml:space="preserve">ship.T17.opt2_status</t>
  </si>
  <si>
    <t xml:space="preserve">ship.T17.opt3_service</t>
  </si>
  <si>
    <t xml:space="preserve">ship.T17.opt3_price_eur</t>
  </si>
  <si>
    <t xml:space="preserve">ship.T17.opt3_transit_days</t>
  </si>
  <si>
    <t xml:space="preserve">ship.T17.opt3_status</t>
  </si>
  <si>
    <t xml:space="preserve">ship.T17.comment</t>
  </si>
  <si>
    <t xml:space="preserve">ship.T18.lane</t>
  </si>
  <si>
    <t xml:space="preserve">ship.T18.band</t>
  </si>
  <si>
    <t xml:space="preserve">ship.T18.size</t>
  </si>
  <si>
    <t xml:space="preserve">ship.T18.gross_kg</t>
  </si>
  <si>
    <t xml:space="preserve">ship.T18.cartons</t>
  </si>
  <si>
    <t xml:space="preserve">ship.T18.m3</t>
  </si>
  <si>
    <t xml:space="preserve">ship.T18.opt1_service</t>
  </si>
  <si>
    <t xml:space="preserve">ship.T18.opt1_price_eur</t>
  </si>
  <si>
    <t xml:space="preserve">ship.T18.opt1_transit_days</t>
  </si>
  <si>
    <t xml:space="preserve">ship.T18.opt1_status</t>
  </si>
  <si>
    <t xml:space="preserve">ship.T18.opt2_delivery_price_eur</t>
  </si>
  <si>
    <t xml:space="preserve">ship.T18.opt2_transit_days</t>
  </si>
  <si>
    <t xml:space="preserve">ship.T18.opt2_status</t>
  </si>
  <si>
    <t xml:space="preserve">ship.T18.opt3_service</t>
  </si>
  <si>
    <t xml:space="preserve">ship.T18.opt3_price_eur</t>
  </si>
  <si>
    <t xml:space="preserve">ship.T18.opt3_transit_days</t>
  </si>
  <si>
    <t xml:space="preserve">ship.T18.opt3_status</t>
  </si>
  <si>
    <t xml:space="preserve">ship.T18.comment</t>
  </si>
  <si>
    <t xml:space="preserve">ship.T19.lane</t>
  </si>
  <si>
    <t xml:space="preserve">ship.T19.band</t>
  </si>
  <si>
    <t xml:space="preserve">ship.T19.size</t>
  </si>
  <si>
    <t xml:space="preserve">ship.T19.gross_kg</t>
  </si>
  <si>
    <t xml:space="preserve">ship.T19.cartons</t>
  </si>
  <si>
    <t xml:space="preserve">ship.T19.m3</t>
  </si>
  <si>
    <t xml:space="preserve">ship.T19.opt1_service</t>
  </si>
  <si>
    <t xml:space="preserve">ship.T19.opt1_price_eur</t>
  </si>
  <si>
    <t xml:space="preserve">ship.T19.opt1_transit_days</t>
  </si>
  <si>
    <t xml:space="preserve">ship.T19.opt1_status</t>
  </si>
  <si>
    <t xml:space="preserve">ship.T19.opt2_delivery_price_eur</t>
  </si>
  <si>
    <t xml:space="preserve">ship.T19.opt2_transit_days</t>
  </si>
  <si>
    <t xml:space="preserve">ship.T19.opt2_status</t>
  </si>
  <si>
    <t xml:space="preserve">ship.T19.opt3_service</t>
  </si>
  <si>
    <t xml:space="preserve">ship.T19.opt3_price_eur</t>
  </si>
  <si>
    <t xml:space="preserve">ship.T19.opt3_transit_days</t>
  </si>
  <si>
    <t xml:space="preserve">ship.T19.opt3_status</t>
  </si>
  <si>
    <t xml:space="preserve">ship.T19.comment</t>
  </si>
  <si>
    <t xml:space="preserve">ship.T20.lane</t>
  </si>
  <si>
    <t xml:space="preserve">ship.T20.band</t>
  </si>
  <si>
    <t xml:space="preserve">ship.T20.size</t>
  </si>
  <si>
    <t xml:space="preserve">ship.T20.gross_kg</t>
  </si>
  <si>
    <t xml:space="preserve">ship.T20.cartons</t>
  </si>
  <si>
    <t xml:space="preserve">ship.T20.m3</t>
  </si>
  <si>
    <t xml:space="preserve">ship.T20.opt1_service</t>
  </si>
  <si>
    <t xml:space="preserve">ship.T20.opt1_price_eur</t>
  </si>
  <si>
    <t xml:space="preserve">ship.T20.opt1_transit_days</t>
  </si>
  <si>
    <t xml:space="preserve">ship.T20.opt1_status</t>
  </si>
  <si>
    <t xml:space="preserve">ship.T20.opt2_delivery_price_eur</t>
  </si>
  <si>
    <t xml:space="preserve">ship.T20.opt2_transit_days</t>
  </si>
  <si>
    <t xml:space="preserve">ship.T20.opt2_status</t>
  </si>
  <si>
    <t xml:space="preserve">ship.T20.opt3_service</t>
  </si>
  <si>
    <t xml:space="preserve">ship.T20.opt3_price_eur</t>
  </si>
  <si>
    <t xml:space="preserve">ship.T20.opt3_transit_days</t>
  </si>
  <si>
    <t xml:space="preserve">ship.T20.opt3_status</t>
  </si>
  <si>
    <t xml:space="preserve">ship.T20.comment</t>
  </si>
  <si>
    <t xml:space="preserve">ship.T21.lane</t>
  </si>
  <si>
    <t xml:space="preserve">ship.T21.band</t>
  </si>
  <si>
    <t xml:space="preserve">ship.T21.size</t>
  </si>
  <si>
    <t xml:space="preserve">ship.T21.gross_kg</t>
  </si>
  <si>
    <t xml:space="preserve">ship.T21.cartons</t>
  </si>
  <si>
    <t xml:space="preserve">ship.T21.m3</t>
  </si>
  <si>
    <t xml:space="preserve">ship.T21.opt1_service</t>
  </si>
  <si>
    <t xml:space="preserve">ship.T21.opt1_price_eur</t>
  </si>
  <si>
    <t xml:space="preserve">ship.T21.opt1_transit_days</t>
  </si>
  <si>
    <t xml:space="preserve">ship.T21.opt1_status</t>
  </si>
  <si>
    <t xml:space="preserve">ship.T21.opt2_delivery_price_eur</t>
  </si>
  <si>
    <t xml:space="preserve">ship.T21.opt2_transit_days</t>
  </si>
  <si>
    <t xml:space="preserve">ship.T21.opt2_status</t>
  </si>
  <si>
    <t xml:space="preserve">ship.T21.opt3_service</t>
  </si>
  <si>
    <t xml:space="preserve">ship.T21.opt3_price_eur</t>
  </si>
  <si>
    <t xml:space="preserve">ship.T21.opt3_transit_days</t>
  </si>
  <si>
    <t xml:space="preserve">ship.T21.opt3_status</t>
  </si>
  <si>
    <t xml:space="preserve">ship.T21.comment</t>
  </si>
  <si>
    <t xml:space="preserve">ship.T22.lane</t>
  </si>
  <si>
    <t xml:space="preserve">ship.T22.band</t>
  </si>
  <si>
    <t xml:space="preserve">ship.T22.size</t>
  </si>
  <si>
    <t xml:space="preserve">ship.T22.gross_kg</t>
  </si>
  <si>
    <t xml:space="preserve">ship.T22.cartons</t>
  </si>
  <si>
    <t xml:space="preserve">ship.T22.m3</t>
  </si>
  <si>
    <t xml:space="preserve">ship.T22.opt1_service</t>
  </si>
  <si>
    <t xml:space="preserve">ship.T22.opt1_price_eur</t>
  </si>
  <si>
    <t xml:space="preserve">ship.T22.opt1_transit_days</t>
  </si>
  <si>
    <t xml:space="preserve">ship.T22.opt1_status</t>
  </si>
  <si>
    <t xml:space="preserve">ship.T22.opt2_delivery_price_eur</t>
  </si>
  <si>
    <t xml:space="preserve">ship.T22.opt2_transit_days</t>
  </si>
  <si>
    <t xml:space="preserve">ship.T22.opt2_status</t>
  </si>
  <si>
    <t xml:space="preserve">ship.T22.opt3_service</t>
  </si>
  <si>
    <t xml:space="preserve">ship.T22.opt3_price_eur</t>
  </si>
  <si>
    <t xml:space="preserve">ship.T22.opt3_transit_days</t>
  </si>
  <si>
    <t xml:space="preserve">ship.T22.opt3_status</t>
  </si>
  <si>
    <t xml:space="preserve">ship.T22.comment</t>
  </si>
  <si>
    <t xml:space="preserve">ship.T23.lane</t>
  </si>
  <si>
    <t xml:space="preserve">ship.T23.band</t>
  </si>
  <si>
    <t xml:space="preserve">ship.T23.size</t>
  </si>
  <si>
    <t xml:space="preserve">ship.T23.gross_kg</t>
  </si>
  <si>
    <t xml:space="preserve">ship.T23.cartons</t>
  </si>
  <si>
    <t xml:space="preserve">ship.T23.m3</t>
  </si>
  <si>
    <t xml:space="preserve">ship.T23.opt1_service</t>
  </si>
  <si>
    <t xml:space="preserve">ship.T23.opt1_price_eur</t>
  </si>
  <si>
    <t xml:space="preserve">ship.T23.opt1_transit_days</t>
  </si>
  <si>
    <t xml:space="preserve">ship.T23.opt1_status</t>
  </si>
  <si>
    <t xml:space="preserve">ship.T23.opt2_delivery_price_eur</t>
  </si>
  <si>
    <t xml:space="preserve">ship.T23.opt2_transit_days</t>
  </si>
  <si>
    <t xml:space="preserve">ship.T23.opt2_status</t>
  </si>
  <si>
    <t xml:space="preserve">ship.T23.opt3_service</t>
  </si>
  <si>
    <t xml:space="preserve">ship.T23.opt3_price_eur</t>
  </si>
  <si>
    <t xml:space="preserve">ship.T23.opt3_transit_days</t>
  </si>
  <si>
    <t xml:space="preserve">ship.T23.opt3_status</t>
  </si>
  <si>
    <t xml:space="preserve">ship.T23.comment</t>
  </si>
  <si>
    <t xml:space="preserve">ship.T24.lane</t>
  </si>
  <si>
    <t xml:space="preserve">ship.T24.band</t>
  </si>
  <si>
    <t xml:space="preserve">ship.T24.size</t>
  </si>
  <si>
    <t xml:space="preserve">ship.T24.gross_kg</t>
  </si>
  <si>
    <t xml:space="preserve">ship.T24.cartons</t>
  </si>
  <si>
    <t xml:space="preserve">ship.T24.m3</t>
  </si>
  <si>
    <t xml:space="preserve">ship.T24.opt1_service</t>
  </si>
  <si>
    <t xml:space="preserve">ship.T24.opt1_price_eur</t>
  </si>
  <si>
    <t xml:space="preserve">ship.T24.opt1_transit_days</t>
  </si>
  <si>
    <t xml:space="preserve">ship.T24.opt1_status</t>
  </si>
  <si>
    <t xml:space="preserve">ship.T24.opt2_delivery_price_eur</t>
  </si>
  <si>
    <t xml:space="preserve">ship.T24.opt2_transit_days</t>
  </si>
  <si>
    <t xml:space="preserve">ship.T24.opt2_status</t>
  </si>
  <si>
    <t xml:space="preserve">ship.T24.opt3_service</t>
  </si>
  <si>
    <t xml:space="preserve">ship.T24.opt3_price_eur</t>
  </si>
  <si>
    <t xml:space="preserve">ship.T24.opt3_transit_days</t>
  </si>
  <si>
    <t xml:space="preserve">ship.T24.opt3_status</t>
  </si>
  <si>
    <t xml:space="preserve">ship.T24.comment</t>
  </si>
  <si>
    <t xml:space="preserve">ship.T25.lane</t>
  </si>
  <si>
    <t xml:space="preserve">ship.T25.band</t>
  </si>
  <si>
    <t xml:space="preserve">ship.T25.size</t>
  </si>
  <si>
    <t xml:space="preserve">ship.T25.gross_kg</t>
  </si>
  <si>
    <t xml:space="preserve">ship.T25.cartons</t>
  </si>
  <si>
    <t xml:space="preserve">ship.T25.m3</t>
  </si>
  <si>
    <t xml:space="preserve">ship.T25.opt1_service</t>
  </si>
  <si>
    <t xml:space="preserve">ship.T25.opt1_price_eur</t>
  </si>
  <si>
    <t xml:space="preserve">ship.T25.opt1_transit_days</t>
  </si>
  <si>
    <t xml:space="preserve">ship.T25.opt1_status</t>
  </si>
  <si>
    <t xml:space="preserve">ship.T25.opt2_delivery_price_eur</t>
  </si>
  <si>
    <t xml:space="preserve">ship.T25.opt2_transit_days</t>
  </si>
  <si>
    <t xml:space="preserve">ship.T25.opt2_status</t>
  </si>
  <si>
    <t xml:space="preserve">ship.T25.opt3_service</t>
  </si>
  <si>
    <t xml:space="preserve">ship.T25.opt3_price_eur</t>
  </si>
  <si>
    <t xml:space="preserve">ship.T25.opt3_transit_days</t>
  </si>
  <si>
    <t xml:space="preserve">ship.T25.opt3_status</t>
  </si>
  <si>
    <t xml:space="preserve">ship.T25.comment</t>
  </si>
  <si>
    <t xml:space="preserve">ship.T26.lane</t>
  </si>
  <si>
    <t xml:space="preserve">ship.T26.band</t>
  </si>
  <si>
    <t xml:space="preserve">ship.T26.size</t>
  </si>
  <si>
    <t xml:space="preserve">ship.T26.gross_kg</t>
  </si>
  <si>
    <t xml:space="preserve">ship.T26.cartons</t>
  </si>
  <si>
    <t xml:space="preserve">ship.T26.m3</t>
  </si>
  <si>
    <t xml:space="preserve">ship.T26.opt1_service</t>
  </si>
  <si>
    <t xml:space="preserve">ship.T26.opt1_price_eur</t>
  </si>
  <si>
    <t xml:space="preserve">ship.T26.opt1_transit_days</t>
  </si>
  <si>
    <t xml:space="preserve">ship.T26.opt1_status</t>
  </si>
  <si>
    <t xml:space="preserve">ship.T26.opt2_delivery_price_eur</t>
  </si>
  <si>
    <t xml:space="preserve">ship.T26.opt2_transit_days</t>
  </si>
  <si>
    <t xml:space="preserve">ship.T26.opt2_status</t>
  </si>
  <si>
    <t xml:space="preserve">ship.T26.opt3_service</t>
  </si>
  <si>
    <t xml:space="preserve">ship.T26.opt3_price_eur</t>
  </si>
  <si>
    <t xml:space="preserve">ship.T26.opt3_transit_days</t>
  </si>
  <si>
    <t xml:space="preserve">ship.T26.opt3_status</t>
  </si>
  <si>
    <t xml:space="preserve">ship.T26.comment</t>
  </si>
  <si>
    <t xml:space="preserve">ship.T27.lane</t>
  </si>
  <si>
    <t xml:space="preserve">ship.T27.band</t>
  </si>
  <si>
    <t xml:space="preserve">ship.T27.size</t>
  </si>
  <si>
    <t xml:space="preserve">ship.T27.gross_kg</t>
  </si>
  <si>
    <t xml:space="preserve">ship.T27.cartons</t>
  </si>
  <si>
    <t xml:space="preserve">ship.T27.m3</t>
  </si>
  <si>
    <t xml:space="preserve">ship.T27.opt1_service</t>
  </si>
  <si>
    <t xml:space="preserve">ship.T27.opt1_price_eur</t>
  </si>
  <si>
    <t xml:space="preserve">ship.T27.opt1_transit_days</t>
  </si>
  <si>
    <t xml:space="preserve">ship.T27.opt1_status</t>
  </si>
  <si>
    <t xml:space="preserve">ship.T27.opt2_delivery_price_eur</t>
  </si>
  <si>
    <t xml:space="preserve">ship.T27.opt2_transit_days</t>
  </si>
  <si>
    <t xml:space="preserve">ship.T27.opt2_status</t>
  </si>
  <si>
    <t xml:space="preserve">ship.T27.opt3_service</t>
  </si>
  <si>
    <t xml:space="preserve">ship.T27.opt3_price_eur</t>
  </si>
  <si>
    <t xml:space="preserve">ship.T27.opt3_transit_days</t>
  </si>
  <si>
    <t xml:space="preserve">ship.T27.opt3_status</t>
  </si>
  <si>
    <t xml:space="preserve">ship.T27.comment</t>
  </si>
  <si>
    <t xml:space="preserve">ship.T28.lane</t>
  </si>
  <si>
    <t xml:space="preserve">ship.T28.band</t>
  </si>
  <si>
    <t xml:space="preserve">ship.T28.size</t>
  </si>
  <si>
    <t xml:space="preserve">ship.T28.gross_kg</t>
  </si>
  <si>
    <t xml:space="preserve">ship.T28.cartons</t>
  </si>
  <si>
    <t xml:space="preserve">ship.T28.m3</t>
  </si>
  <si>
    <t xml:space="preserve">ship.T28.opt1_service</t>
  </si>
  <si>
    <t xml:space="preserve">ship.T28.opt1_price_eur</t>
  </si>
  <si>
    <t xml:space="preserve">ship.T28.opt1_transit_days</t>
  </si>
  <si>
    <t xml:space="preserve">ship.T28.opt1_status</t>
  </si>
  <si>
    <t xml:space="preserve">ship.T28.opt2_delivery_price_eur</t>
  </si>
  <si>
    <t xml:space="preserve">ship.T28.opt2_transit_days</t>
  </si>
  <si>
    <t xml:space="preserve">ship.T28.opt2_status</t>
  </si>
  <si>
    <t xml:space="preserve">ship.T28.opt3_service</t>
  </si>
  <si>
    <t xml:space="preserve">ship.T28.opt3_price_eur</t>
  </si>
  <si>
    <t xml:space="preserve">ship.T28.opt3_transit_days</t>
  </si>
  <si>
    <t xml:space="preserve">ship.T28.opt3_status</t>
  </si>
  <si>
    <t xml:space="preserve">ship.T28.comment</t>
  </si>
  <si>
    <t xml:space="preserve">ship.T29.lane</t>
  </si>
  <si>
    <t xml:space="preserve">ship.T29.band</t>
  </si>
  <si>
    <t xml:space="preserve">ship.T29.size</t>
  </si>
  <si>
    <t xml:space="preserve">ship.T29.gross_kg</t>
  </si>
  <si>
    <t xml:space="preserve">ship.T29.cartons</t>
  </si>
  <si>
    <t xml:space="preserve">ship.T29.m3</t>
  </si>
  <si>
    <t xml:space="preserve">ship.T29.opt1_service</t>
  </si>
  <si>
    <t xml:space="preserve">ship.T29.opt1_price_eur</t>
  </si>
  <si>
    <t xml:space="preserve">ship.T29.opt1_transit_days</t>
  </si>
  <si>
    <t xml:space="preserve">ship.T29.opt1_status</t>
  </si>
  <si>
    <t xml:space="preserve">ship.T29.opt2_delivery_price_eur</t>
  </si>
  <si>
    <t xml:space="preserve">ship.T29.opt2_transit_days</t>
  </si>
  <si>
    <t xml:space="preserve">ship.T29.opt2_status</t>
  </si>
  <si>
    <t xml:space="preserve">ship.T29.opt3_service</t>
  </si>
  <si>
    <t xml:space="preserve">ship.T29.opt3_price_eur</t>
  </si>
  <si>
    <t xml:space="preserve">ship.T29.opt3_transit_days</t>
  </si>
  <si>
    <t xml:space="preserve">ship.T29.opt3_status</t>
  </si>
  <si>
    <t xml:space="preserve">ship.T29.comment</t>
  </si>
  <si>
    <t xml:space="preserve">ship.T30.lane</t>
  </si>
  <si>
    <t xml:space="preserve">ship.T30.band</t>
  </si>
  <si>
    <t xml:space="preserve">ship.T30.size</t>
  </si>
  <si>
    <t xml:space="preserve">ship.T30.gross_kg</t>
  </si>
  <si>
    <t xml:space="preserve">ship.T30.cartons</t>
  </si>
  <si>
    <t xml:space="preserve">ship.T30.m3</t>
  </si>
  <si>
    <t xml:space="preserve">ship.T30.opt1_service</t>
  </si>
  <si>
    <t xml:space="preserve">ship.T30.opt1_price_eur</t>
  </si>
  <si>
    <t xml:space="preserve">ship.T30.opt1_transit_days</t>
  </si>
  <si>
    <t xml:space="preserve">ship.T30.opt1_status</t>
  </si>
  <si>
    <t xml:space="preserve">ship.T30.opt2_delivery_price_eur</t>
  </si>
  <si>
    <t xml:space="preserve">ship.T30.opt2_transit_days</t>
  </si>
  <si>
    <t xml:space="preserve">ship.T30.opt2_status</t>
  </si>
  <si>
    <t xml:space="preserve">ship.T30.opt3_service</t>
  </si>
  <si>
    <t xml:space="preserve">ship.T30.opt3_price_eur</t>
  </si>
  <si>
    <t xml:space="preserve">ship.T30.opt3_transit_days</t>
  </si>
  <si>
    <t xml:space="preserve">ship.T30.opt3_status</t>
  </si>
  <si>
    <t xml:space="preserve">ship.T30.comment</t>
  </si>
  <si>
    <t xml:space="preserve">ship.T31.lane</t>
  </si>
  <si>
    <t xml:space="preserve">ship.T31.band</t>
  </si>
  <si>
    <t xml:space="preserve">ship.T31.size</t>
  </si>
  <si>
    <t xml:space="preserve">ship.T31.gross_kg</t>
  </si>
  <si>
    <t xml:space="preserve">ship.T31.cartons</t>
  </si>
  <si>
    <t xml:space="preserve">ship.T31.m3</t>
  </si>
  <si>
    <t xml:space="preserve">ship.T31.opt1_service</t>
  </si>
  <si>
    <t xml:space="preserve">ship.T31.opt1_price_eur</t>
  </si>
  <si>
    <t xml:space="preserve">ship.T31.opt1_transit_days</t>
  </si>
  <si>
    <t xml:space="preserve">ship.T31.opt1_status</t>
  </si>
  <si>
    <t xml:space="preserve">ship.T31.opt2_delivery_price_eur</t>
  </si>
  <si>
    <t xml:space="preserve">ship.T31.opt2_transit_days</t>
  </si>
  <si>
    <t xml:space="preserve">ship.T31.opt2_status</t>
  </si>
  <si>
    <t xml:space="preserve">ship.T31.opt3_service</t>
  </si>
  <si>
    <t xml:space="preserve">ship.T31.opt3_price_eur</t>
  </si>
  <si>
    <t xml:space="preserve">ship.T31.opt3_transit_days</t>
  </si>
  <si>
    <t xml:space="preserve">ship.T31.opt3_status</t>
  </si>
  <si>
    <t xml:space="preserve">ship.T31.comment</t>
  </si>
  <si>
    <t xml:space="preserve">ship.T32.lane</t>
  </si>
  <si>
    <t xml:space="preserve">ship.T32.band</t>
  </si>
  <si>
    <t xml:space="preserve">ship.T32.size</t>
  </si>
  <si>
    <t xml:space="preserve">ship.T32.gross_kg</t>
  </si>
  <si>
    <t xml:space="preserve">ship.T32.cartons</t>
  </si>
  <si>
    <t xml:space="preserve">ship.T32.m3</t>
  </si>
  <si>
    <t xml:space="preserve">ship.T32.opt1_service</t>
  </si>
  <si>
    <t xml:space="preserve">ship.T32.opt1_price_eur</t>
  </si>
  <si>
    <t xml:space="preserve">ship.T32.opt1_transit_days</t>
  </si>
  <si>
    <t xml:space="preserve">ship.T32.opt1_status</t>
  </si>
  <si>
    <t xml:space="preserve">ship.T32.opt2_delivery_price_eur</t>
  </si>
  <si>
    <t xml:space="preserve">ship.T32.opt2_transit_days</t>
  </si>
  <si>
    <t xml:space="preserve">ship.T32.opt2_status</t>
  </si>
  <si>
    <t xml:space="preserve">ship.T32.opt3_service</t>
  </si>
  <si>
    <t xml:space="preserve">ship.T32.opt3_price_eur</t>
  </si>
  <si>
    <t xml:space="preserve">ship.T32.opt3_transit_days</t>
  </si>
  <si>
    <t xml:space="preserve">ship.T32.opt3_status</t>
  </si>
  <si>
    <t xml:space="preserve">ship.T32.comment</t>
  </si>
  <si>
    <t xml:space="preserve">ship.T33.lane</t>
  </si>
  <si>
    <t xml:space="preserve">ship.T33.band</t>
  </si>
  <si>
    <t xml:space="preserve">ship.T33.size</t>
  </si>
  <si>
    <t xml:space="preserve">ship.T33.gross_kg</t>
  </si>
  <si>
    <t xml:space="preserve">ship.T33.cartons</t>
  </si>
  <si>
    <t xml:space="preserve">ship.T33.m3</t>
  </si>
  <si>
    <t xml:space="preserve">ship.T33.opt1_service</t>
  </si>
  <si>
    <t xml:space="preserve">ship.T33.opt1_price_eur</t>
  </si>
  <si>
    <t xml:space="preserve">ship.T33.opt1_transit_days</t>
  </si>
  <si>
    <t xml:space="preserve">ship.T33.opt1_status</t>
  </si>
  <si>
    <t xml:space="preserve">ship.T33.opt2_delivery_price_eur</t>
  </si>
  <si>
    <t xml:space="preserve">ship.T33.opt2_transit_days</t>
  </si>
  <si>
    <t xml:space="preserve">ship.T33.opt2_status</t>
  </si>
  <si>
    <t xml:space="preserve">ship.T33.opt3_service</t>
  </si>
  <si>
    <t xml:space="preserve">ship.T33.opt3_price_eur</t>
  </si>
  <si>
    <t xml:space="preserve">ship.T33.opt3_transit_days</t>
  </si>
  <si>
    <t xml:space="preserve">ship.T33.opt3_status</t>
  </si>
  <si>
    <t xml:space="preserve">ship.T33.comment</t>
  </si>
</sst>
</file>

<file path=xl/styles.xml><?xml version="1.0" encoding="utf-8"?>
<styleSheet xmlns="http://schemas.openxmlformats.org/spreadsheetml/2006/main">
  <numFmts count="9">
    <numFmt numFmtId="164" formatCode="General"/>
    <numFmt numFmtId="165" formatCode="0.000"/>
    <numFmt numFmtId="166" formatCode="@"/>
    <numFmt numFmtId="167" formatCode="#,##0.00"/>
    <numFmt numFmtId="168" formatCode="0"/>
    <numFmt numFmtId="169" formatCode="dd\-mm\-yyyy"/>
    <numFmt numFmtId="170" formatCode="0.00%"/>
    <numFmt numFmtId="171" formatCode="hh:mm"/>
    <numFmt numFmtId="172" formatCode="0.0"/>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404040"/>
      <name val="Arial"/>
      <family val="0"/>
      <charset val="1"/>
    </font>
    <font>
      <b val="true"/>
      <sz val="10"/>
      <name val="Arial"/>
      <family val="0"/>
      <charset val="1"/>
    </font>
    <font>
      <sz val="10"/>
      <name val="Arial"/>
      <family val="0"/>
      <charset val="1"/>
    </font>
    <font>
      <b val="true"/>
      <sz val="10"/>
      <color rgb="FFC00000"/>
      <name val="Arial"/>
      <family val="0"/>
      <charset val="1"/>
    </font>
    <font>
      <b val="true"/>
      <sz val="10"/>
      <color rgb="FF1F3864"/>
      <name val="Arial"/>
      <family val="0"/>
      <charset val="1"/>
    </font>
    <font>
      <sz val="10"/>
      <color rgb="FF262626"/>
      <name val="Arial"/>
      <family val="0"/>
      <charset val="1"/>
    </font>
    <font>
      <b val="true"/>
      <sz val="10"/>
      <color rgb="FFFFFFFF"/>
      <name val="Arial"/>
      <family val="0"/>
      <charset val="1"/>
    </font>
    <font>
      <i val="true"/>
      <sz val="10"/>
      <color rgb="FF7F7F7F"/>
      <name val="Arial"/>
      <family val="0"/>
      <charset val="1"/>
    </font>
    <font>
      <i val="true"/>
      <sz val="10"/>
      <color rgb="FF404040"/>
      <name val="Arial"/>
      <family val="0"/>
      <charset val="1"/>
    </font>
  </fonts>
  <fills count="11">
    <fill>
      <patternFill patternType="none"/>
    </fill>
    <fill>
      <patternFill patternType="gray125"/>
    </fill>
    <fill>
      <patternFill patternType="solid">
        <fgColor rgb="FFDDEBF7"/>
        <bgColor rgb="FFF2F2F2"/>
      </patternFill>
    </fill>
    <fill>
      <patternFill patternType="solid">
        <fgColor rgb="FFF7F7F7"/>
        <bgColor rgb="FFF2F2F2"/>
      </patternFill>
    </fill>
    <fill>
      <patternFill patternType="solid">
        <fgColor rgb="FFBF9000"/>
        <bgColor rgb="FFFF6600"/>
      </patternFill>
    </fill>
    <fill>
      <patternFill patternType="solid">
        <fgColor rgb="FF548235"/>
        <bgColor rgb="FF339966"/>
      </patternFill>
    </fill>
    <fill>
      <patternFill patternType="solid">
        <fgColor rgb="FF2E75B6"/>
        <bgColor rgb="FF0066CC"/>
      </patternFill>
    </fill>
    <fill>
      <patternFill patternType="solid">
        <fgColor rgb="FF1F3864"/>
        <bgColor rgb="FF333399"/>
      </patternFill>
    </fill>
    <fill>
      <patternFill patternType="solid">
        <fgColor rgb="FFFFFF00"/>
        <bgColor rgb="FFFFFF00"/>
      </patternFill>
    </fill>
    <fill>
      <patternFill patternType="solid">
        <fgColor rgb="FFFFF2CC"/>
        <bgColor rgb="FFF2F2F2"/>
      </patternFill>
    </fill>
    <fill>
      <patternFill patternType="solid">
        <fgColor rgb="FFF2F2F2"/>
        <bgColor rgb="FFF7F7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true">
      <alignment horizontal="general" vertical="bottom" textRotation="0" wrapText="false" indent="0" shrinkToFit="false"/>
      <protection locked="fals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center" textRotation="0" wrapText="true" indent="0" shrinkToFit="false"/>
      <protection locked="true" hidden="false"/>
    </xf>
    <xf numFmtId="164" fontId="10" fillId="3" borderId="0"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8" borderId="1" xfId="0" applyFont="true" applyBorder="true" applyAlignment="true" applyProtection="true">
      <alignment horizontal="general" vertical="center" textRotation="0" wrapText="true" indent="0" shrinkToFit="false"/>
      <protection locked="false" hidden="false"/>
    </xf>
    <xf numFmtId="167" fontId="7" fillId="8" borderId="1" xfId="0" applyFont="true" applyBorder="true" applyAlignment="true" applyProtection="true">
      <alignment horizontal="general" vertical="center" textRotation="0" wrapText="false" indent="0" shrinkToFit="false"/>
      <protection locked="false" hidden="false"/>
    </xf>
    <xf numFmtId="168" fontId="7" fillId="8" borderId="1" xfId="0" applyFont="true" applyBorder="true" applyAlignment="true" applyProtection="true">
      <alignment horizontal="general" vertical="center" textRotation="0" wrapText="false" indent="0" shrinkToFit="false"/>
      <protection locked="false" hidden="false"/>
    </xf>
    <xf numFmtId="167" fontId="7" fillId="9" borderId="1" xfId="0" applyFont="true" applyBorder="true" applyAlignment="true" applyProtection="true">
      <alignment horizontal="general" vertical="center" textRotation="0" wrapText="false" indent="0" shrinkToFit="false"/>
      <protection locked="false" hidden="false"/>
    </xf>
    <xf numFmtId="168" fontId="7" fillId="9" borderId="1" xfId="0" applyFont="true" applyBorder="true" applyAlignment="true" applyProtection="true">
      <alignment horizontal="general" vertical="center" textRotation="0" wrapText="false" indent="0" shrinkToFit="false"/>
      <protection locked="false" hidden="false"/>
    </xf>
    <xf numFmtId="166" fontId="7" fillId="9" borderId="1" xfId="0" applyFont="true" applyBorder="true" applyAlignment="true" applyProtection="true">
      <alignment horizontal="general" vertical="center" textRotation="0" wrapText="true" indent="0" shrinkToFit="false"/>
      <protection locked="false" hidden="false"/>
    </xf>
    <xf numFmtId="164" fontId="7" fillId="10" borderId="1" xfId="0" applyFont="true" applyBorder="true" applyAlignment="false" applyProtection="false">
      <alignment horizontal="general" vertical="bottom" textRotation="0" wrapText="false" indent="0" shrinkToFit="false"/>
      <protection locked="true" hidden="false"/>
    </xf>
    <xf numFmtId="165" fontId="7" fillId="1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9" fontId="7" fillId="8" borderId="1" xfId="0" applyFont="true" applyBorder="true" applyAlignment="true" applyProtection="true">
      <alignment horizontal="general" vertical="center" textRotation="0" wrapText="false" indent="0" shrinkToFit="false"/>
      <protection locked="false" hidden="false"/>
    </xf>
    <xf numFmtId="170" fontId="7" fillId="8" borderId="1" xfId="0" applyFont="true" applyBorder="true" applyAlignment="true" applyProtection="true">
      <alignment horizontal="general" vertical="center" textRotation="0" wrapText="false" indent="0" shrinkToFit="false"/>
      <protection locked="false" hidden="false"/>
    </xf>
    <xf numFmtId="171" fontId="7" fillId="8" borderId="1" xfId="0" applyFont="true" applyBorder="true" applyAlignment="true" applyProtection="true">
      <alignment horizontal="general" vertical="center" textRotation="0" wrapText="false" indent="0" shrinkToFit="false"/>
      <protection locked="false" hidden="false"/>
    </xf>
    <xf numFmtId="172" fontId="7" fillId="8" borderId="1" xfId="0" applyFont="true" applyBorder="true" applyAlignment="true" applyProtection="true">
      <alignment horizontal="general" vertical="center" textRotation="0" wrapText="false" indent="0" shrinkToFit="false"/>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F7F7F7"/>
      <rgbColor rgb="FFFFFF99"/>
      <rgbColor rgb="FF99CCFF"/>
      <rgbColor rgb="FFFF99CC"/>
      <rgbColor rgb="FFCC99FF"/>
      <rgbColor rgb="FFFFCC99"/>
      <rgbColor rgb="FF2E75B6"/>
      <rgbColor rgb="FF33CCCC"/>
      <rgbColor rgb="FF99CC00"/>
      <rgbColor rgb="FFFFCC00"/>
      <rgbColor rgb="FFBF9000"/>
      <rgbColor rgb="FFFF6600"/>
      <rgbColor rgb="FF666699"/>
      <rgbColor rgb="FF969696"/>
      <rgbColor rgb="FF1F3864"/>
      <rgbColor rgb="FF339966"/>
      <rgbColor rgb="FF003300"/>
      <rgbColor rgb="FF40404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3"/>
  <sheetViews>
    <sheetView showFormulas="false" showGridLines="true" showRowColHeaders="true" showZeros="true" rightToLeft="false" tabSelected="true" showOutlineSymbols="true" defaultGridColor="true" view="normal" topLeftCell="A18" colorId="64" zoomScale="100" zoomScaleNormal="100" zoomScalePageLayoutView="100" workbookViewId="0">
      <pane xSplit="8" ySplit="0" topLeftCell="I18" activePane="topRight" state="frozen"/>
      <selection pane="topLeft" activeCell="A18" activeCellId="0" sqref="A18"/>
      <selection pane="top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6"/>
    <col collapsed="false" customWidth="true" hidden="false" outlineLevel="0" max="6" min="6" style="0" width="9"/>
    <col collapsed="false" customWidth="true" hidden="false" outlineLevel="0" max="7" min="7" style="0" width="8"/>
    <col collapsed="false" customWidth="true" hidden="false" outlineLevel="0" max="8" min="8" style="0" width="10"/>
    <col collapsed="false" customWidth="true" hidden="false" outlineLevel="0" max="9" min="9" style="0" width="20"/>
    <col collapsed="false" customWidth="true" hidden="false" outlineLevel="0" max="10" min="10" style="0" width="12"/>
    <col collapsed="false" customWidth="true" hidden="false" outlineLevel="0" max="11" min="11" style="0" width="9"/>
    <col collapsed="false" customWidth="true" hidden="false" outlineLevel="0" max="12" min="12" style="0" width="14"/>
    <col collapsed="false" customWidth="true" hidden="false" outlineLevel="0" max="13" min="13" style="0" width="10"/>
    <col collapsed="false" customWidth="true" hidden="false" outlineLevel="0" max="14" min="14" style="0" width="18"/>
    <col collapsed="false" customWidth="true" hidden="false" outlineLevel="0" max="15" min="15" style="0" width="12"/>
    <col collapsed="false" customWidth="true" hidden="false" outlineLevel="0" max="16" min="16" style="0" width="9"/>
    <col collapsed="false" customWidth="true" hidden="false" outlineLevel="0" max="17" min="17" style="0" width="34"/>
    <col collapsed="false" customWidth="true" hidden="false" outlineLevel="0" max="18" min="18" style="0" width="24"/>
  </cols>
  <sheetData>
    <row r="1" customFormat="false" ht="17.35" hidden="false" customHeight="true" outlineLevel="0" collapsed="false">
      <c r="A1" s="1" t="s">
        <v>0</v>
      </c>
      <c r="B1" s="1"/>
      <c r="C1" s="1"/>
      <c r="D1" s="1"/>
      <c r="E1" s="1"/>
      <c r="F1" s="1"/>
      <c r="G1" s="1"/>
      <c r="H1" s="1"/>
      <c r="I1" s="1"/>
      <c r="J1" s="1"/>
      <c r="K1" s="1"/>
      <c r="L1" s="1"/>
      <c r="M1" s="1"/>
      <c r="N1" s="1"/>
      <c r="O1" s="1"/>
      <c r="P1" s="1"/>
      <c r="Q1" s="1"/>
      <c r="R1" s="1"/>
    </row>
    <row r="2" customFormat="false" ht="30" hidden="false" customHeight="true" outlineLevel="0" collapsed="false">
      <c r="A2" s="2" t="s">
        <v>1</v>
      </c>
      <c r="B2" s="2"/>
      <c r="C2" s="2"/>
      <c r="D2" s="2"/>
      <c r="E2" s="2"/>
      <c r="F2" s="2"/>
      <c r="G2" s="2"/>
      <c r="H2" s="2"/>
      <c r="I2" s="2"/>
      <c r="J2" s="2"/>
      <c r="K2" s="2"/>
      <c r="L2" s="2"/>
      <c r="M2" s="2"/>
      <c r="N2" s="2"/>
      <c r="O2" s="2"/>
      <c r="P2" s="2"/>
      <c r="Q2" s="2"/>
      <c r="R2" s="2"/>
    </row>
    <row r="4" customFormat="false" ht="15" hidden="false" customHeight="false" outlineLevel="0" collapsed="false">
      <c r="A4" s="3" t="s">
        <v>2</v>
      </c>
      <c r="B4" s="3"/>
      <c r="C4" s="3"/>
      <c r="D4" s="4" t="s">
        <v>3</v>
      </c>
      <c r="E4" s="4"/>
      <c r="F4" s="4"/>
      <c r="G4" s="4"/>
      <c r="H4" s="4"/>
      <c r="I4" s="4"/>
      <c r="J4" s="4"/>
      <c r="L4" s="5" t="s">
        <v>4</v>
      </c>
    </row>
    <row r="5" customFormat="false" ht="15" hidden="false" customHeight="false" outlineLevel="0" collapsed="false">
      <c r="A5" s="3" t="s">
        <v>5</v>
      </c>
      <c r="B5" s="3"/>
      <c r="C5" s="3"/>
      <c r="D5" s="4" t="s">
        <v>6</v>
      </c>
      <c r="E5" s="4"/>
      <c r="F5" s="4"/>
      <c r="G5" s="4"/>
      <c r="H5" s="4"/>
      <c r="I5" s="4"/>
      <c r="J5" s="4"/>
      <c r="L5" s="6" t="str">
        <f aca="false">IF(COUNTIF(R19:R51,"OK")+COUNTIF(R19:R51,"Not offered")=33,"No problems found",33-COUNTIF(R19:R51,"OK")-COUNTIF(R19:R51,"Not offered")&amp;" rows to check, see column R")</f>
        <v>No problems found</v>
      </c>
      <c r="M5" s="6"/>
      <c r="N5" s="6"/>
      <c r="O5" s="6"/>
      <c r="P5" s="6"/>
      <c r="Q5" s="6"/>
      <c r="R5" s="6"/>
    </row>
    <row r="6" customFormat="false" ht="15" hidden="false" customHeight="false" outlineLevel="0" collapsed="false">
      <c r="A6" s="3" t="s">
        <v>7</v>
      </c>
      <c r="B6" s="3"/>
      <c r="C6" s="3"/>
      <c r="D6" s="4" t="s">
        <v>6</v>
      </c>
      <c r="E6" s="4"/>
      <c r="F6" s="4"/>
      <c r="G6" s="4"/>
      <c r="H6" s="4"/>
      <c r="I6" s="4"/>
      <c r="J6" s="4"/>
      <c r="L6" s="6"/>
      <c r="M6" s="6"/>
      <c r="N6" s="6"/>
      <c r="O6" s="6"/>
      <c r="P6" s="6"/>
      <c r="Q6" s="6"/>
      <c r="R6" s="6"/>
    </row>
    <row r="7" customFormat="false" ht="15" hidden="false" customHeight="false" outlineLevel="0" collapsed="false">
      <c r="A7" s="3" t="s">
        <v>8</v>
      </c>
      <c r="B7" s="3"/>
      <c r="C7" s="3"/>
      <c r="D7" s="7" t="s">
        <v>9</v>
      </c>
      <c r="E7" s="7"/>
      <c r="F7" s="7"/>
      <c r="G7" s="7"/>
      <c r="H7" s="7"/>
      <c r="I7" s="7"/>
      <c r="J7" s="7"/>
    </row>
    <row r="9" customFormat="false" ht="18" hidden="false" customHeight="true" outlineLevel="0" collapsed="false">
      <c r="A9" s="8" t="s">
        <v>10</v>
      </c>
      <c r="B9" s="8"/>
      <c r="C9" s="8"/>
      <c r="D9" s="8"/>
      <c r="E9" s="8"/>
      <c r="F9" s="8"/>
      <c r="G9" s="8"/>
      <c r="H9" s="8"/>
      <c r="I9" s="8"/>
      <c r="J9" s="8"/>
      <c r="K9" s="8"/>
      <c r="L9" s="8"/>
      <c r="M9" s="8"/>
      <c r="N9" s="8"/>
      <c r="O9" s="8"/>
      <c r="P9" s="8"/>
      <c r="Q9" s="8"/>
      <c r="R9" s="8"/>
    </row>
    <row r="10" customFormat="false" ht="25.5" hidden="false" customHeight="true" outlineLevel="0" collapsed="false">
      <c r="A10" s="9" t="s">
        <v>11</v>
      </c>
      <c r="B10" s="9"/>
      <c r="C10" s="9"/>
      <c r="D10" s="9"/>
      <c r="E10" s="9"/>
      <c r="F10" s="9"/>
      <c r="G10" s="9"/>
      <c r="H10" s="9"/>
      <c r="I10" s="9"/>
      <c r="J10" s="9"/>
      <c r="K10" s="9"/>
      <c r="L10" s="9"/>
      <c r="M10" s="9"/>
      <c r="N10" s="9"/>
      <c r="O10" s="9"/>
      <c r="P10" s="9"/>
      <c r="Q10" s="9"/>
      <c r="R10" s="9"/>
    </row>
    <row r="11" customFormat="false" ht="25.5" hidden="false" customHeight="true" outlineLevel="0" collapsed="false">
      <c r="A11" s="9" t="s">
        <v>12</v>
      </c>
      <c r="B11" s="9"/>
      <c r="C11" s="9"/>
      <c r="D11" s="9"/>
      <c r="E11" s="9"/>
      <c r="F11" s="9"/>
      <c r="G11" s="9"/>
      <c r="H11" s="9"/>
      <c r="I11" s="9"/>
      <c r="J11" s="9"/>
      <c r="K11" s="9"/>
      <c r="L11" s="9"/>
      <c r="M11" s="9"/>
      <c r="N11" s="9"/>
      <c r="O11" s="9"/>
      <c r="P11" s="9"/>
      <c r="Q11" s="9"/>
      <c r="R11" s="9"/>
    </row>
    <row r="12" customFormat="false" ht="25.5" hidden="false" customHeight="true" outlineLevel="0" collapsed="false">
      <c r="A12" s="9" t="s">
        <v>13</v>
      </c>
      <c r="B12" s="9"/>
      <c r="C12" s="9"/>
      <c r="D12" s="9"/>
      <c r="E12" s="9"/>
      <c r="F12" s="9"/>
      <c r="G12" s="9"/>
      <c r="H12" s="9"/>
      <c r="I12" s="9"/>
      <c r="J12" s="9"/>
      <c r="K12" s="9"/>
      <c r="L12" s="9"/>
      <c r="M12" s="9"/>
      <c r="N12" s="9"/>
      <c r="O12" s="9"/>
      <c r="P12" s="9"/>
      <c r="Q12" s="9"/>
      <c r="R12" s="9"/>
    </row>
    <row r="13" customFormat="false" ht="25.5" hidden="false" customHeight="true" outlineLevel="0" collapsed="false">
      <c r="A13" s="9" t="s">
        <v>14</v>
      </c>
      <c r="B13" s="9"/>
      <c r="C13" s="9"/>
      <c r="D13" s="9"/>
      <c r="E13" s="9"/>
      <c r="F13" s="9"/>
      <c r="G13" s="9"/>
      <c r="H13" s="9"/>
      <c r="I13" s="9"/>
      <c r="J13" s="9"/>
      <c r="K13" s="9"/>
      <c r="L13" s="9"/>
      <c r="M13" s="9"/>
      <c r="N13" s="9"/>
      <c r="O13" s="9"/>
      <c r="P13" s="9"/>
      <c r="Q13" s="9"/>
      <c r="R13" s="9"/>
    </row>
    <row r="14" customFormat="false" ht="25.5" hidden="false" customHeight="true" outlineLevel="0" collapsed="false">
      <c r="A14" s="9" t="s">
        <v>15</v>
      </c>
      <c r="B14" s="9"/>
      <c r="C14" s="9"/>
      <c r="D14" s="9"/>
      <c r="E14" s="9"/>
      <c r="F14" s="9"/>
      <c r="G14" s="9"/>
      <c r="H14" s="9"/>
      <c r="I14" s="9"/>
      <c r="J14" s="9"/>
      <c r="K14" s="9"/>
      <c r="L14" s="9"/>
      <c r="M14" s="9"/>
      <c r="N14" s="9"/>
      <c r="O14" s="9"/>
      <c r="P14" s="9"/>
      <c r="Q14" s="9"/>
      <c r="R14" s="9"/>
    </row>
    <row r="16" customFormat="false" ht="39.75" hidden="false" customHeight="true" outlineLevel="0" collapsed="false">
      <c r="I16" s="10" t="s">
        <v>16</v>
      </c>
      <c r="J16" s="10"/>
      <c r="K16" s="10"/>
      <c r="L16" s="11" t="s">
        <v>17</v>
      </c>
      <c r="M16" s="11"/>
      <c r="N16" s="12" t="s">
        <v>18</v>
      </c>
      <c r="O16" s="12"/>
      <c r="P16" s="12"/>
    </row>
    <row r="17" customFormat="false" ht="30" hidden="false" customHeight="true" outlineLevel="0" collapsed="false">
      <c r="A17" s="13" t="s">
        <v>19</v>
      </c>
      <c r="B17" s="13" t="s">
        <v>20</v>
      </c>
      <c r="C17" s="13" t="s">
        <v>21</v>
      </c>
      <c r="D17" s="13" t="s">
        <v>22</v>
      </c>
      <c r="E17" s="13" t="s">
        <v>23</v>
      </c>
      <c r="F17" s="13" t="s">
        <v>24</v>
      </c>
      <c r="G17" s="13" t="s">
        <v>25</v>
      </c>
      <c r="H17" s="13" t="s">
        <v>26</v>
      </c>
      <c r="I17" s="10" t="s">
        <v>27</v>
      </c>
      <c r="J17" s="10" t="s">
        <v>28</v>
      </c>
      <c r="K17" s="10" t="s">
        <v>29</v>
      </c>
      <c r="L17" s="11" t="s">
        <v>30</v>
      </c>
      <c r="M17" s="11" t="s">
        <v>29</v>
      </c>
      <c r="N17" s="12" t="s">
        <v>27</v>
      </c>
      <c r="O17" s="12" t="s">
        <v>28</v>
      </c>
      <c r="P17" s="12" t="s">
        <v>29</v>
      </c>
      <c r="Q17" s="10" t="s">
        <v>31</v>
      </c>
      <c r="R17" s="14" t="s">
        <v>32</v>
      </c>
    </row>
    <row r="18" customFormat="false" ht="15" hidden="false" customHeight="false" outlineLevel="0" collapsed="false">
      <c r="A18" s="15" t="s">
        <v>33</v>
      </c>
      <c r="B18" s="15" t="s">
        <v>34</v>
      </c>
      <c r="C18" s="15" t="s">
        <v>35</v>
      </c>
      <c r="D18" s="15" t="s">
        <v>36</v>
      </c>
      <c r="E18" s="15" t="s">
        <v>37</v>
      </c>
      <c r="F18" s="15" t="n">
        <v>8</v>
      </c>
      <c r="G18" s="15" t="n">
        <v>1</v>
      </c>
      <c r="H18" s="15" t="n">
        <v>0.096</v>
      </c>
      <c r="I18" s="15" t="s">
        <v>38</v>
      </c>
      <c r="J18" s="15" t="n">
        <v>25</v>
      </c>
      <c r="K18" s="15" t="n">
        <v>1</v>
      </c>
      <c r="L18" s="15" t="n">
        <v>14</v>
      </c>
      <c r="M18" s="15" t="n">
        <v>1</v>
      </c>
      <c r="N18" s="15" t="s">
        <v>39</v>
      </c>
      <c r="O18" s="15" t="n">
        <v>18</v>
      </c>
      <c r="P18" s="15" t="n">
        <v>2</v>
      </c>
      <c r="Q18" s="15" t="s">
        <v>40</v>
      </c>
      <c r="R18" s="15" t="s">
        <v>41</v>
      </c>
    </row>
    <row r="19" customFormat="false" ht="15" hidden="false" customHeight="false" outlineLevel="0" collapsed="false">
      <c r="A19" s="16" t="s">
        <v>42</v>
      </c>
      <c r="B19" s="16" t="s">
        <v>43</v>
      </c>
      <c r="C19" s="16" t="s">
        <v>44</v>
      </c>
      <c r="D19" s="16" t="s">
        <v>45</v>
      </c>
      <c r="E19" s="16" t="s">
        <v>37</v>
      </c>
      <c r="F19" s="16" t="n">
        <v>8</v>
      </c>
      <c r="G19" s="16" t="n">
        <v>1</v>
      </c>
      <c r="H19" s="17" t="n">
        <v>0.096</v>
      </c>
      <c r="I19" s="18"/>
      <c r="J19" s="19"/>
      <c r="K19" s="20"/>
      <c r="L19" s="21"/>
      <c r="M19" s="22"/>
      <c r="N19" s="23"/>
      <c r="O19" s="21"/>
      <c r="P19" s="22"/>
      <c r="Q19" s="18"/>
      <c r="R19" s="16" t="str">
        <f aca="false">IF(OR(AND(J19&lt;&gt;"",NOT(ISNUMBER(J19))),AND(K19&lt;&gt;"",NOT(ISNUMBER(K19))),AND(L19&lt;&gt;"",NOT(ISNUMBER(L19))),AND(M19&lt;&gt;"",NOT(ISNUMBER(M19))),AND(O19&lt;&gt;"",NOT(ISNUMBER(O19))),AND(P19&lt;&gt;"",NOT(ISNUMBER(P19)))),"Number needed",IF(AND(I19="",J19="",K19=""),"Not offered",IF(J19="","Price missing",IF(K19="","Transit days missing",IF(AND(L19&lt;&gt;"",M19=""),"Option 2 transit days missing",IF(AND(O19&lt;&gt;"",P19=""),"Option 3 transit days missing","OK"))))))</f>
        <v>Not offered</v>
      </c>
    </row>
    <row r="20" customFormat="false" ht="15" hidden="false" customHeight="false" outlineLevel="0" collapsed="false">
      <c r="A20" s="24" t="s">
        <v>46</v>
      </c>
      <c r="B20" s="24" t="s">
        <v>43</v>
      </c>
      <c r="C20" s="24" t="s">
        <v>44</v>
      </c>
      <c r="D20" s="24" t="s">
        <v>45</v>
      </c>
      <c r="E20" s="24" t="s">
        <v>47</v>
      </c>
      <c r="F20" s="24" t="n">
        <v>52</v>
      </c>
      <c r="G20" s="24" t="n">
        <v>4</v>
      </c>
      <c r="H20" s="25" t="n">
        <v>0.384</v>
      </c>
      <c r="I20" s="18"/>
      <c r="J20" s="19"/>
      <c r="K20" s="20"/>
      <c r="L20" s="21"/>
      <c r="M20" s="22"/>
      <c r="N20" s="23"/>
      <c r="O20" s="21"/>
      <c r="P20" s="22"/>
      <c r="Q20" s="18"/>
      <c r="R20" s="16" t="str">
        <f aca="false">IF(OR(AND(J20&lt;&gt;"",NOT(ISNUMBER(J20))),AND(K20&lt;&gt;"",NOT(ISNUMBER(K20))),AND(L20&lt;&gt;"",NOT(ISNUMBER(L20))),AND(M20&lt;&gt;"",NOT(ISNUMBER(M20))),AND(O20&lt;&gt;"",NOT(ISNUMBER(O20))),AND(P20&lt;&gt;"",NOT(ISNUMBER(P20)))),"Number needed",IF(AND(I20="",J20="",K20=""),"Not offered",IF(J20="","Price missing",IF(K20="","Transit days missing",IF(AND(L20&lt;&gt;"",M20=""),"Option 2 transit days missing",IF(AND(O20&lt;&gt;"",P20=""),"Option 3 transit days missing","OK"))))))</f>
        <v>Not offered</v>
      </c>
    </row>
    <row r="21" customFormat="false" ht="15" hidden="false" customHeight="false" outlineLevel="0" collapsed="false">
      <c r="A21" s="16" t="s">
        <v>48</v>
      </c>
      <c r="B21" s="16" t="s">
        <v>43</v>
      </c>
      <c r="C21" s="16" t="s">
        <v>44</v>
      </c>
      <c r="D21" s="16" t="s">
        <v>45</v>
      </c>
      <c r="E21" s="16" t="s">
        <v>49</v>
      </c>
      <c r="F21" s="16" t="n">
        <v>261</v>
      </c>
      <c r="G21" s="16" t="n">
        <v>18</v>
      </c>
      <c r="H21" s="17" t="n">
        <v>1.728</v>
      </c>
      <c r="I21" s="18"/>
      <c r="J21" s="19"/>
      <c r="K21" s="20"/>
      <c r="L21" s="21"/>
      <c r="M21" s="22"/>
      <c r="N21" s="23"/>
      <c r="O21" s="21"/>
      <c r="P21" s="22"/>
      <c r="Q21" s="18"/>
      <c r="R21" s="16" t="str">
        <f aca="false">IF(OR(AND(J21&lt;&gt;"",NOT(ISNUMBER(J21))),AND(K21&lt;&gt;"",NOT(ISNUMBER(K21))),AND(L21&lt;&gt;"",NOT(ISNUMBER(L21))),AND(M21&lt;&gt;"",NOT(ISNUMBER(M21))),AND(O21&lt;&gt;"",NOT(ISNUMBER(O21))),AND(P21&lt;&gt;"",NOT(ISNUMBER(P21)))),"Number needed",IF(AND(I21="",J21="",K21=""),"Not offered",IF(J21="","Price missing",IF(K21="","Transit days missing",IF(AND(L21&lt;&gt;"",M21=""),"Option 2 transit days missing",IF(AND(O21&lt;&gt;"",P21=""),"Option 3 transit days missing","OK"))))))</f>
        <v>Not offered</v>
      </c>
    </row>
    <row r="22" customFormat="false" ht="15" hidden="false" customHeight="false" outlineLevel="0" collapsed="false">
      <c r="A22" s="24" t="s">
        <v>50</v>
      </c>
      <c r="B22" s="24" t="s">
        <v>43</v>
      </c>
      <c r="C22" s="24" t="s">
        <v>44</v>
      </c>
      <c r="D22" s="24" t="s">
        <v>45</v>
      </c>
      <c r="E22" s="24" t="s">
        <v>51</v>
      </c>
      <c r="F22" s="24" t="n">
        <v>941</v>
      </c>
      <c r="G22" s="24" t="n">
        <v>64</v>
      </c>
      <c r="H22" s="25" t="n">
        <v>6.144</v>
      </c>
      <c r="I22" s="18"/>
      <c r="J22" s="19"/>
      <c r="K22" s="20"/>
      <c r="L22" s="21"/>
      <c r="M22" s="22"/>
      <c r="N22" s="23"/>
      <c r="O22" s="21"/>
      <c r="P22" s="22"/>
      <c r="Q22" s="18"/>
      <c r="R22" s="16" t="str">
        <f aca="false">IF(OR(AND(J22&lt;&gt;"",NOT(ISNUMBER(J22))),AND(K22&lt;&gt;"",NOT(ISNUMBER(K22))),AND(L22&lt;&gt;"",NOT(ISNUMBER(L22))),AND(M22&lt;&gt;"",NOT(ISNUMBER(M22))),AND(O22&lt;&gt;"",NOT(ISNUMBER(O22))),AND(P22&lt;&gt;"",NOT(ISNUMBER(P22)))),"Number needed",IF(AND(I22="",J22="",K22=""),"Not offered",IF(J22="","Price missing",IF(K22="","Transit days missing",IF(AND(L22&lt;&gt;"",M22=""),"Option 2 transit days missing",IF(AND(O22&lt;&gt;"",P22=""),"Option 3 transit days missing","OK"))))))</f>
        <v>Not offered</v>
      </c>
    </row>
    <row r="23" customFormat="false" ht="15" hidden="false" customHeight="false" outlineLevel="0" collapsed="false">
      <c r="A23" s="16" t="s">
        <v>52</v>
      </c>
      <c r="B23" s="16" t="s">
        <v>43</v>
      </c>
      <c r="C23" s="16" t="s">
        <v>44</v>
      </c>
      <c r="D23" s="16" t="s">
        <v>45</v>
      </c>
      <c r="E23" s="16" t="s">
        <v>53</v>
      </c>
      <c r="F23" s="16" t="n">
        <v>2380</v>
      </c>
      <c r="G23" s="16" t="n">
        <v>160</v>
      </c>
      <c r="H23" s="17" t="n">
        <v>15.36</v>
      </c>
      <c r="I23" s="18"/>
      <c r="J23" s="19"/>
      <c r="K23" s="20"/>
      <c r="L23" s="21"/>
      <c r="M23" s="22"/>
      <c r="N23" s="23"/>
      <c r="O23" s="21"/>
      <c r="P23" s="22"/>
      <c r="Q23" s="18"/>
      <c r="R23" s="16" t="str">
        <f aca="false">IF(OR(AND(J23&lt;&gt;"",NOT(ISNUMBER(J23))),AND(K23&lt;&gt;"",NOT(ISNUMBER(K23))),AND(L23&lt;&gt;"",NOT(ISNUMBER(L23))),AND(M23&lt;&gt;"",NOT(ISNUMBER(M23))),AND(O23&lt;&gt;"",NOT(ISNUMBER(O23))),AND(P23&lt;&gt;"",NOT(ISNUMBER(P23)))),"Number needed",IF(AND(I23="",J23="",K23=""),"Not offered",IF(J23="","Price missing",IF(K23="","Transit days missing",IF(AND(L23&lt;&gt;"",M23=""),"Option 2 transit days missing",IF(AND(O23&lt;&gt;"",P23=""),"Option 3 transit days missing","OK"))))))</f>
        <v>Not offered</v>
      </c>
    </row>
    <row r="24" customFormat="false" ht="15" hidden="false" customHeight="false" outlineLevel="0" collapsed="false">
      <c r="A24" s="24" t="s">
        <v>54</v>
      </c>
      <c r="B24" s="24" t="s">
        <v>55</v>
      </c>
      <c r="C24" s="24" t="s">
        <v>56</v>
      </c>
      <c r="D24" s="24" t="s">
        <v>57</v>
      </c>
      <c r="E24" s="24" t="s">
        <v>37</v>
      </c>
      <c r="F24" s="24" t="n">
        <v>8</v>
      </c>
      <c r="G24" s="24" t="n">
        <v>1</v>
      </c>
      <c r="H24" s="25" t="n">
        <v>0.096</v>
      </c>
      <c r="I24" s="18"/>
      <c r="J24" s="19"/>
      <c r="K24" s="20"/>
      <c r="L24" s="21"/>
      <c r="M24" s="22"/>
      <c r="N24" s="23"/>
      <c r="O24" s="21"/>
      <c r="P24" s="22"/>
      <c r="Q24" s="18"/>
      <c r="R24" s="16" t="str">
        <f aca="false">IF(OR(AND(J24&lt;&gt;"",NOT(ISNUMBER(J24))),AND(K24&lt;&gt;"",NOT(ISNUMBER(K24))),AND(L24&lt;&gt;"",NOT(ISNUMBER(L24))),AND(M24&lt;&gt;"",NOT(ISNUMBER(M24))),AND(O24&lt;&gt;"",NOT(ISNUMBER(O24))),AND(P24&lt;&gt;"",NOT(ISNUMBER(P24)))),"Number needed",IF(AND(I24="",J24="",K24=""),"Not offered",IF(J24="","Price missing",IF(K24="","Transit days missing",IF(AND(L24&lt;&gt;"",M24=""),"Option 2 transit days missing",IF(AND(O24&lt;&gt;"",P24=""),"Option 3 transit days missing","OK"))))))</f>
        <v>Not offered</v>
      </c>
    </row>
    <row r="25" customFormat="false" ht="15" hidden="false" customHeight="false" outlineLevel="0" collapsed="false">
      <c r="A25" s="16" t="s">
        <v>58</v>
      </c>
      <c r="B25" s="16" t="s">
        <v>55</v>
      </c>
      <c r="C25" s="16" t="s">
        <v>56</v>
      </c>
      <c r="D25" s="16" t="s">
        <v>57</v>
      </c>
      <c r="E25" s="16" t="s">
        <v>47</v>
      </c>
      <c r="F25" s="16" t="n">
        <v>52</v>
      </c>
      <c r="G25" s="16" t="n">
        <v>4</v>
      </c>
      <c r="H25" s="17" t="n">
        <v>0.384</v>
      </c>
      <c r="I25" s="18"/>
      <c r="J25" s="19"/>
      <c r="K25" s="20"/>
      <c r="L25" s="21"/>
      <c r="M25" s="22"/>
      <c r="N25" s="23"/>
      <c r="O25" s="21"/>
      <c r="P25" s="22"/>
      <c r="Q25" s="18"/>
      <c r="R25" s="16" t="str">
        <f aca="false">IF(OR(AND(J25&lt;&gt;"",NOT(ISNUMBER(J25))),AND(K25&lt;&gt;"",NOT(ISNUMBER(K25))),AND(L25&lt;&gt;"",NOT(ISNUMBER(L25))),AND(M25&lt;&gt;"",NOT(ISNUMBER(M25))),AND(O25&lt;&gt;"",NOT(ISNUMBER(O25))),AND(P25&lt;&gt;"",NOT(ISNUMBER(P25)))),"Number needed",IF(AND(I25="",J25="",K25=""),"Not offered",IF(J25="","Price missing",IF(K25="","Transit days missing",IF(AND(L25&lt;&gt;"",M25=""),"Option 2 transit days missing",IF(AND(O25&lt;&gt;"",P25=""),"Option 3 transit days missing","OK"))))))</f>
        <v>Not offered</v>
      </c>
    </row>
    <row r="26" customFormat="false" ht="15" hidden="false" customHeight="false" outlineLevel="0" collapsed="false">
      <c r="A26" s="24" t="s">
        <v>59</v>
      </c>
      <c r="B26" s="24" t="s">
        <v>55</v>
      </c>
      <c r="C26" s="24" t="s">
        <v>56</v>
      </c>
      <c r="D26" s="24" t="s">
        <v>57</v>
      </c>
      <c r="E26" s="24" t="s">
        <v>49</v>
      </c>
      <c r="F26" s="24" t="n">
        <v>261</v>
      </c>
      <c r="G26" s="24" t="n">
        <v>18</v>
      </c>
      <c r="H26" s="25" t="n">
        <v>1.728</v>
      </c>
      <c r="I26" s="18"/>
      <c r="J26" s="19"/>
      <c r="K26" s="20"/>
      <c r="L26" s="21"/>
      <c r="M26" s="22"/>
      <c r="N26" s="23"/>
      <c r="O26" s="21"/>
      <c r="P26" s="22"/>
      <c r="Q26" s="18"/>
      <c r="R26" s="16" t="str">
        <f aca="false">IF(OR(AND(J26&lt;&gt;"",NOT(ISNUMBER(J26))),AND(K26&lt;&gt;"",NOT(ISNUMBER(K26))),AND(L26&lt;&gt;"",NOT(ISNUMBER(L26))),AND(M26&lt;&gt;"",NOT(ISNUMBER(M26))),AND(O26&lt;&gt;"",NOT(ISNUMBER(O26))),AND(P26&lt;&gt;"",NOT(ISNUMBER(P26)))),"Number needed",IF(AND(I26="",J26="",K26=""),"Not offered",IF(J26="","Price missing",IF(K26="","Transit days missing",IF(AND(L26&lt;&gt;"",M26=""),"Option 2 transit days missing",IF(AND(O26&lt;&gt;"",P26=""),"Option 3 transit days missing","OK"))))))</f>
        <v>Not offered</v>
      </c>
    </row>
    <row r="27" customFormat="false" ht="15" hidden="false" customHeight="false" outlineLevel="0" collapsed="false">
      <c r="A27" s="16" t="s">
        <v>60</v>
      </c>
      <c r="B27" s="16" t="s">
        <v>61</v>
      </c>
      <c r="C27" s="16" t="s">
        <v>62</v>
      </c>
      <c r="D27" s="16" t="s">
        <v>63</v>
      </c>
      <c r="E27" s="16" t="s">
        <v>37</v>
      </c>
      <c r="F27" s="16" t="n">
        <v>8</v>
      </c>
      <c r="G27" s="16" t="n">
        <v>1</v>
      </c>
      <c r="H27" s="17" t="n">
        <v>0.096</v>
      </c>
      <c r="I27" s="18"/>
      <c r="J27" s="19"/>
      <c r="K27" s="20"/>
      <c r="L27" s="21"/>
      <c r="M27" s="22"/>
      <c r="N27" s="23"/>
      <c r="O27" s="21"/>
      <c r="P27" s="22"/>
      <c r="Q27" s="18"/>
      <c r="R27" s="16" t="str">
        <f aca="false">IF(OR(AND(J27&lt;&gt;"",NOT(ISNUMBER(J27))),AND(K27&lt;&gt;"",NOT(ISNUMBER(K27))),AND(L27&lt;&gt;"",NOT(ISNUMBER(L27))),AND(M27&lt;&gt;"",NOT(ISNUMBER(M27))),AND(O27&lt;&gt;"",NOT(ISNUMBER(O27))),AND(P27&lt;&gt;"",NOT(ISNUMBER(P27)))),"Number needed",IF(AND(I27="",J27="",K27=""),"Not offered",IF(J27="","Price missing",IF(K27="","Transit days missing",IF(AND(L27&lt;&gt;"",M27=""),"Option 2 transit days missing",IF(AND(O27&lt;&gt;"",P27=""),"Option 3 transit days missing","OK"))))))</f>
        <v>Not offered</v>
      </c>
    </row>
    <row r="28" customFormat="false" ht="15" hidden="false" customHeight="false" outlineLevel="0" collapsed="false">
      <c r="A28" s="24" t="s">
        <v>64</v>
      </c>
      <c r="B28" s="24" t="s">
        <v>61</v>
      </c>
      <c r="C28" s="24" t="s">
        <v>62</v>
      </c>
      <c r="D28" s="24" t="s">
        <v>63</v>
      </c>
      <c r="E28" s="24" t="s">
        <v>47</v>
      </c>
      <c r="F28" s="24" t="n">
        <v>52</v>
      </c>
      <c r="G28" s="24" t="n">
        <v>4</v>
      </c>
      <c r="H28" s="25" t="n">
        <v>0.384</v>
      </c>
      <c r="I28" s="18"/>
      <c r="J28" s="19"/>
      <c r="K28" s="20"/>
      <c r="L28" s="21"/>
      <c r="M28" s="22"/>
      <c r="N28" s="23"/>
      <c r="O28" s="21"/>
      <c r="P28" s="22"/>
      <c r="Q28" s="18"/>
      <c r="R28" s="16" t="str">
        <f aca="false">IF(OR(AND(J28&lt;&gt;"",NOT(ISNUMBER(J28))),AND(K28&lt;&gt;"",NOT(ISNUMBER(K28))),AND(L28&lt;&gt;"",NOT(ISNUMBER(L28))),AND(M28&lt;&gt;"",NOT(ISNUMBER(M28))),AND(O28&lt;&gt;"",NOT(ISNUMBER(O28))),AND(P28&lt;&gt;"",NOT(ISNUMBER(P28)))),"Number needed",IF(AND(I28="",J28="",K28=""),"Not offered",IF(J28="","Price missing",IF(K28="","Transit days missing",IF(AND(L28&lt;&gt;"",M28=""),"Option 2 transit days missing",IF(AND(O28&lt;&gt;"",P28=""),"Option 3 transit days missing","OK"))))))</f>
        <v>Not offered</v>
      </c>
    </row>
    <row r="29" customFormat="false" ht="15" hidden="false" customHeight="false" outlineLevel="0" collapsed="false">
      <c r="A29" s="16" t="s">
        <v>65</v>
      </c>
      <c r="B29" s="16" t="s">
        <v>61</v>
      </c>
      <c r="C29" s="16" t="s">
        <v>62</v>
      </c>
      <c r="D29" s="16" t="s">
        <v>63</v>
      </c>
      <c r="E29" s="16" t="s">
        <v>49</v>
      </c>
      <c r="F29" s="16" t="n">
        <v>261</v>
      </c>
      <c r="G29" s="16" t="n">
        <v>18</v>
      </c>
      <c r="H29" s="17" t="n">
        <v>1.728</v>
      </c>
      <c r="I29" s="18"/>
      <c r="J29" s="19"/>
      <c r="K29" s="20"/>
      <c r="L29" s="21"/>
      <c r="M29" s="22"/>
      <c r="N29" s="23"/>
      <c r="O29" s="21"/>
      <c r="P29" s="22"/>
      <c r="Q29" s="18"/>
      <c r="R29" s="16" t="str">
        <f aca="false">IF(OR(AND(J29&lt;&gt;"",NOT(ISNUMBER(J29))),AND(K29&lt;&gt;"",NOT(ISNUMBER(K29))),AND(L29&lt;&gt;"",NOT(ISNUMBER(L29))),AND(M29&lt;&gt;"",NOT(ISNUMBER(M29))),AND(O29&lt;&gt;"",NOT(ISNUMBER(O29))),AND(P29&lt;&gt;"",NOT(ISNUMBER(P29)))),"Number needed",IF(AND(I29="",J29="",K29=""),"Not offered",IF(J29="","Price missing",IF(K29="","Transit days missing",IF(AND(L29&lt;&gt;"",M29=""),"Option 2 transit days missing",IF(AND(O29&lt;&gt;"",P29=""),"Option 3 transit days missing","OK"))))))</f>
        <v>Not offered</v>
      </c>
    </row>
    <row r="30" customFormat="false" ht="15" hidden="false" customHeight="false" outlineLevel="0" collapsed="false">
      <c r="A30" s="24" t="s">
        <v>66</v>
      </c>
      <c r="B30" s="24" t="s">
        <v>61</v>
      </c>
      <c r="C30" s="24" t="s">
        <v>62</v>
      </c>
      <c r="D30" s="24" t="s">
        <v>63</v>
      </c>
      <c r="E30" s="24" t="s">
        <v>51</v>
      </c>
      <c r="F30" s="24" t="n">
        <v>941</v>
      </c>
      <c r="G30" s="24" t="n">
        <v>64</v>
      </c>
      <c r="H30" s="25" t="n">
        <v>6.144</v>
      </c>
      <c r="I30" s="18"/>
      <c r="J30" s="19"/>
      <c r="K30" s="20"/>
      <c r="L30" s="21"/>
      <c r="M30" s="22"/>
      <c r="N30" s="23"/>
      <c r="O30" s="21"/>
      <c r="P30" s="22"/>
      <c r="Q30" s="18"/>
      <c r="R30" s="16" t="str">
        <f aca="false">IF(OR(AND(J30&lt;&gt;"",NOT(ISNUMBER(J30))),AND(K30&lt;&gt;"",NOT(ISNUMBER(K30))),AND(L30&lt;&gt;"",NOT(ISNUMBER(L30))),AND(M30&lt;&gt;"",NOT(ISNUMBER(M30))),AND(O30&lt;&gt;"",NOT(ISNUMBER(O30))),AND(P30&lt;&gt;"",NOT(ISNUMBER(P30)))),"Number needed",IF(AND(I30="",J30="",K30=""),"Not offered",IF(J30="","Price missing",IF(K30="","Transit days missing",IF(AND(L30&lt;&gt;"",M30=""),"Option 2 transit days missing",IF(AND(O30&lt;&gt;"",P30=""),"Option 3 transit days missing","OK"))))))</f>
        <v>Not offered</v>
      </c>
    </row>
    <row r="31" customFormat="false" ht="15" hidden="false" customHeight="false" outlineLevel="0" collapsed="false">
      <c r="A31" s="16" t="s">
        <v>67</v>
      </c>
      <c r="B31" s="16" t="s">
        <v>68</v>
      </c>
      <c r="C31" s="16" t="s">
        <v>69</v>
      </c>
      <c r="D31" s="16" t="s">
        <v>70</v>
      </c>
      <c r="E31" s="16" t="s">
        <v>37</v>
      </c>
      <c r="F31" s="16" t="n">
        <v>8</v>
      </c>
      <c r="G31" s="16" t="n">
        <v>1</v>
      </c>
      <c r="H31" s="17" t="n">
        <v>0.096</v>
      </c>
      <c r="I31" s="18"/>
      <c r="J31" s="19"/>
      <c r="K31" s="20"/>
      <c r="L31" s="21"/>
      <c r="M31" s="22"/>
      <c r="N31" s="23"/>
      <c r="O31" s="21"/>
      <c r="P31" s="22"/>
      <c r="Q31" s="18"/>
      <c r="R31" s="16" t="str">
        <f aca="false">IF(OR(AND(J31&lt;&gt;"",NOT(ISNUMBER(J31))),AND(K31&lt;&gt;"",NOT(ISNUMBER(K31))),AND(L31&lt;&gt;"",NOT(ISNUMBER(L31))),AND(M31&lt;&gt;"",NOT(ISNUMBER(M31))),AND(O31&lt;&gt;"",NOT(ISNUMBER(O31))),AND(P31&lt;&gt;"",NOT(ISNUMBER(P31)))),"Number needed",IF(AND(I31="",J31="",K31=""),"Not offered",IF(J31="","Price missing",IF(K31="","Transit days missing",IF(AND(L31&lt;&gt;"",M31=""),"Option 2 transit days missing",IF(AND(O31&lt;&gt;"",P31=""),"Option 3 transit days missing","OK"))))))</f>
        <v>Not offered</v>
      </c>
    </row>
    <row r="32" customFormat="false" ht="15" hidden="false" customHeight="false" outlineLevel="0" collapsed="false">
      <c r="A32" s="24" t="s">
        <v>71</v>
      </c>
      <c r="B32" s="24" t="s">
        <v>68</v>
      </c>
      <c r="C32" s="24" t="s">
        <v>69</v>
      </c>
      <c r="D32" s="24" t="s">
        <v>70</v>
      </c>
      <c r="E32" s="24" t="s">
        <v>47</v>
      </c>
      <c r="F32" s="24" t="n">
        <v>52</v>
      </c>
      <c r="G32" s="24" t="n">
        <v>4</v>
      </c>
      <c r="H32" s="25" t="n">
        <v>0.384</v>
      </c>
      <c r="I32" s="18"/>
      <c r="J32" s="19"/>
      <c r="K32" s="20"/>
      <c r="L32" s="21"/>
      <c r="M32" s="22"/>
      <c r="N32" s="23"/>
      <c r="O32" s="21"/>
      <c r="P32" s="22"/>
      <c r="Q32" s="18"/>
      <c r="R32" s="16" t="str">
        <f aca="false">IF(OR(AND(J32&lt;&gt;"",NOT(ISNUMBER(J32))),AND(K32&lt;&gt;"",NOT(ISNUMBER(K32))),AND(L32&lt;&gt;"",NOT(ISNUMBER(L32))),AND(M32&lt;&gt;"",NOT(ISNUMBER(M32))),AND(O32&lt;&gt;"",NOT(ISNUMBER(O32))),AND(P32&lt;&gt;"",NOT(ISNUMBER(P32)))),"Number needed",IF(AND(I32="",J32="",K32=""),"Not offered",IF(J32="","Price missing",IF(K32="","Transit days missing",IF(AND(L32&lt;&gt;"",M32=""),"Option 2 transit days missing",IF(AND(O32&lt;&gt;"",P32=""),"Option 3 transit days missing","OK"))))))</f>
        <v>Not offered</v>
      </c>
    </row>
    <row r="33" customFormat="false" ht="15" hidden="false" customHeight="false" outlineLevel="0" collapsed="false">
      <c r="A33" s="16" t="s">
        <v>72</v>
      </c>
      <c r="B33" s="16" t="s">
        <v>68</v>
      </c>
      <c r="C33" s="16" t="s">
        <v>69</v>
      </c>
      <c r="D33" s="16" t="s">
        <v>70</v>
      </c>
      <c r="E33" s="16" t="s">
        <v>49</v>
      </c>
      <c r="F33" s="16" t="n">
        <v>261</v>
      </c>
      <c r="G33" s="16" t="n">
        <v>18</v>
      </c>
      <c r="H33" s="17" t="n">
        <v>1.728</v>
      </c>
      <c r="I33" s="18"/>
      <c r="J33" s="19"/>
      <c r="K33" s="20"/>
      <c r="L33" s="21"/>
      <c r="M33" s="22"/>
      <c r="N33" s="23"/>
      <c r="O33" s="21"/>
      <c r="P33" s="22"/>
      <c r="Q33" s="18"/>
      <c r="R33" s="16" t="str">
        <f aca="false">IF(OR(AND(J33&lt;&gt;"",NOT(ISNUMBER(J33))),AND(K33&lt;&gt;"",NOT(ISNUMBER(K33))),AND(L33&lt;&gt;"",NOT(ISNUMBER(L33))),AND(M33&lt;&gt;"",NOT(ISNUMBER(M33))),AND(O33&lt;&gt;"",NOT(ISNUMBER(O33))),AND(P33&lt;&gt;"",NOT(ISNUMBER(P33)))),"Number needed",IF(AND(I33="",J33="",K33=""),"Not offered",IF(J33="","Price missing",IF(K33="","Transit days missing",IF(AND(L33&lt;&gt;"",M33=""),"Option 2 transit days missing",IF(AND(O33&lt;&gt;"",P33=""),"Option 3 transit days missing","OK"))))))</f>
        <v>Not offered</v>
      </c>
    </row>
    <row r="34" customFormat="false" ht="15" hidden="false" customHeight="false" outlineLevel="0" collapsed="false">
      <c r="A34" s="24" t="s">
        <v>73</v>
      </c>
      <c r="B34" s="24" t="s">
        <v>74</v>
      </c>
      <c r="C34" s="24" t="s">
        <v>75</v>
      </c>
      <c r="D34" s="24" t="s">
        <v>76</v>
      </c>
      <c r="E34" s="24" t="s">
        <v>37</v>
      </c>
      <c r="F34" s="24" t="n">
        <v>8</v>
      </c>
      <c r="G34" s="24" t="n">
        <v>1</v>
      </c>
      <c r="H34" s="25" t="n">
        <v>0.096</v>
      </c>
      <c r="I34" s="18"/>
      <c r="J34" s="19"/>
      <c r="K34" s="20"/>
      <c r="L34" s="21"/>
      <c r="M34" s="22"/>
      <c r="N34" s="23"/>
      <c r="O34" s="21"/>
      <c r="P34" s="22"/>
      <c r="Q34" s="18"/>
      <c r="R34" s="16" t="str">
        <f aca="false">IF(OR(AND(J34&lt;&gt;"",NOT(ISNUMBER(J34))),AND(K34&lt;&gt;"",NOT(ISNUMBER(K34))),AND(L34&lt;&gt;"",NOT(ISNUMBER(L34))),AND(M34&lt;&gt;"",NOT(ISNUMBER(M34))),AND(O34&lt;&gt;"",NOT(ISNUMBER(O34))),AND(P34&lt;&gt;"",NOT(ISNUMBER(P34)))),"Number needed",IF(AND(I34="",J34="",K34=""),"Not offered",IF(J34="","Price missing",IF(K34="","Transit days missing",IF(AND(L34&lt;&gt;"",M34=""),"Option 2 transit days missing",IF(AND(O34&lt;&gt;"",P34=""),"Option 3 transit days missing","OK"))))))</f>
        <v>Not offered</v>
      </c>
    </row>
    <row r="35" customFormat="false" ht="15" hidden="false" customHeight="false" outlineLevel="0" collapsed="false">
      <c r="A35" s="16" t="s">
        <v>77</v>
      </c>
      <c r="B35" s="16" t="s">
        <v>74</v>
      </c>
      <c r="C35" s="16" t="s">
        <v>75</v>
      </c>
      <c r="D35" s="16" t="s">
        <v>76</v>
      </c>
      <c r="E35" s="16" t="s">
        <v>47</v>
      </c>
      <c r="F35" s="16" t="n">
        <v>52</v>
      </c>
      <c r="G35" s="16" t="n">
        <v>4</v>
      </c>
      <c r="H35" s="17" t="n">
        <v>0.384</v>
      </c>
      <c r="I35" s="18"/>
      <c r="J35" s="19"/>
      <c r="K35" s="20"/>
      <c r="L35" s="21"/>
      <c r="M35" s="22"/>
      <c r="N35" s="23"/>
      <c r="O35" s="21"/>
      <c r="P35" s="22"/>
      <c r="Q35" s="18"/>
      <c r="R35" s="16" t="str">
        <f aca="false">IF(OR(AND(J35&lt;&gt;"",NOT(ISNUMBER(J35))),AND(K35&lt;&gt;"",NOT(ISNUMBER(K35))),AND(L35&lt;&gt;"",NOT(ISNUMBER(L35))),AND(M35&lt;&gt;"",NOT(ISNUMBER(M35))),AND(O35&lt;&gt;"",NOT(ISNUMBER(O35))),AND(P35&lt;&gt;"",NOT(ISNUMBER(P35)))),"Number needed",IF(AND(I35="",J35="",K35=""),"Not offered",IF(J35="","Price missing",IF(K35="","Transit days missing",IF(AND(L35&lt;&gt;"",M35=""),"Option 2 transit days missing",IF(AND(O35&lt;&gt;"",P35=""),"Option 3 transit days missing","OK"))))))</f>
        <v>Not offered</v>
      </c>
    </row>
    <row r="36" customFormat="false" ht="15" hidden="false" customHeight="false" outlineLevel="0" collapsed="false">
      <c r="A36" s="24" t="s">
        <v>78</v>
      </c>
      <c r="B36" s="24" t="s">
        <v>74</v>
      </c>
      <c r="C36" s="24" t="s">
        <v>75</v>
      </c>
      <c r="D36" s="24" t="s">
        <v>76</v>
      </c>
      <c r="E36" s="24" t="s">
        <v>49</v>
      </c>
      <c r="F36" s="24" t="n">
        <v>261</v>
      </c>
      <c r="G36" s="24" t="n">
        <v>18</v>
      </c>
      <c r="H36" s="25" t="n">
        <v>1.728</v>
      </c>
      <c r="I36" s="18"/>
      <c r="J36" s="19"/>
      <c r="K36" s="20"/>
      <c r="L36" s="21"/>
      <c r="M36" s="22"/>
      <c r="N36" s="23"/>
      <c r="O36" s="21"/>
      <c r="P36" s="22"/>
      <c r="Q36" s="18"/>
      <c r="R36" s="16" t="str">
        <f aca="false">IF(OR(AND(J36&lt;&gt;"",NOT(ISNUMBER(J36))),AND(K36&lt;&gt;"",NOT(ISNUMBER(K36))),AND(L36&lt;&gt;"",NOT(ISNUMBER(L36))),AND(M36&lt;&gt;"",NOT(ISNUMBER(M36))),AND(O36&lt;&gt;"",NOT(ISNUMBER(O36))),AND(P36&lt;&gt;"",NOT(ISNUMBER(P36)))),"Number needed",IF(AND(I36="",J36="",K36=""),"Not offered",IF(J36="","Price missing",IF(K36="","Transit days missing",IF(AND(L36&lt;&gt;"",M36=""),"Option 2 transit days missing",IF(AND(O36&lt;&gt;"",P36=""),"Option 3 transit days missing","OK"))))))</f>
        <v>Not offered</v>
      </c>
    </row>
    <row r="37" customFormat="false" ht="15" hidden="false" customHeight="false" outlineLevel="0" collapsed="false">
      <c r="A37" s="16" t="s">
        <v>79</v>
      </c>
      <c r="B37" s="16" t="s">
        <v>80</v>
      </c>
      <c r="C37" s="16" t="s">
        <v>81</v>
      </c>
      <c r="D37" s="16" t="s">
        <v>82</v>
      </c>
      <c r="E37" s="16" t="s">
        <v>37</v>
      </c>
      <c r="F37" s="16" t="n">
        <v>8</v>
      </c>
      <c r="G37" s="16" t="n">
        <v>1</v>
      </c>
      <c r="H37" s="17" t="n">
        <v>0.096</v>
      </c>
      <c r="I37" s="18"/>
      <c r="J37" s="19"/>
      <c r="K37" s="20"/>
      <c r="L37" s="21"/>
      <c r="M37" s="22"/>
      <c r="N37" s="23"/>
      <c r="O37" s="21"/>
      <c r="P37" s="22"/>
      <c r="Q37" s="18"/>
      <c r="R37" s="16" t="str">
        <f aca="false">IF(OR(AND(J37&lt;&gt;"",NOT(ISNUMBER(J37))),AND(K37&lt;&gt;"",NOT(ISNUMBER(K37))),AND(L37&lt;&gt;"",NOT(ISNUMBER(L37))),AND(M37&lt;&gt;"",NOT(ISNUMBER(M37))),AND(O37&lt;&gt;"",NOT(ISNUMBER(O37))),AND(P37&lt;&gt;"",NOT(ISNUMBER(P37)))),"Number needed",IF(AND(I37="",J37="",K37=""),"Not offered",IF(J37="","Price missing",IF(K37="","Transit days missing",IF(AND(L37&lt;&gt;"",M37=""),"Option 2 transit days missing",IF(AND(O37&lt;&gt;"",P37=""),"Option 3 transit days missing","OK"))))))</f>
        <v>Not offered</v>
      </c>
    </row>
    <row r="38" customFormat="false" ht="15" hidden="false" customHeight="false" outlineLevel="0" collapsed="false">
      <c r="A38" s="24" t="s">
        <v>83</v>
      </c>
      <c r="B38" s="24" t="s">
        <v>80</v>
      </c>
      <c r="C38" s="24" t="s">
        <v>81</v>
      </c>
      <c r="D38" s="24" t="s">
        <v>82</v>
      </c>
      <c r="E38" s="24" t="s">
        <v>47</v>
      </c>
      <c r="F38" s="24" t="n">
        <v>52</v>
      </c>
      <c r="G38" s="24" t="n">
        <v>4</v>
      </c>
      <c r="H38" s="25" t="n">
        <v>0.384</v>
      </c>
      <c r="I38" s="18"/>
      <c r="J38" s="19"/>
      <c r="K38" s="20"/>
      <c r="L38" s="21"/>
      <c r="M38" s="22"/>
      <c r="N38" s="23"/>
      <c r="O38" s="21"/>
      <c r="P38" s="22"/>
      <c r="Q38" s="18"/>
      <c r="R38" s="16" t="str">
        <f aca="false">IF(OR(AND(J38&lt;&gt;"",NOT(ISNUMBER(J38))),AND(K38&lt;&gt;"",NOT(ISNUMBER(K38))),AND(L38&lt;&gt;"",NOT(ISNUMBER(L38))),AND(M38&lt;&gt;"",NOT(ISNUMBER(M38))),AND(O38&lt;&gt;"",NOT(ISNUMBER(O38))),AND(P38&lt;&gt;"",NOT(ISNUMBER(P38)))),"Number needed",IF(AND(I38="",J38="",K38=""),"Not offered",IF(J38="","Price missing",IF(K38="","Transit days missing",IF(AND(L38&lt;&gt;"",M38=""),"Option 2 transit days missing",IF(AND(O38&lt;&gt;"",P38=""),"Option 3 transit days missing","OK"))))))</f>
        <v>Not offered</v>
      </c>
    </row>
    <row r="39" customFormat="false" ht="15" hidden="false" customHeight="false" outlineLevel="0" collapsed="false">
      <c r="A39" s="16" t="s">
        <v>84</v>
      </c>
      <c r="B39" s="16" t="s">
        <v>80</v>
      </c>
      <c r="C39" s="16" t="s">
        <v>81</v>
      </c>
      <c r="D39" s="16" t="s">
        <v>82</v>
      </c>
      <c r="E39" s="16" t="s">
        <v>49</v>
      </c>
      <c r="F39" s="16" t="n">
        <v>261</v>
      </c>
      <c r="G39" s="16" t="n">
        <v>18</v>
      </c>
      <c r="H39" s="17" t="n">
        <v>1.728</v>
      </c>
      <c r="I39" s="18"/>
      <c r="J39" s="19"/>
      <c r="K39" s="20"/>
      <c r="L39" s="21"/>
      <c r="M39" s="22"/>
      <c r="N39" s="23"/>
      <c r="O39" s="21"/>
      <c r="P39" s="22"/>
      <c r="Q39" s="18"/>
      <c r="R39" s="16" t="str">
        <f aca="false">IF(OR(AND(J39&lt;&gt;"",NOT(ISNUMBER(J39))),AND(K39&lt;&gt;"",NOT(ISNUMBER(K39))),AND(L39&lt;&gt;"",NOT(ISNUMBER(L39))),AND(M39&lt;&gt;"",NOT(ISNUMBER(M39))),AND(O39&lt;&gt;"",NOT(ISNUMBER(O39))),AND(P39&lt;&gt;"",NOT(ISNUMBER(P39)))),"Number needed",IF(AND(I39="",J39="",K39=""),"Not offered",IF(J39="","Price missing",IF(K39="","Transit days missing",IF(AND(L39&lt;&gt;"",M39=""),"Option 2 transit days missing",IF(AND(O39&lt;&gt;"",P39=""),"Option 3 transit days missing","OK"))))))</f>
        <v>Not offered</v>
      </c>
    </row>
    <row r="40" customFormat="false" ht="15" hidden="false" customHeight="false" outlineLevel="0" collapsed="false">
      <c r="A40" s="24" t="s">
        <v>85</v>
      </c>
      <c r="B40" s="24" t="s">
        <v>80</v>
      </c>
      <c r="C40" s="24" t="s">
        <v>81</v>
      </c>
      <c r="D40" s="24" t="s">
        <v>82</v>
      </c>
      <c r="E40" s="24" t="s">
        <v>51</v>
      </c>
      <c r="F40" s="24" t="n">
        <v>941</v>
      </c>
      <c r="G40" s="24" t="n">
        <v>64</v>
      </c>
      <c r="H40" s="25" t="n">
        <v>6.144</v>
      </c>
      <c r="I40" s="18"/>
      <c r="J40" s="19"/>
      <c r="K40" s="20"/>
      <c r="L40" s="21"/>
      <c r="M40" s="22"/>
      <c r="N40" s="23"/>
      <c r="O40" s="21"/>
      <c r="P40" s="22"/>
      <c r="Q40" s="18"/>
      <c r="R40" s="16" t="str">
        <f aca="false">IF(OR(AND(J40&lt;&gt;"",NOT(ISNUMBER(J40))),AND(K40&lt;&gt;"",NOT(ISNUMBER(K40))),AND(L40&lt;&gt;"",NOT(ISNUMBER(L40))),AND(M40&lt;&gt;"",NOT(ISNUMBER(M40))),AND(O40&lt;&gt;"",NOT(ISNUMBER(O40))),AND(P40&lt;&gt;"",NOT(ISNUMBER(P40)))),"Number needed",IF(AND(I40="",J40="",K40=""),"Not offered",IF(J40="","Price missing",IF(K40="","Transit days missing",IF(AND(L40&lt;&gt;"",M40=""),"Option 2 transit days missing",IF(AND(O40&lt;&gt;"",P40=""),"Option 3 transit days missing","OK"))))))</f>
        <v>Not offered</v>
      </c>
    </row>
    <row r="41" customFormat="false" ht="15" hidden="false" customHeight="false" outlineLevel="0" collapsed="false">
      <c r="A41" s="16" t="s">
        <v>86</v>
      </c>
      <c r="B41" s="16" t="s">
        <v>87</v>
      </c>
      <c r="C41" s="16" t="s">
        <v>88</v>
      </c>
      <c r="D41" s="16" t="s">
        <v>89</v>
      </c>
      <c r="E41" s="16" t="s">
        <v>37</v>
      </c>
      <c r="F41" s="16" t="n">
        <v>8</v>
      </c>
      <c r="G41" s="16" t="n">
        <v>1</v>
      </c>
      <c r="H41" s="17" t="n">
        <v>0.096</v>
      </c>
      <c r="I41" s="18"/>
      <c r="J41" s="19"/>
      <c r="K41" s="20"/>
      <c r="L41" s="21"/>
      <c r="M41" s="22"/>
      <c r="N41" s="23"/>
      <c r="O41" s="21"/>
      <c r="P41" s="22"/>
      <c r="Q41" s="18"/>
      <c r="R41" s="16" t="str">
        <f aca="false">IF(OR(AND(J41&lt;&gt;"",NOT(ISNUMBER(J41))),AND(K41&lt;&gt;"",NOT(ISNUMBER(K41))),AND(L41&lt;&gt;"",NOT(ISNUMBER(L41))),AND(M41&lt;&gt;"",NOT(ISNUMBER(M41))),AND(O41&lt;&gt;"",NOT(ISNUMBER(O41))),AND(P41&lt;&gt;"",NOT(ISNUMBER(P41)))),"Number needed",IF(AND(I41="",J41="",K41=""),"Not offered",IF(J41="","Price missing",IF(K41="","Transit days missing",IF(AND(L41&lt;&gt;"",M41=""),"Option 2 transit days missing",IF(AND(O41&lt;&gt;"",P41=""),"Option 3 transit days missing","OK"))))))</f>
        <v>Not offered</v>
      </c>
    </row>
    <row r="42" customFormat="false" ht="15" hidden="false" customHeight="false" outlineLevel="0" collapsed="false">
      <c r="A42" s="24" t="s">
        <v>90</v>
      </c>
      <c r="B42" s="24" t="s">
        <v>87</v>
      </c>
      <c r="C42" s="24" t="s">
        <v>88</v>
      </c>
      <c r="D42" s="24" t="s">
        <v>89</v>
      </c>
      <c r="E42" s="24" t="s">
        <v>47</v>
      </c>
      <c r="F42" s="24" t="n">
        <v>52</v>
      </c>
      <c r="G42" s="24" t="n">
        <v>4</v>
      </c>
      <c r="H42" s="25" t="n">
        <v>0.384</v>
      </c>
      <c r="I42" s="18"/>
      <c r="J42" s="19"/>
      <c r="K42" s="20"/>
      <c r="L42" s="21"/>
      <c r="M42" s="22"/>
      <c r="N42" s="23"/>
      <c r="O42" s="21"/>
      <c r="P42" s="22"/>
      <c r="Q42" s="18"/>
      <c r="R42" s="16" t="str">
        <f aca="false">IF(OR(AND(J42&lt;&gt;"",NOT(ISNUMBER(J42))),AND(K42&lt;&gt;"",NOT(ISNUMBER(K42))),AND(L42&lt;&gt;"",NOT(ISNUMBER(L42))),AND(M42&lt;&gt;"",NOT(ISNUMBER(M42))),AND(O42&lt;&gt;"",NOT(ISNUMBER(O42))),AND(P42&lt;&gt;"",NOT(ISNUMBER(P42)))),"Number needed",IF(AND(I42="",J42="",K42=""),"Not offered",IF(J42="","Price missing",IF(K42="","Transit days missing",IF(AND(L42&lt;&gt;"",M42=""),"Option 2 transit days missing",IF(AND(O42&lt;&gt;"",P42=""),"Option 3 transit days missing","OK"))))))</f>
        <v>Not offered</v>
      </c>
    </row>
    <row r="43" customFormat="false" ht="15" hidden="false" customHeight="false" outlineLevel="0" collapsed="false">
      <c r="A43" s="16" t="s">
        <v>91</v>
      </c>
      <c r="B43" s="16" t="s">
        <v>87</v>
      </c>
      <c r="C43" s="16" t="s">
        <v>88</v>
      </c>
      <c r="D43" s="16" t="s">
        <v>89</v>
      </c>
      <c r="E43" s="16" t="s">
        <v>49</v>
      </c>
      <c r="F43" s="16" t="n">
        <v>261</v>
      </c>
      <c r="G43" s="16" t="n">
        <v>18</v>
      </c>
      <c r="H43" s="17" t="n">
        <v>1.728</v>
      </c>
      <c r="I43" s="18"/>
      <c r="J43" s="19"/>
      <c r="K43" s="20"/>
      <c r="L43" s="21"/>
      <c r="M43" s="22"/>
      <c r="N43" s="23"/>
      <c r="O43" s="21"/>
      <c r="P43" s="22"/>
      <c r="Q43" s="18"/>
      <c r="R43" s="16" t="str">
        <f aca="false">IF(OR(AND(J43&lt;&gt;"",NOT(ISNUMBER(J43))),AND(K43&lt;&gt;"",NOT(ISNUMBER(K43))),AND(L43&lt;&gt;"",NOT(ISNUMBER(L43))),AND(M43&lt;&gt;"",NOT(ISNUMBER(M43))),AND(O43&lt;&gt;"",NOT(ISNUMBER(O43))),AND(P43&lt;&gt;"",NOT(ISNUMBER(P43)))),"Number needed",IF(AND(I43="",J43="",K43=""),"Not offered",IF(J43="","Price missing",IF(K43="","Transit days missing",IF(AND(L43&lt;&gt;"",M43=""),"Option 2 transit days missing",IF(AND(O43&lt;&gt;"",P43=""),"Option 3 transit days missing","OK"))))))</f>
        <v>Not offered</v>
      </c>
    </row>
    <row r="44" customFormat="false" ht="15" hidden="false" customHeight="false" outlineLevel="0" collapsed="false">
      <c r="A44" s="24" t="s">
        <v>92</v>
      </c>
      <c r="B44" s="24" t="s">
        <v>87</v>
      </c>
      <c r="C44" s="24" t="s">
        <v>88</v>
      </c>
      <c r="D44" s="24" t="s">
        <v>89</v>
      </c>
      <c r="E44" s="24" t="s">
        <v>51</v>
      </c>
      <c r="F44" s="24" t="n">
        <v>941</v>
      </c>
      <c r="G44" s="24" t="n">
        <v>64</v>
      </c>
      <c r="H44" s="25" t="n">
        <v>6.144</v>
      </c>
      <c r="I44" s="18"/>
      <c r="J44" s="19"/>
      <c r="K44" s="20"/>
      <c r="L44" s="21"/>
      <c r="M44" s="22"/>
      <c r="N44" s="23"/>
      <c r="O44" s="21"/>
      <c r="P44" s="22"/>
      <c r="Q44" s="18"/>
      <c r="R44" s="16" t="str">
        <f aca="false">IF(OR(AND(J44&lt;&gt;"",NOT(ISNUMBER(J44))),AND(K44&lt;&gt;"",NOT(ISNUMBER(K44))),AND(L44&lt;&gt;"",NOT(ISNUMBER(L44))),AND(M44&lt;&gt;"",NOT(ISNUMBER(M44))),AND(O44&lt;&gt;"",NOT(ISNUMBER(O44))),AND(P44&lt;&gt;"",NOT(ISNUMBER(P44)))),"Number needed",IF(AND(I44="",J44="",K44=""),"Not offered",IF(J44="","Price missing",IF(K44="","Transit days missing",IF(AND(L44&lt;&gt;"",M44=""),"Option 2 transit days missing",IF(AND(O44&lt;&gt;"",P44=""),"Option 3 transit days missing","OK"))))))</f>
        <v>Not offered</v>
      </c>
    </row>
    <row r="45" customFormat="false" ht="15" hidden="false" customHeight="false" outlineLevel="0" collapsed="false">
      <c r="A45" s="16" t="s">
        <v>93</v>
      </c>
      <c r="B45" s="16" t="s">
        <v>94</v>
      </c>
      <c r="C45" s="16" t="s">
        <v>95</v>
      </c>
      <c r="D45" s="16" t="s">
        <v>96</v>
      </c>
      <c r="E45" s="16" t="s">
        <v>37</v>
      </c>
      <c r="F45" s="16" t="n">
        <v>8</v>
      </c>
      <c r="G45" s="16" t="n">
        <v>1</v>
      </c>
      <c r="H45" s="17" t="n">
        <v>0.096</v>
      </c>
      <c r="I45" s="18"/>
      <c r="J45" s="19"/>
      <c r="K45" s="20"/>
      <c r="L45" s="21"/>
      <c r="M45" s="22"/>
      <c r="N45" s="23"/>
      <c r="O45" s="21"/>
      <c r="P45" s="22"/>
      <c r="Q45" s="18"/>
      <c r="R45" s="16" t="str">
        <f aca="false">IF(OR(AND(J45&lt;&gt;"",NOT(ISNUMBER(J45))),AND(K45&lt;&gt;"",NOT(ISNUMBER(K45))),AND(L45&lt;&gt;"",NOT(ISNUMBER(L45))),AND(M45&lt;&gt;"",NOT(ISNUMBER(M45))),AND(O45&lt;&gt;"",NOT(ISNUMBER(O45))),AND(P45&lt;&gt;"",NOT(ISNUMBER(P45)))),"Number needed",IF(AND(I45="",J45="",K45=""),"Not offered",IF(J45="","Price missing",IF(K45="","Transit days missing",IF(AND(L45&lt;&gt;"",M45=""),"Option 2 transit days missing",IF(AND(O45&lt;&gt;"",P45=""),"Option 3 transit days missing","OK"))))))</f>
        <v>Not offered</v>
      </c>
    </row>
    <row r="46" customFormat="false" ht="15" hidden="false" customHeight="false" outlineLevel="0" collapsed="false">
      <c r="A46" s="24" t="s">
        <v>97</v>
      </c>
      <c r="B46" s="24" t="s">
        <v>94</v>
      </c>
      <c r="C46" s="24" t="s">
        <v>95</v>
      </c>
      <c r="D46" s="24" t="s">
        <v>96</v>
      </c>
      <c r="E46" s="24" t="s">
        <v>47</v>
      </c>
      <c r="F46" s="24" t="n">
        <v>52</v>
      </c>
      <c r="G46" s="24" t="n">
        <v>4</v>
      </c>
      <c r="H46" s="25" t="n">
        <v>0.384</v>
      </c>
      <c r="I46" s="18"/>
      <c r="J46" s="19"/>
      <c r="K46" s="20"/>
      <c r="L46" s="21"/>
      <c r="M46" s="22"/>
      <c r="N46" s="23"/>
      <c r="O46" s="21"/>
      <c r="P46" s="22"/>
      <c r="Q46" s="18"/>
      <c r="R46" s="16" t="str">
        <f aca="false">IF(OR(AND(J46&lt;&gt;"",NOT(ISNUMBER(J46))),AND(K46&lt;&gt;"",NOT(ISNUMBER(K46))),AND(L46&lt;&gt;"",NOT(ISNUMBER(L46))),AND(M46&lt;&gt;"",NOT(ISNUMBER(M46))),AND(O46&lt;&gt;"",NOT(ISNUMBER(O46))),AND(P46&lt;&gt;"",NOT(ISNUMBER(P46)))),"Number needed",IF(AND(I46="",J46="",K46=""),"Not offered",IF(J46="","Price missing",IF(K46="","Transit days missing",IF(AND(L46&lt;&gt;"",M46=""),"Option 2 transit days missing",IF(AND(O46&lt;&gt;"",P46=""),"Option 3 transit days missing","OK"))))))</f>
        <v>Not offered</v>
      </c>
    </row>
    <row r="47" customFormat="false" ht="15" hidden="false" customHeight="false" outlineLevel="0" collapsed="false">
      <c r="A47" s="16" t="s">
        <v>98</v>
      </c>
      <c r="B47" s="16" t="s">
        <v>94</v>
      </c>
      <c r="C47" s="16" t="s">
        <v>95</v>
      </c>
      <c r="D47" s="16" t="s">
        <v>96</v>
      </c>
      <c r="E47" s="16" t="s">
        <v>49</v>
      </c>
      <c r="F47" s="16" t="n">
        <v>261</v>
      </c>
      <c r="G47" s="16" t="n">
        <v>18</v>
      </c>
      <c r="H47" s="17" t="n">
        <v>1.728</v>
      </c>
      <c r="I47" s="18"/>
      <c r="J47" s="19"/>
      <c r="K47" s="20"/>
      <c r="L47" s="21"/>
      <c r="M47" s="22"/>
      <c r="N47" s="23"/>
      <c r="O47" s="21"/>
      <c r="P47" s="22"/>
      <c r="Q47" s="18"/>
      <c r="R47" s="16" t="str">
        <f aca="false">IF(OR(AND(J47&lt;&gt;"",NOT(ISNUMBER(J47))),AND(K47&lt;&gt;"",NOT(ISNUMBER(K47))),AND(L47&lt;&gt;"",NOT(ISNUMBER(L47))),AND(M47&lt;&gt;"",NOT(ISNUMBER(M47))),AND(O47&lt;&gt;"",NOT(ISNUMBER(O47))),AND(P47&lt;&gt;"",NOT(ISNUMBER(P47)))),"Number needed",IF(AND(I47="",J47="",K47=""),"Not offered",IF(J47="","Price missing",IF(K47="","Transit days missing",IF(AND(L47&lt;&gt;"",M47=""),"Option 2 transit days missing",IF(AND(O47&lt;&gt;"",P47=""),"Option 3 transit days missing","OK"))))))</f>
        <v>Not offered</v>
      </c>
    </row>
    <row r="48" customFormat="false" ht="15" hidden="false" customHeight="false" outlineLevel="0" collapsed="false">
      <c r="A48" s="24" t="s">
        <v>99</v>
      </c>
      <c r="B48" s="24" t="s">
        <v>94</v>
      </c>
      <c r="C48" s="24" t="s">
        <v>95</v>
      </c>
      <c r="D48" s="24" t="s">
        <v>96</v>
      </c>
      <c r="E48" s="24" t="s">
        <v>51</v>
      </c>
      <c r="F48" s="24" t="n">
        <v>941</v>
      </c>
      <c r="G48" s="24" t="n">
        <v>64</v>
      </c>
      <c r="H48" s="25" t="n">
        <v>6.144</v>
      </c>
      <c r="I48" s="18"/>
      <c r="J48" s="19"/>
      <c r="K48" s="20"/>
      <c r="L48" s="21"/>
      <c r="M48" s="22"/>
      <c r="N48" s="23"/>
      <c r="O48" s="21"/>
      <c r="P48" s="22"/>
      <c r="Q48" s="18"/>
      <c r="R48" s="16" t="str">
        <f aca="false">IF(OR(AND(J48&lt;&gt;"",NOT(ISNUMBER(J48))),AND(K48&lt;&gt;"",NOT(ISNUMBER(K48))),AND(L48&lt;&gt;"",NOT(ISNUMBER(L48))),AND(M48&lt;&gt;"",NOT(ISNUMBER(M48))),AND(O48&lt;&gt;"",NOT(ISNUMBER(O48))),AND(P48&lt;&gt;"",NOT(ISNUMBER(P48)))),"Number needed",IF(AND(I48="",J48="",K48=""),"Not offered",IF(J48="","Price missing",IF(K48="","Transit days missing",IF(AND(L48&lt;&gt;"",M48=""),"Option 2 transit days missing",IF(AND(O48&lt;&gt;"",P48=""),"Option 3 transit days missing","OK"))))))</f>
        <v>Not offered</v>
      </c>
    </row>
    <row r="49" customFormat="false" ht="15" hidden="false" customHeight="false" outlineLevel="0" collapsed="false">
      <c r="A49" s="16" t="s">
        <v>100</v>
      </c>
      <c r="B49" s="16" t="s">
        <v>101</v>
      </c>
      <c r="C49" s="16" t="s">
        <v>102</v>
      </c>
      <c r="D49" s="16" t="s">
        <v>103</v>
      </c>
      <c r="E49" s="16" t="s">
        <v>37</v>
      </c>
      <c r="F49" s="16" t="n">
        <v>8</v>
      </c>
      <c r="G49" s="16" t="n">
        <v>1</v>
      </c>
      <c r="H49" s="17" t="n">
        <v>0.096</v>
      </c>
      <c r="I49" s="18"/>
      <c r="J49" s="19"/>
      <c r="K49" s="20"/>
      <c r="L49" s="21"/>
      <c r="M49" s="22"/>
      <c r="N49" s="23"/>
      <c r="O49" s="21"/>
      <c r="P49" s="22"/>
      <c r="Q49" s="18"/>
      <c r="R49" s="16" t="str">
        <f aca="false">IF(OR(AND(J49&lt;&gt;"",NOT(ISNUMBER(J49))),AND(K49&lt;&gt;"",NOT(ISNUMBER(K49))),AND(L49&lt;&gt;"",NOT(ISNUMBER(L49))),AND(M49&lt;&gt;"",NOT(ISNUMBER(M49))),AND(O49&lt;&gt;"",NOT(ISNUMBER(O49))),AND(P49&lt;&gt;"",NOT(ISNUMBER(P49)))),"Number needed",IF(AND(I49="",J49="",K49=""),"Not offered",IF(J49="","Price missing",IF(K49="","Transit days missing",IF(AND(L49&lt;&gt;"",M49=""),"Option 2 transit days missing",IF(AND(O49&lt;&gt;"",P49=""),"Option 3 transit days missing","OK"))))))</f>
        <v>Not offered</v>
      </c>
    </row>
    <row r="50" customFormat="false" ht="15" hidden="false" customHeight="false" outlineLevel="0" collapsed="false">
      <c r="A50" s="24" t="s">
        <v>104</v>
      </c>
      <c r="B50" s="24" t="s">
        <v>101</v>
      </c>
      <c r="C50" s="24" t="s">
        <v>102</v>
      </c>
      <c r="D50" s="24" t="s">
        <v>103</v>
      </c>
      <c r="E50" s="24" t="s">
        <v>47</v>
      </c>
      <c r="F50" s="24" t="n">
        <v>52</v>
      </c>
      <c r="G50" s="24" t="n">
        <v>4</v>
      </c>
      <c r="H50" s="25" t="n">
        <v>0.384</v>
      </c>
      <c r="I50" s="18"/>
      <c r="J50" s="19"/>
      <c r="K50" s="20"/>
      <c r="L50" s="21"/>
      <c r="M50" s="22"/>
      <c r="N50" s="23"/>
      <c r="O50" s="21"/>
      <c r="P50" s="22"/>
      <c r="Q50" s="18"/>
      <c r="R50" s="16" t="str">
        <f aca="false">IF(OR(AND(J50&lt;&gt;"",NOT(ISNUMBER(J50))),AND(K50&lt;&gt;"",NOT(ISNUMBER(K50))),AND(L50&lt;&gt;"",NOT(ISNUMBER(L50))),AND(M50&lt;&gt;"",NOT(ISNUMBER(M50))),AND(O50&lt;&gt;"",NOT(ISNUMBER(O50))),AND(P50&lt;&gt;"",NOT(ISNUMBER(P50)))),"Number needed",IF(AND(I50="",J50="",K50=""),"Not offered",IF(J50="","Price missing",IF(K50="","Transit days missing",IF(AND(L50&lt;&gt;"",M50=""),"Option 2 transit days missing",IF(AND(O50&lt;&gt;"",P50=""),"Option 3 transit days missing","OK"))))))</f>
        <v>Not offered</v>
      </c>
    </row>
    <row r="51" customFormat="false" ht="15" hidden="false" customHeight="false" outlineLevel="0" collapsed="false">
      <c r="A51" s="16" t="s">
        <v>105</v>
      </c>
      <c r="B51" s="16" t="s">
        <v>101</v>
      </c>
      <c r="C51" s="16" t="s">
        <v>102</v>
      </c>
      <c r="D51" s="16" t="s">
        <v>103</v>
      </c>
      <c r="E51" s="16" t="s">
        <v>49</v>
      </c>
      <c r="F51" s="16" t="n">
        <v>261</v>
      </c>
      <c r="G51" s="16" t="n">
        <v>18</v>
      </c>
      <c r="H51" s="17" t="n">
        <v>1.728</v>
      </c>
      <c r="I51" s="18"/>
      <c r="J51" s="19"/>
      <c r="K51" s="20"/>
      <c r="L51" s="21"/>
      <c r="M51" s="22"/>
      <c r="N51" s="23"/>
      <c r="O51" s="21"/>
      <c r="P51" s="22"/>
      <c r="Q51" s="18"/>
      <c r="R51" s="16" t="str">
        <f aca="false">IF(OR(AND(J51&lt;&gt;"",NOT(ISNUMBER(J51))),AND(K51&lt;&gt;"",NOT(ISNUMBER(K51))),AND(L51&lt;&gt;"",NOT(ISNUMBER(L51))),AND(M51&lt;&gt;"",NOT(ISNUMBER(M51))),AND(O51&lt;&gt;"",NOT(ISNUMBER(O51))),AND(P51&lt;&gt;"",NOT(ISNUMBER(P51)))),"Number needed",IF(AND(I51="",J51="",K51=""),"Not offered",IF(J51="","Price missing",IF(K51="","Transit days missing",IF(AND(L51&lt;&gt;"",M51=""),"Option 2 transit days missing",IF(AND(O51&lt;&gt;"",P51=""),"Option 3 transit days missing","OK"))))))</f>
        <v>Not offered</v>
      </c>
    </row>
    <row r="53" customFormat="false" ht="15" hidden="false" customHeight="false" outlineLevel="0" collapsed="false">
      <c r="A53" s="26" t="s">
        <v>106</v>
      </c>
    </row>
  </sheetData>
  <sheetProtection sheet="true" formatColumns="false" formatRows="false"/>
  <mergeCells count="20">
    <mergeCell ref="A1:R1"/>
    <mergeCell ref="A2:R2"/>
    <mergeCell ref="A4:C4"/>
    <mergeCell ref="D4:J4"/>
    <mergeCell ref="A5:C5"/>
    <mergeCell ref="D5:J5"/>
    <mergeCell ref="L5:R6"/>
    <mergeCell ref="A6:C6"/>
    <mergeCell ref="D6:J6"/>
    <mergeCell ref="A7:C7"/>
    <mergeCell ref="D7:J7"/>
    <mergeCell ref="A9:R9"/>
    <mergeCell ref="A10:R10"/>
    <mergeCell ref="A11:R11"/>
    <mergeCell ref="A12:R12"/>
    <mergeCell ref="A13:R13"/>
    <mergeCell ref="A14:R14"/>
    <mergeCell ref="I16:K16"/>
    <mergeCell ref="L16:M16"/>
    <mergeCell ref="N16:P16"/>
  </mergeCells>
  <dataValidations count="2">
    <dataValidation allowBlank="true" error="Enter the all-in price in EUR as a number, or leave the cell blank if you do not offer this service." errorStyle="stop" errorTitle="Number only" operator="between" prompt="Number in EUR. Include fuel and all fees. Blank = not offered." promptTitle="All-in price" showDropDown="false" showErrorMessage="true" showInputMessage="true" sqref="J19:J51 L19:L51 O19:O51" type="decimal">
      <formula1>0</formula1>
      <formula2>1000000</formula2>
    </dataValidation>
    <dataValidation allowBlank="true" error="Enter transit time as a whole number of working days." errorStyle="stop" errorTitle="Whole number" operator="between" showDropDown="false" showErrorMessage="true" showInputMessage="false" sqref="K19:K51 M19:M51 P19:P51" type="whole">
      <formula1>0</formula1>
      <formula2>60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2"/>
    <col collapsed="false" customWidth="true" hidden="false" outlineLevel="0" max="3" min="3" style="0" width="26"/>
    <col collapsed="false" customWidth="true" hidden="false" outlineLevel="0" max="4" min="4" style="0" width="48"/>
  </cols>
  <sheetData>
    <row r="1" customFormat="false" ht="17.35" hidden="false" customHeight="false" outlineLevel="0" collapsed="false">
      <c r="A1" s="27" t="s">
        <v>107</v>
      </c>
    </row>
    <row r="2" customFormat="false" ht="15" hidden="false" customHeight="false" outlineLevel="0" collapsed="false">
      <c r="A2" s="28" t="s">
        <v>108</v>
      </c>
    </row>
    <row r="4" customFormat="false" ht="15" hidden="false" customHeight="false" outlineLevel="0" collapsed="false">
      <c r="A4" s="13" t="s">
        <v>109</v>
      </c>
      <c r="B4" s="13" t="s">
        <v>110</v>
      </c>
      <c r="C4" s="29" t="s">
        <v>111</v>
      </c>
      <c r="D4" s="29" t="s">
        <v>31</v>
      </c>
    </row>
    <row r="5" customFormat="false" ht="21.75" hidden="false" customHeight="true" outlineLevel="0" collapsed="false">
      <c r="A5" s="30" t="s">
        <v>112</v>
      </c>
    </row>
    <row r="6" customFormat="false" ht="30" hidden="false" customHeight="true" outlineLevel="0" collapsed="false">
      <c r="A6" s="31" t="s">
        <v>113</v>
      </c>
      <c r="B6" s="32" t="s">
        <v>114</v>
      </c>
      <c r="C6" s="18"/>
      <c r="D6" s="18"/>
    </row>
    <row r="7" customFormat="false" ht="30" hidden="false" customHeight="true" outlineLevel="0" collapsed="false">
      <c r="A7" s="31" t="s">
        <v>115</v>
      </c>
      <c r="B7" s="32" t="s">
        <v>116</v>
      </c>
      <c r="C7" s="18"/>
      <c r="D7" s="18"/>
    </row>
    <row r="8" customFormat="false" ht="30" hidden="false" customHeight="true" outlineLevel="0" collapsed="false">
      <c r="A8" s="31" t="s">
        <v>117</v>
      </c>
      <c r="B8" s="32" t="s">
        <v>118</v>
      </c>
      <c r="C8" s="18"/>
      <c r="D8" s="18"/>
    </row>
    <row r="9" customFormat="false" ht="30" hidden="false" customHeight="true" outlineLevel="0" collapsed="false">
      <c r="A9" s="31" t="s">
        <v>119</v>
      </c>
      <c r="B9" s="32" t="s">
        <v>120</v>
      </c>
      <c r="C9" s="18"/>
      <c r="D9" s="18"/>
    </row>
    <row r="10" customFormat="false" ht="30" hidden="false" customHeight="true" outlineLevel="0" collapsed="false">
      <c r="A10" s="31" t="s">
        <v>121</v>
      </c>
      <c r="B10" s="32" t="s">
        <v>122</v>
      </c>
      <c r="C10" s="33"/>
      <c r="D10" s="18"/>
    </row>
    <row r="11" customFormat="false" ht="30" hidden="false" customHeight="true" outlineLevel="0" collapsed="false">
      <c r="A11" s="31" t="s">
        <v>123</v>
      </c>
      <c r="B11" s="32" t="s">
        <v>124</v>
      </c>
      <c r="C11" s="34"/>
      <c r="D11" s="18"/>
    </row>
    <row r="12" customFormat="false" ht="30" hidden="false" customHeight="true" outlineLevel="0" collapsed="false">
      <c r="A12" s="31" t="s">
        <v>125</v>
      </c>
      <c r="B12" s="32" t="s">
        <v>126</v>
      </c>
      <c r="C12" s="18"/>
      <c r="D12" s="18"/>
    </row>
    <row r="13" customFormat="false" ht="30" hidden="false" customHeight="true" outlineLevel="0" collapsed="false">
      <c r="A13" s="31" t="s">
        <v>127</v>
      </c>
      <c r="B13" s="32" t="s">
        <v>128</v>
      </c>
      <c r="C13" s="20"/>
      <c r="D13" s="18"/>
    </row>
    <row r="14" customFormat="false" ht="21.75" hidden="false" customHeight="true" outlineLevel="0" collapsed="false">
      <c r="A14" s="30" t="s">
        <v>129</v>
      </c>
    </row>
    <row r="15" customFormat="false" ht="30" hidden="false" customHeight="true" outlineLevel="0" collapsed="false">
      <c r="A15" s="31" t="s">
        <v>130</v>
      </c>
      <c r="B15" s="32" t="s">
        <v>131</v>
      </c>
      <c r="C15" s="35"/>
      <c r="D15" s="18"/>
    </row>
    <row r="16" customFormat="false" ht="30" hidden="false" customHeight="true" outlineLevel="0" collapsed="false">
      <c r="A16" s="31" t="s">
        <v>132</v>
      </c>
      <c r="B16" s="32" t="s">
        <v>133</v>
      </c>
      <c r="C16" s="18"/>
      <c r="D16" s="18"/>
    </row>
    <row r="17" customFormat="false" ht="30" hidden="false" customHeight="true" outlineLevel="0" collapsed="false">
      <c r="A17" s="31" t="s">
        <v>134</v>
      </c>
      <c r="B17" s="32" t="s">
        <v>135</v>
      </c>
      <c r="C17" s="36"/>
      <c r="D17" s="18"/>
    </row>
    <row r="18" customFormat="false" ht="30" hidden="false" customHeight="true" outlineLevel="0" collapsed="false">
      <c r="A18" s="31" t="s">
        <v>136</v>
      </c>
      <c r="B18" s="32" t="s">
        <v>137</v>
      </c>
      <c r="C18" s="18"/>
      <c r="D18" s="18"/>
    </row>
    <row r="19" customFormat="false" ht="21.75" hidden="false" customHeight="true" outlineLevel="0" collapsed="false">
      <c r="A19" s="30" t="s">
        <v>138</v>
      </c>
    </row>
    <row r="20" customFormat="false" ht="30" hidden="false" customHeight="true" outlineLevel="0" collapsed="false">
      <c r="A20" s="31" t="s">
        <v>139</v>
      </c>
      <c r="B20" s="32" t="s">
        <v>140</v>
      </c>
      <c r="C20" s="34"/>
      <c r="D20" s="18"/>
    </row>
    <row r="21" customFormat="false" ht="30" hidden="false" customHeight="true" outlineLevel="0" collapsed="false">
      <c r="A21" s="31" t="s">
        <v>141</v>
      </c>
      <c r="B21" s="32" t="s">
        <v>142</v>
      </c>
      <c r="C21" s="34"/>
      <c r="D21" s="18"/>
    </row>
    <row r="22" customFormat="false" ht="30" hidden="false" customHeight="true" outlineLevel="0" collapsed="false">
      <c r="A22" s="31" t="s">
        <v>143</v>
      </c>
      <c r="B22" s="32" t="s">
        <v>144</v>
      </c>
      <c r="C22" s="18"/>
      <c r="D22" s="18"/>
    </row>
    <row r="23" customFormat="false" ht="30" hidden="false" customHeight="true" outlineLevel="0" collapsed="false">
      <c r="A23" s="31" t="s">
        <v>145</v>
      </c>
      <c r="B23" s="32" t="s">
        <v>146</v>
      </c>
      <c r="C23" s="18"/>
      <c r="D23" s="18"/>
    </row>
    <row r="24" customFormat="false" ht="30" hidden="false" customHeight="true" outlineLevel="0" collapsed="false">
      <c r="A24" s="31" t="s">
        <v>147</v>
      </c>
      <c r="B24" s="32" t="s">
        <v>148</v>
      </c>
      <c r="C24" s="18"/>
      <c r="D24" s="18"/>
    </row>
    <row r="25" customFormat="false" ht="30" hidden="false" customHeight="true" outlineLevel="0" collapsed="false">
      <c r="A25" s="31" t="s">
        <v>149</v>
      </c>
      <c r="B25" s="32" t="s">
        <v>150</v>
      </c>
      <c r="C25" s="18"/>
      <c r="D25" s="18"/>
    </row>
    <row r="26" customFormat="false" ht="30" hidden="false" customHeight="true" outlineLevel="0" collapsed="false">
      <c r="A26" s="31" t="s">
        <v>151</v>
      </c>
      <c r="B26" s="32" t="s">
        <v>152</v>
      </c>
      <c r="C26" s="18"/>
      <c r="D26" s="18"/>
    </row>
    <row r="27" customFormat="false" ht="21.75" hidden="false" customHeight="true" outlineLevel="0" collapsed="false">
      <c r="A27" s="30" t="s">
        <v>153</v>
      </c>
    </row>
    <row r="28" customFormat="false" ht="30" hidden="false" customHeight="true" outlineLevel="0" collapsed="false">
      <c r="A28" s="31" t="s">
        <v>154</v>
      </c>
      <c r="B28" s="32" t="s">
        <v>155</v>
      </c>
      <c r="C28" s="18"/>
      <c r="D28" s="18"/>
    </row>
    <row r="29" customFormat="false" ht="30" hidden="false" customHeight="true" outlineLevel="0" collapsed="false">
      <c r="A29" s="31" t="s">
        <v>156</v>
      </c>
      <c r="B29" s="32" t="s">
        <v>157</v>
      </c>
      <c r="C29" s="18"/>
      <c r="D29" s="18"/>
    </row>
    <row r="30" customFormat="false" ht="30" hidden="false" customHeight="true" outlineLevel="0" collapsed="false">
      <c r="A30" s="31" t="s">
        <v>158</v>
      </c>
      <c r="B30" s="32" t="s">
        <v>159</v>
      </c>
      <c r="C30" s="18"/>
      <c r="D30" s="18"/>
    </row>
    <row r="31" customFormat="false" ht="30" hidden="false" customHeight="true" outlineLevel="0" collapsed="false">
      <c r="A31" s="31" t="s">
        <v>160</v>
      </c>
      <c r="B31" s="32" t="s">
        <v>161</v>
      </c>
      <c r="C31" s="18"/>
      <c r="D31" s="18"/>
    </row>
    <row r="32" customFormat="false" ht="30" hidden="false" customHeight="true" outlineLevel="0" collapsed="false">
      <c r="A32" s="31" t="s">
        <v>162</v>
      </c>
      <c r="B32" s="32" t="s">
        <v>163</v>
      </c>
      <c r="C32" s="18"/>
      <c r="D32" s="18"/>
    </row>
    <row r="33" customFormat="false" ht="30" hidden="false" customHeight="true" outlineLevel="0" collapsed="false">
      <c r="A33" s="31" t="s">
        <v>164</v>
      </c>
      <c r="B33" s="32" t="s">
        <v>165</v>
      </c>
      <c r="C33" s="18"/>
      <c r="D33" s="18"/>
    </row>
    <row r="34" customFormat="false" ht="30" hidden="false" customHeight="true" outlineLevel="0" collapsed="false">
      <c r="A34" s="31" t="s">
        <v>166</v>
      </c>
      <c r="B34" s="32" t="s">
        <v>167</v>
      </c>
      <c r="C34" s="18"/>
      <c r="D34" s="18"/>
    </row>
    <row r="35" customFormat="false" ht="30" hidden="false" customHeight="true" outlineLevel="0" collapsed="false">
      <c r="A35" s="31" t="s">
        <v>168</v>
      </c>
      <c r="B35" s="32" t="s">
        <v>169</v>
      </c>
      <c r="C35" s="34"/>
      <c r="D35" s="18"/>
    </row>
    <row r="36" customFormat="false" ht="30" hidden="false" customHeight="true" outlineLevel="0" collapsed="false">
      <c r="A36" s="31" t="s">
        <v>170</v>
      </c>
      <c r="B36" s="32" t="s">
        <v>171</v>
      </c>
      <c r="C36" s="18"/>
      <c r="D36" s="18"/>
    </row>
  </sheetData>
  <sheetProtection sheet="true"/>
  <dataValidations count="21">
    <dataValidation allowBlank="true" error="Enter a date, for example 31-12-2027." errorStyle="stop" operator="greaterThan" showDropDown="false" showErrorMessage="true" showInputMessage="false" sqref="C10" type="date">
      <formula1>DATE(2026,1,1)</formula1>
      <formula2>0</formula2>
    </dataValidation>
    <dataValidation allowBlank="true" error="Enter a percentage, for example 95%." errorStyle="stop" operator="between" showDropDown="false" showErrorMessage="true" showInputMessage="false" sqref="C11 C20:C21 C35" type="decimal">
      <formula1>0</formula1>
      <formula2>1</formula2>
    </dataValidation>
    <dataValidation allowBlank="true" error="Please pick an option from the dropdown." errorStyle="stop" errorTitle="Choose from the list" operator="between" showDropDown="false" showErrorMessage="true" showInputMessage="false" sqref="C12" type="list">
      <formula1>"None,Some (list in Comment)"</formula1>
      <formula2>0</formula2>
    </dataValidation>
    <dataValidation allowBlank="true" error="Enter a whole number." errorStyle="stop" operator="between" showDropDown="false" showErrorMessage="true" showInputMessage="false" sqref="C13" type="whole">
      <formula1>0</formula1>
      <formula2>365</formula2>
    </dataValidation>
    <dataValidation allowBlank="true" error="Enter a time, for example 15:00." errorStyle="stop" operator="between" showDropDown="false" showErrorMessage="true" showInputMessage="false" sqref="C15" type="time">
      <formula1>0</formula1>
      <formula2>0.999</formula2>
    </dataValidation>
    <dataValidation allowBlank="true" error="Please pick an option from the dropdown." errorStyle="stop" errorTitle="Choose from the list" operator="between" showDropDown="false" showErrorMessage="true" showInputMessage="false" sqref="C16" type="list">
      <formula1>"Yes from Helmond,Yes from regional stock,No"</formula1>
      <formula2>0</formula2>
    </dataValidation>
    <dataValidation allowBlank="true" error="Enter a number, for example 1.5." errorStyle="stop" operator="between" showDropDown="false" showErrorMessage="true" showInputMessage="false" sqref="C17" type="decimal">
      <formula1>0</formula1>
      <formula2>60</formula2>
    </dataValidation>
    <dataValidation allowBlank="true" error="Please pick an option from the dropdown." errorStyle="stop" errorTitle="Choose from the list" operator="between" showDropDown="false" showErrorMessage="true" showInputMessage="false" sqref="C18" type="list">
      <formula1>"Guaranteed,Partly guaranteed,Not guaranteed"</formula1>
      <formula2>0</formula2>
    </dataValidation>
    <dataValidation allowBlank="true" error="Please pick an option from the dropdown." errorStyle="stop" errorTitle="Choose from the list" operator="between" showDropDown="false" showErrorMessage="true" showInputMessage="false" sqref="C22" type="list">
      <formula1>"Both,One of the two,Neither"</formula1>
      <formula2>0</formula2>
    </dataValidation>
    <dataValidation allowBlank="true" error="Please pick an option from the dropdown." errorStyle="stop" errorTitle="Choose from the list" operator="between" showDropDown="false" showErrorMessage="true" showInputMessage="false" sqref="C23" type="list">
      <formula1>"Both,One of the two,Neither"</formula1>
      <formula2>0</formula2>
    </dataValidation>
    <dataValidation allowBlank="true" error="Please pick an option from the dropdown." errorStyle="stop" errorTitle="Choose from the list" operator="between" showDropDown="false" showErrorMessage="true" showInputMessage="false" sqref="C24" type="list">
      <formula1>"Yes,Partial,No"</formula1>
      <formula2>0</formula2>
    </dataValidation>
    <dataValidation allowBlank="true" error="Please pick an option from the dropdown." errorStyle="stop" errorTitle="Choose from the list" operator="between" showDropDown="false" showErrorMessage="true" showInputMessage="false" sqref="C25" type="list">
      <formula1>"Yes,No"</formula1>
      <formula2>0</formula2>
    </dataValidation>
    <dataValidation allowBlank="true" error="Please pick an option from the dropdown." errorStyle="stop" errorTitle="Choose from the list" operator="between" showDropDown="false" showErrorMessage="true" showInputMessage="false" sqref="C26" type="list">
      <formula1>"ISO 9001 and AEO,Only ISO 9001,Only AEO,Neither"</formula1>
      <formula2>0</formula2>
    </dataValidation>
    <dataValidation allowBlank="true" error="Please pick an option from the dropdown." errorStyle="stop" errorTitle="Choose from the list" operator="between" showDropDown="false" showErrorMessage="true" showInputMessage="false" sqref="C28" type="list">
      <formula1>"All 9 countries,Some (list in Comment),No"</formula1>
      <formula2>0</formula2>
    </dataValidation>
    <dataValidation allowBlank="true" error="Please pick an option from the dropdown." errorStyle="stop" errorTitle="Choose from the list" operator="between" showDropDown="false" showErrorMessage="true" showInputMessage="false" sqref="C29" type="list">
      <formula1>"All 9 countries,Some (list in Comment),No"</formula1>
      <formula2>0</formula2>
    </dataValidation>
    <dataValidation allowBlank="true" error="Please pick an option from the dropdown." errorStyle="stop" errorTitle="Choose from the list" operator="between" showDropDown="false" showErrorMessage="true" showInputMessage="false" sqref="C30" type="list">
      <formula1>"All 9 countries,Some (list in Comment),No"</formula1>
      <formula2>0</formula2>
    </dataValidation>
    <dataValidation allowBlank="true" error="Please pick an option from the dropdown." errorStyle="stop" errorTitle="Choose from the list" operator="between" showDropDown="false" showErrorMessage="true" showInputMessage="false" sqref="C31" type="list">
      <formula1>"All 9 countries,Some (list in Comment),No"</formula1>
      <formula2>0</formula2>
    </dataValidation>
    <dataValidation allowBlank="true" error="Please pick an option from the dropdown." errorStyle="stop" errorTitle="Choose from the list" operator="between" showDropDown="false" showErrorMessage="true" showInputMessage="false" sqref="C32" type="list">
      <formula1>"All 9 countries,Some (list in Comment),No"</formula1>
      <formula2>0</formula2>
    </dataValidation>
    <dataValidation allowBlank="true" error="Please pick an option from the dropdown." errorStyle="stop" errorTitle="Choose from the list" operator="between" showDropDown="false" showErrorMessage="true" showInputMessage="false" sqref="C33" type="list">
      <formula1>"All 9 countries,Some (list in Comment),No"</formula1>
      <formula2>0</formula2>
    </dataValidation>
    <dataValidation allowBlank="true" error="Please pick an option from the dropdown." errorStyle="stop" errorTitle="Choose from the list" operator="between" showDropDown="false" showErrorMessage="true" showInputMessage="false" sqref="C34" type="list">
      <formula1>"Yes free of charge,Yes against a fee,No"</formula1>
      <formula2>0</formula2>
    </dataValidation>
    <dataValidation allowBlank="true" error="Please pick an option from the dropdown." errorStyle="stop" errorTitle="Choose from the list" operator="between" showDropDown="false" showErrorMessage="true" showInputMessage="false" sqref="C3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2"/>
    <col collapsed="false" customWidth="true" hidden="false" outlineLevel="0" max="3" min="3" style="0" width="26"/>
    <col collapsed="false" customWidth="true" hidden="false" outlineLevel="0" max="4" min="4" style="0" width="48"/>
  </cols>
  <sheetData>
    <row r="1" customFormat="false" ht="17.35" hidden="false" customHeight="false" outlineLevel="0" collapsed="false">
      <c r="A1" s="27" t="s">
        <v>172</v>
      </c>
    </row>
    <row r="2" customFormat="false" ht="15" hidden="false" customHeight="false" outlineLevel="0" collapsed="false">
      <c r="A2" s="28" t="s">
        <v>173</v>
      </c>
    </row>
    <row r="4" customFormat="false" ht="15" hidden="false" customHeight="false" outlineLevel="0" collapsed="false">
      <c r="A4" s="13" t="s">
        <v>109</v>
      </c>
      <c r="B4" s="13" t="s">
        <v>110</v>
      </c>
      <c r="C4" s="29" t="s">
        <v>111</v>
      </c>
      <c r="D4" s="29" t="s">
        <v>31</v>
      </c>
    </row>
    <row r="5" customFormat="false" ht="21.75" hidden="false" customHeight="true" outlineLevel="0" collapsed="false">
      <c r="A5" s="30" t="s">
        <v>174</v>
      </c>
    </row>
    <row r="6" customFormat="false" ht="30" hidden="false" customHeight="true" outlineLevel="0" collapsed="false">
      <c r="A6" s="31" t="s">
        <v>175</v>
      </c>
      <c r="B6" s="32" t="s">
        <v>176</v>
      </c>
      <c r="C6" s="18"/>
      <c r="D6" s="18"/>
    </row>
    <row r="7" customFormat="false" ht="30" hidden="false" customHeight="true" outlineLevel="0" collapsed="false">
      <c r="A7" s="31" t="s">
        <v>177</v>
      </c>
      <c r="B7" s="32" t="s">
        <v>178</v>
      </c>
      <c r="C7" s="18"/>
      <c r="D7" s="18"/>
    </row>
    <row r="8" customFormat="false" ht="30" hidden="false" customHeight="true" outlineLevel="0" collapsed="false">
      <c r="A8" s="31" t="s">
        <v>179</v>
      </c>
      <c r="B8" s="32" t="s">
        <v>180</v>
      </c>
      <c r="C8" s="18"/>
      <c r="D8" s="18"/>
    </row>
    <row r="9" customFormat="false" ht="21.75" hidden="false" customHeight="true" outlineLevel="0" collapsed="false">
      <c r="A9" s="30" t="s">
        <v>181</v>
      </c>
    </row>
    <row r="10" customFormat="false" ht="30" hidden="false" customHeight="true" outlineLevel="0" collapsed="false">
      <c r="A10" s="31" t="s">
        <v>182</v>
      </c>
      <c r="B10" s="32" t="s">
        <v>183</v>
      </c>
      <c r="C10" s="19"/>
      <c r="D10" s="18"/>
    </row>
    <row r="11" customFormat="false" ht="30" hidden="false" customHeight="true" outlineLevel="0" collapsed="false">
      <c r="A11" s="31" t="s">
        <v>184</v>
      </c>
      <c r="B11" s="32" t="s">
        <v>185</v>
      </c>
      <c r="C11" s="19"/>
      <c r="D11" s="18"/>
    </row>
    <row r="12" customFormat="false" ht="30" hidden="false" customHeight="true" outlineLevel="0" collapsed="false">
      <c r="A12" s="31" t="s">
        <v>186</v>
      </c>
      <c r="B12" s="32" t="s">
        <v>187</v>
      </c>
      <c r="C12" s="19"/>
      <c r="D12" s="18"/>
    </row>
    <row r="13" customFormat="false" ht="30" hidden="false" customHeight="true" outlineLevel="0" collapsed="false">
      <c r="A13" s="31" t="s">
        <v>188</v>
      </c>
      <c r="B13" s="32" t="s">
        <v>189</v>
      </c>
      <c r="C13" s="19"/>
      <c r="D13" s="18"/>
    </row>
    <row r="14" customFormat="false" ht="30" hidden="false" customHeight="true" outlineLevel="0" collapsed="false">
      <c r="A14" s="31" t="s">
        <v>190</v>
      </c>
      <c r="B14" s="32" t="s">
        <v>191</v>
      </c>
      <c r="C14" s="19"/>
      <c r="D14" s="18"/>
    </row>
    <row r="15" customFormat="false" ht="30" hidden="false" customHeight="true" outlineLevel="0" collapsed="false">
      <c r="A15" s="31" t="s">
        <v>192</v>
      </c>
      <c r="B15" s="32" t="s">
        <v>193</v>
      </c>
      <c r="C15" s="19"/>
      <c r="D15" s="18"/>
    </row>
    <row r="16" customFormat="false" ht="30" hidden="false" customHeight="true" outlineLevel="0" collapsed="false">
      <c r="A16" s="31" t="s">
        <v>194</v>
      </c>
      <c r="B16" s="32" t="s">
        <v>195</v>
      </c>
      <c r="C16" s="20"/>
      <c r="D16" s="18"/>
    </row>
    <row r="17" customFormat="false" ht="21.75" hidden="false" customHeight="true" outlineLevel="0" collapsed="false">
      <c r="A17" s="30" t="s">
        <v>196</v>
      </c>
    </row>
    <row r="18" customFormat="false" ht="30" hidden="false" customHeight="true" outlineLevel="0" collapsed="false">
      <c r="A18" s="31" t="s">
        <v>197</v>
      </c>
      <c r="B18" s="32" t="s">
        <v>198</v>
      </c>
      <c r="C18" s="19"/>
      <c r="D18" s="18"/>
    </row>
    <row r="19" customFormat="false" ht="30" hidden="false" customHeight="true" outlineLevel="0" collapsed="false">
      <c r="A19" s="31" t="s">
        <v>199</v>
      </c>
      <c r="B19" s="32" t="s">
        <v>200</v>
      </c>
      <c r="C19" s="20"/>
      <c r="D19" s="18"/>
    </row>
    <row r="20" customFormat="false" ht="30" hidden="false" customHeight="true" outlineLevel="0" collapsed="false">
      <c r="A20" s="31" t="s">
        <v>201</v>
      </c>
      <c r="B20" s="32" t="s">
        <v>202</v>
      </c>
      <c r="C20" s="19"/>
      <c r="D20" s="18"/>
    </row>
    <row r="21" customFormat="false" ht="30" hidden="false" customHeight="true" outlineLevel="0" collapsed="false">
      <c r="A21" s="31" t="s">
        <v>203</v>
      </c>
      <c r="B21" s="32" t="s">
        <v>204</v>
      </c>
      <c r="C21" s="20"/>
      <c r="D21" s="18"/>
    </row>
  </sheetData>
  <sheetProtection sheet="true"/>
  <dataValidations count="4">
    <dataValidation allowBlank="true" error="Enter a whole number." errorStyle="stop" operator="between" showDropDown="false" showErrorMessage="true" showInputMessage="false" sqref="C16 C19 C21" type="whole">
      <formula1>0</formula1>
      <formula2>365</formula2>
    </dataValidation>
    <dataValidation allowBlank="true" error="Please pick an option from the dropdown." errorStyle="stop" errorTitle="Choose from the list" operator="between" showDropDown="false" showErrorMessage="true" showInputMessage="false" sqref="C7" type="list">
      <formula1>"Free zone,Bonded,Duty paid"</formula1>
      <formula2>0</formula2>
    </dataValidation>
    <dataValidation allowBlank="true" error="Please pick an option from the dropdown." errorStyle="stop" errorTitle="Choose from the list" operator="between" showDropDown="false" showErrorMessage="true" showInputMessage="false" sqref="C8" type="list">
      <formula1>"All 9 countries,Some (list in Comment)"</formula1>
      <formula2>0</formula2>
    </dataValidation>
    <dataValidation allowBlank="true" error="Enter an amount in EUR as a number." errorStyle="stop" operator="between" showDropDown="false" showErrorMessage="true" showInputMessage="false" sqref="C10:C15 C18 C20" type="decimal">
      <formula1>0</formula1>
      <formula2>1000000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0"/>
    <col collapsed="false" customWidth="true" hidden="false" outlineLevel="0" max="3" min="3" style="0" width="10"/>
    <col collapsed="false" customWidth="true" hidden="false" outlineLevel="0" max="4" min="4" style="0" width="50"/>
  </cols>
  <sheetData>
    <row r="1" customFormat="false" ht="15" hidden="false" customHeight="false" outlineLevel="0" collapsed="false">
      <c r="A1" s="5" t="s">
        <v>205</v>
      </c>
      <c r="B1" s="5" t="s">
        <v>206</v>
      </c>
      <c r="C1" s="5" t="s">
        <v>207</v>
      </c>
      <c r="D1" s="5" t="s">
        <v>208</v>
      </c>
    </row>
    <row r="2" customFormat="false" ht="15" hidden="false" customHeight="false" outlineLevel="0" collapsed="false">
      <c r="A2" s="37" t="s">
        <v>209</v>
      </c>
      <c r="B2" s="37" t="s">
        <v>210</v>
      </c>
      <c r="C2" s="37" t="s">
        <v>211</v>
      </c>
      <c r="D2" s="37" t="s">
        <v>212</v>
      </c>
    </row>
    <row r="3" customFormat="false" ht="15" hidden="false" customHeight="false" outlineLevel="0" collapsed="false">
      <c r="A3" s="37" t="s">
        <v>213</v>
      </c>
      <c r="B3" s="37" t="n">
        <v>33</v>
      </c>
      <c r="C3" s="37" t="s">
        <v>214</v>
      </c>
      <c r="D3" s="37" t="s">
        <v>215</v>
      </c>
    </row>
    <row r="4" customFormat="false" ht="15" hidden="false" customHeight="false" outlineLevel="0" collapsed="false">
      <c r="A4" s="37" t="s">
        <v>216</v>
      </c>
      <c r="B4" s="37" t="str">
        <f aca="false">'Test Shipments'!L5</f>
        <v>No problems found</v>
      </c>
      <c r="C4" s="37" t="s">
        <v>211</v>
      </c>
      <c r="D4" s="37" t="s">
        <v>217</v>
      </c>
    </row>
    <row r="5" customFormat="false" ht="15" hidden="false" customHeight="false" outlineLevel="0" collapsed="false">
      <c r="A5" s="37" t="s">
        <v>218</v>
      </c>
      <c r="B5" s="37" t="str">
        <f aca="false">IF(Warehouse!C6="","",Warehouse!C6)</f>
        <v/>
      </c>
      <c r="C5" s="37" t="s">
        <v>211</v>
      </c>
      <c r="D5" s="37" t="s">
        <v>176</v>
      </c>
    </row>
    <row r="6" customFormat="false" ht="15" hidden="false" customHeight="false" outlineLevel="0" collapsed="false">
      <c r="A6" s="37" t="s">
        <v>219</v>
      </c>
      <c r="B6" s="37" t="str">
        <f aca="false">IF(Warehouse!D6="","",Warehouse!D6)</f>
        <v/>
      </c>
      <c r="C6" s="37" t="s">
        <v>211</v>
      </c>
      <c r="D6" s="37" t="s">
        <v>220</v>
      </c>
    </row>
    <row r="7" customFormat="false" ht="15" hidden="false" customHeight="false" outlineLevel="0" collapsed="false">
      <c r="A7" s="37" t="s">
        <v>221</v>
      </c>
      <c r="B7" s="37" t="str">
        <f aca="false">IF(Warehouse!C7="","",Warehouse!C7)</f>
        <v/>
      </c>
      <c r="C7" s="37" t="s">
        <v>222</v>
      </c>
      <c r="D7" s="37" t="s">
        <v>178</v>
      </c>
    </row>
    <row r="8" customFormat="false" ht="15" hidden="false" customHeight="false" outlineLevel="0" collapsed="false">
      <c r="A8" s="37" t="s">
        <v>223</v>
      </c>
      <c r="B8" s="37" t="str">
        <f aca="false">IF(Warehouse!D7="","",Warehouse!D7)</f>
        <v/>
      </c>
      <c r="C8" s="37" t="s">
        <v>211</v>
      </c>
      <c r="D8" s="37" t="s">
        <v>224</v>
      </c>
    </row>
    <row r="9" customFormat="false" ht="15" hidden="false" customHeight="false" outlineLevel="0" collapsed="false">
      <c r="A9" s="37" t="s">
        <v>225</v>
      </c>
      <c r="B9" s="37" t="str">
        <f aca="false">IF(Warehouse!C8="","",Warehouse!C8)</f>
        <v/>
      </c>
      <c r="C9" s="37" t="s">
        <v>222</v>
      </c>
      <c r="D9" s="37" t="s">
        <v>180</v>
      </c>
    </row>
    <row r="10" customFormat="false" ht="15" hidden="false" customHeight="false" outlineLevel="0" collapsed="false">
      <c r="A10" s="37" t="s">
        <v>226</v>
      </c>
      <c r="B10" s="37" t="str">
        <f aca="false">IF(Warehouse!D8="","",Warehouse!D8)</f>
        <v/>
      </c>
      <c r="C10" s="37" t="s">
        <v>211</v>
      </c>
      <c r="D10" s="37" t="s">
        <v>227</v>
      </c>
    </row>
    <row r="11" customFormat="false" ht="15" hidden="false" customHeight="false" outlineLevel="0" collapsed="false">
      <c r="A11" s="37" t="s">
        <v>228</v>
      </c>
      <c r="B11" s="37" t="str">
        <f aca="false">IF(Warehouse!C10="","",Warehouse!C10)</f>
        <v/>
      </c>
      <c r="C11" s="37" t="s">
        <v>214</v>
      </c>
      <c r="D11" s="37" t="s">
        <v>183</v>
      </c>
    </row>
    <row r="12" customFormat="false" ht="15" hidden="false" customHeight="false" outlineLevel="0" collapsed="false">
      <c r="A12" s="37" t="s">
        <v>229</v>
      </c>
      <c r="B12" s="37" t="str">
        <f aca="false">IF(Warehouse!D10="","",Warehouse!D10)</f>
        <v/>
      </c>
      <c r="C12" s="37" t="s">
        <v>211</v>
      </c>
      <c r="D12" s="37" t="s">
        <v>230</v>
      </c>
    </row>
    <row r="13" customFormat="false" ht="15" hidden="false" customHeight="false" outlineLevel="0" collapsed="false">
      <c r="A13" s="37" t="s">
        <v>231</v>
      </c>
      <c r="B13" s="37" t="str">
        <f aca="false">IF(Warehouse!C11="","",Warehouse!C11)</f>
        <v/>
      </c>
      <c r="C13" s="37" t="s">
        <v>214</v>
      </c>
      <c r="D13" s="37" t="s">
        <v>185</v>
      </c>
    </row>
    <row r="14" customFormat="false" ht="15" hidden="false" customHeight="false" outlineLevel="0" collapsed="false">
      <c r="A14" s="37" t="s">
        <v>232</v>
      </c>
      <c r="B14" s="37" t="str">
        <f aca="false">IF(Warehouse!D11="","",Warehouse!D11)</f>
        <v/>
      </c>
      <c r="C14" s="37" t="s">
        <v>211</v>
      </c>
      <c r="D14" s="37" t="s">
        <v>233</v>
      </c>
    </row>
    <row r="15" customFormat="false" ht="15" hidden="false" customHeight="false" outlineLevel="0" collapsed="false">
      <c r="A15" s="37" t="s">
        <v>234</v>
      </c>
      <c r="B15" s="37" t="str">
        <f aca="false">IF(Warehouse!C12="","",Warehouse!C12)</f>
        <v/>
      </c>
      <c r="C15" s="37" t="s">
        <v>214</v>
      </c>
      <c r="D15" s="37" t="s">
        <v>187</v>
      </c>
    </row>
    <row r="16" customFormat="false" ht="15" hidden="false" customHeight="false" outlineLevel="0" collapsed="false">
      <c r="A16" s="37" t="s">
        <v>235</v>
      </c>
      <c r="B16" s="37" t="str">
        <f aca="false">IF(Warehouse!D12="","",Warehouse!D12)</f>
        <v/>
      </c>
      <c r="C16" s="37" t="s">
        <v>211</v>
      </c>
      <c r="D16" s="37" t="s">
        <v>236</v>
      </c>
    </row>
    <row r="17" customFormat="false" ht="15" hidden="false" customHeight="false" outlineLevel="0" collapsed="false">
      <c r="A17" s="37" t="s">
        <v>237</v>
      </c>
      <c r="B17" s="37" t="str">
        <f aca="false">IF(Warehouse!C13="","",Warehouse!C13)</f>
        <v/>
      </c>
      <c r="C17" s="37" t="s">
        <v>214</v>
      </c>
      <c r="D17" s="37" t="s">
        <v>189</v>
      </c>
    </row>
    <row r="18" customFormat="false" ht="15" hidden="false" customHeight="false" outlineLevel="0" collapsed="false">
      <c r="A18" s="37" t="s">
        <v>238</v>
      </c>
      <c r="B18" s="37" t="str">
        <f aca="false">IF(Warehouse!D13="","",Warehouse!D13)</f>
        <v/>
      </c>
      <c r="C18" s="37" t="s">
        <v>211</v>
      </c>
      <c r="D18" s="37" t="s">
        <v>239</v>
      </c>
    </row>
    <row r="19" customFormat="false" ht="15" hidden="false" customHeight="false" outlineLevel="0" collapsed="false">
      <c r="A19" s="37" t="s">
        <v>240</v>
      </c>
      <c r="B19" s="37" t="str">
        <f aca="false">IF(Warehouse!C14="","",Warehouse!C14)</f>
        <v/>
      </c>
      <c r="C19" s="37" t="s">
        <v>214</v>
      </c>
      <c r="D19" s="37" t="s">
        <v>191</v>
      </c>
    </row>
    <row r="20" customFormat="false" ht="15" hidden="false" customHeight="false" outlineLevel="0" collapsed="false">
      <c r="A20" s="37" t="s">
        <v>241</v>
      </c>
      <c r="B20" s="37" t="str">
        <f aca="false">IF(Warehouse!D14="","",Warehouse!D14)</f>
        <v/>
      </c>
      <c r="C20" s="37" t="s">
        <v>211</v>
      </c>
      <c r="D20" s="37" t="s">
        <v>242</v>
      </c>
    </row>
    <row r="21" customFormat="false" ht="15" hidden="false" customHeight="false" outlineLevel="0" collapsed="false">
      <c r="A21" s="37" t="s">
        <v>243</v>
      </c>
      <c r="B21" s="37" t="str">
        <f aca="false">IF(Warehouse!C15="","",Warehouse!C15)</f>
        <v/>
      </c>
      <c r="C21" s="37" t="s">
        <v>214</v>
      </c>
      <c r="D21" s="37" t="s">
        <v>193</v>
      </c>
    </row>
    <row r="22" customFormat="false" ht="15" hidden="false" customHeight="false" outlineLevel="0" collapsed="false">
      <c r="A22" s="37" t="s">
        <v>244</v>
      </c>
      <c r="B22" s="37" t="str">
        <f aca="false">IF(Warehouse!D15="","",Warehouse!D15)</f>
        <v/>
      </c>
      <c r="C22" s="37" t="s">
        <v>211</v>
      </c>
      <c r="D22" s="37" t="s">
        <v>245</v>
      </c>
    </row>
    <row r="23" customFormat="false" ht="15" hidden="false" customHeight="false" outlineLevel="0" collapsed="false">
      <c r="A23" s="37" t="s">
        <v>246</v>
      </c>
      <c r="B23" s="37" t="str">
        <f aca="false">IF(Warehouse!C16="","",Warehouse!C16)</f>
        <v/>
      </c>
      <c r="C23" s="37" t="s">
        <v>214</v>
      </c>
      <c r="D23" s="37" t="s">
        <v>195</v>
      </c>
    </row>
    <row r="24" customFormat="false" ht="15" hidden="false" customHeight="false" outlineLevel="0" collapsed="false">
      <c r="A24" s="37" t="s">
        <v>247</v>
      </c>
      <c r="B24" s="37" t="str">
        <f aca="false">IF(Warehouse!D16="","",Warehouse!D16)</f>
        <v/>
      </c>
      <c r="C24" s="37" t="s">
        <v>211</v>
      </c>
      <c r="D24" s="37" t="s">
        <v>248</v>
      </c>
    </row>
    <row r="25" customFormat="false" ht="15" hidden="false" customHeight="false" outlineLevel="0" collapsed="false">
      <c r="A25" s="37" t="s">
        <v>249</v>
      </c>
      <c r="B25" s="37" t="str">
        <f aca="false">IF(Warehouse!C18="","",Warehouse!C18)</f>
        <v/>
      </c>
      <c r="C25" s="37" t="s">
        <v>214</v>
      </c>
      <c r="D25" s="37" t="s">
        <v>198</v>
      </c>
    </row>
    <row r="26" customFormat="false" ht="15" hidden="false" customHeight="false" outlineLevel="0" collapsed="false">
      <c r="A26" s="37" t="s">
        <v>250</v>
      </c>
      <c r="B26" s="37" t="str">
        <f aca="false">IF(Warehouse!D18="","",Warehouse!D18)</f>
        <v/>
      </c>
      <c r="C26" s="37" t="s">
        <v>211</v>
      </c>
      <c r="D26" s="37" t="s">
        <v>251</v>
      </c>
    </row>
    <row r="27" customFormat="false" ht="15" hidden="false" customHeight="false" outlineLevel="0" collapsed="false">
      <c r="A27" s="37" t="s">
        <v>252</v>
      </c>
      <c r="B27" s="37" t="str">
        <f aca="false">IF(Warehouse!C19="","",Warehouse!C19)</f>
        <v/>
      </c>
      <c r="C27" s="37" t="s">
        <v>214</v>
      </c>
      <c r="D27" s="37" t="s">
        <v>200</v>
      </c>
    </row>
    <row r="28" customFormat="false" ht="15" hidden="false" customHeight="false" outlineLevel="0" collapsed="false">
      <c r="A28" s="37" t="s">
        <v>253</v>
      </c>
      <c r="B28" s="37" t="str">
        <f aca="false">IF(Warehouse!D19="","",Warehouse!D19)</f>
        <v/>
      </c>
      <c r="C28" s="37" t="s">
        <v>211</v>
      </c>
      <c r="D28" s="37" t="s">
        <v>254</v>
      </c>
    </row>
    <row r="29" customFormat="false" ht="15" hidden="false" customHeight="false" outlineLevel="0" collapsed="false">
      <c r="A29" s="37" t="s">
        <v>255</v>
      </c>
      <c r="B29" s="37" t="str">
        <f aca="false">IF(Warehouse!C20="","",Warehouse!C20)</f>
        <v/>
      </c>
      <c r="C29" s="37" t="s">
        <v>214</v>
      </c>
      <c r="D29" s="37" t="s">
        <v>202</v>
      </c>
    </row>
    <row r="30" customFormat="false" ht="15" hidden="false" customHeight="false" outlineLevel="0" collapsed="false">
      <c r="A30" s="37" t="s">
        <v>256</v>
      </c>
      <c r="B30" s="37" t="str">
        <f aca="false">IF(Warehouse!D20="","",Warehouse!D20)</f>
        <v/>
      </c>
      <c r="C30" s="37" t="s">
        <v>211</v>
      </c>
      <c r="D30" s="37" t="s">
        <v>257</v>
      </c>
    </row>
    <row r="31" customFormat="false" ht="15" hidden="false" customHeight="false" outlineLevel="0" collapsed="false">
      <c r="A31" s="37" t="s">
        <v>258</v>
      </c>
      <c r="B31" s="37" t="str">
        <f aca="false">IF(Warehouse!C21="","",Warehouse!C21)</f>
        <v/>
      </c>
      <c r="C31" s="37" t="s">
        <v>214</v>
      </c>
      <c r="D31" s="37" t="s">
        <v>204</v>
      </c>
    </row>
    <row r="32" customFormat="false" ht="15" hidden="false" customHeight="false" outlineLevel="0" collapsed="false">
      <c r="A32" s="37" t="s">
        <v>259</v>
      </c>
      <c r="B32" s="37" t="str">
        <f aca="false">IF(Warehouse!D21="","",Warehouse!D21)</f>
        <v/>
      </c>
      <c r="C32" s="37" t="s">
        <v>211</v>
      </c>
      <c r="D32" s="37" t="s">
        <v>260</v>
      </c>
    </row>
    <row r="33" customFormat="false" ht="15" hidden="false" customHeight="false" outlineLevel="0" collapsed="false">
      <c r="A33" s="37" t="s">
        <v>261</v>
      </c>
      <c r="B33" s="37" t="str">
        <f aca="false">IF(Questions!C6="","",Questions!C6)</f>
        <v/>
      </c>
      <c r="C33" s="37" t="s">
        <v>211</v>
      </c>
      <c r="D33" s="37" t="s">
        <v>114</v>
      </c>
    </row>
    <row r="34" customFormat="false" ht="15" hidden="false" customHeight="false" outlineLevel="0" collapsed="false">
      <c r="A34" s="37" t="s">
        <v>262</v>
      </c>
      <c r="B34" s="37" t="str">
        <f aca="false">IF(Questions!D6="","",Questions!D6)</f>
        <v/>
      </c>
      <c r="C34" s="37" t="s">
        <v>211</v>
      </c>
      <c r="D34" s="37" t="s">
        <v>263</v>
      </c>
    </row>
    <row r="35" customFormat="false" ht="15" hidden="false" customHeight="false" outlineLevel="0" collapsed="false">
      <c r="A35" s="37" t="s">
        <v>264</v>
      </c>
      <c r="B35" s="37" t="str">
        <f aca="false">IF(Questions!C7="","",Questions!C7)</f>
        <v/>
      </c>
      <c r="C35" s="37" t="s">
        <v>211</v>
      </c>
      <c r="D35" s="37" t="s">
        <v>116</v>
      </c>
    </row>
    <row r="36" customFormat="false" ht="15" hidden="false" customHeight="false" outlineLevel="0" collapsed="false">
      <c r="A36" s="37" t="s">
        <v>265</v>
      </c>
      <c r="B36" s="37" t="str">
        <f aca="false">IF(Questions!D7="","",Questions!D7)</f>
        <v/>
      </c>
      <c r="C36" s="37" t="s">
        <v>211</v>
      </c>
      <c r="D36" s="37" t="s">
        <v>266</v>
      </c>
    </row>
    <row r="37" customFormat="false" ht="15" hidden="false" customHeight="false" outlineLevel="0" collapsed="false">
      <c r="A37" s="37" t="s">
        <v>267</v>
      </c>
      <c r="B37" s="37" t="str">
        <f aca="false">IF(Questions!C8="","",Questions!C8)</f>
        <v/>
      </c>
      <c r="C37" s="37" t="s">
        <v>211</v>
      </c>
      <c r="D37" s="37" t="s">
        <v>118</v>
      </c>
    </row>
    <row r="38" customFormat="false" ht="15" hidden="false" customHeight="false" outlineLevel="0" collapsed="false">
      <c r="A38" s="37" t="s">
        <v>268</v>
      </c>
      <c r="B38" s="37" t="str">
        <f aca="false">IF(Questions!D8="","",Questions!D8)</f>
        <v/>
      </c>
      <c r="C38" s="37" t="s">
        <v>211</v>
      </c>
      <c r="D38" s="37" t="s">
        <v>269</v>
      </c>
    </row>
    <row r="39" customFormat="false" ht="15" hidden="false" customHeight="false" outlineLevel="0" collapsed="false">
      <c r="A39" s="37" t="s">
        <v>270</v>
      </c>
      <c r="B39" s="37" t="str">
        <f aca="false">IF(Questions!C9="","",Questions!C9)</f>
        <v/>
      </c>
      <c r="C39" s="37" t="s">
        <v>211</v>
      </c>
      <c r="D39" s="37" t="s">
        <v>120</v>
      </c>
    </row>
    <row r="40" customFormat="false" ht="15" hidden="false" customHeight="false" outlineLevel="0" collapsed="false">
      <c r="A40" s="37" t="s">
        <v>271</v>
      </c>
      <c r="B40" s="37" t="str">
        <f aca="false">IF(Questions!D9="","",Questions!D9)</f>
        <v/>
      </c>
      <c r="C40" s="37" t="s">
        <v>211</v>
      </c>
      <c r="D40" s="37" t="s">
        <v>272</v>
      </c>
    </row>
    <row r="41" customFormat="false" ht="15" hidden="false" customHeight="false" outlineLevel="0" collapsed="false">
      <c r="A41" s="37" t="s">
        <v>273</v>
      </c>
      <c r="B41" s="37" t="str">
        <f aca="false">IF(Questions!C10="","",Questions!C10)</f>
        <v/>
      </c>
      <c r="C41" s="37" t="s">
        <v>274</v>
      </c>
      <c r="D41" s="37" t="s">
        <v>122</v>
      </c>
    </row>
    <row r="42" customFormat="false" ht="15" hidden="false" customHeight="false" outlineLevel="0" collapsed="false">
      <c r="A42" s="37" t="s">
        <v>275</v>
      </c>
      <c r="B42" s="37" t="str">
        <f aca="false">IF(Questions!D10="","",Questions!D10)</f>
        <v/>
      </c>
      <c r="C42" s="37" t="s">
        <v>211</v>
      </c>
      <c r="D42" s="37" t="s">
        <v>276</v>
      </c>
    </row>
    <row r="43" customFormat="false" ht="15" hidden="false" customHeight="false" outlineLevel="0" collapsed="false">
      <c r="A43" s="37" t="s">
        <v>277</v>
      </c>
      <c r="B43" s="37" t="str">
        <f aca="false">IF(Questions!C11="","",Questions!C11)</f>
        <v/>
      </c>
      <c r="C43" s="37" t="s">
        <v>278</v>
      </c>
      <c r="D43" s="37" t="s">
        <v>124</v>
      </c>
    </row>
    <row r="44" customFormat="false" ht="15" hidden="false" customHeight="false" outlineLevel="0" collapsed="false">
      <c r="A44" s="37" t="s">
        <v>279</v>
      </c>
      <c r="B44" s="37" t="str">
        <f aca="false">IF(Questions!D11="","",Questions!D11)</f>
        <v/>
      </c>
      <c r="C44" s="37" t="s">
        <v>211</v>
      </c>
      <c r="D44" s="37" t="s">
        <v>280</v>
      </c>
    </row>
    <row r="45" customFormat="false" ht="15" hidden="false" customHeight="false" outlineLevel="0" collapsed="false">
      <c r="A45" s="37" t="s">
        <v>281</v>
      </c>
      <c r="B45" s="37" t="str">
        <f aca="false">IF(Questions!C12="","",Questions!C12)</f>
        <v/>
      </c>
      <c r="C45" s="37" t="s">
        <v>222</v>
      </c>
      <c r="D45" s="37" t="s">
        <v>126</v>
      </c>
    </row>
    <row r="46" customFormat="false" ht="15" hidden="false" customHeight="false" outlineLevel="0" collapsed="false">
      <c r="A46" s="37" t="s">
        <v>282</v>
      </c>
      <c r="B46" s="37" t="str">
        <f aca="false">IF(Questions!D12="","",Questions!D12)</f>
        <v/>
      </c>
      <c r="C46" s="37" t="s">
        <v>211</v>
      </c>
      <c r="D46" s="37" t="s">
        <v>283</v>
      </c>
    </row>
    <row r="47" customFormat="false" ht="15" hidden="false" customHeight="false" outlineLevel="0" collapsed="false">
      <c r="A47" s="37" t="s">
        <v>284</v>
      </c>
      <c r="B47" s="37" t="str">
        <f aca="false">IF(Questions!C13="","",Questions!C13)</f>
        <v/>
      </c>
      <c r="C47" s="37" t="s">
        <v>214</v>
      </c>
      <c r="D47" s="37" t="s">
        <v>128</v>
      </c>
    </row>
    <row r="48" customFormat="false" ht="15" hidden="false" customHeight="false" outlineLevel="0" collapsed="false">
      <c r="A48" s="37" t="s">
        <v>285</v>
      </c>
      <c r="B48" s="37" t="str">
        <f aca="false">IF(Questions!D13="","",Questions!D13)</f>
        <v/>
      </c>
      <c r="C48" s="37" t="s">
        <v>211</v>
      </c>
      <c r="D48" s="37" t="s">
        <v>286</v>
      </c>
    </row>
    <row r="49" customFormat="false" ht="15" hidden="false" customHeight="false" outlineLevel="0" collapsed="false">
      <c r="A49" s="37" t="s">
        <v>287</v>
      </c>
      <c r="B49" s="37" t="str">
        <f aca="false">IF(Questions!C15="","",Questions!C15)</f>
        <v/>
      </c>
      <c r="C49" s="37" t="s">
        <v>288</v>
      </c>
      <c r="D49" s="37" t="s">
        <v>131</v>
      </c>
    </row>
    <row r="50" customFormat="false" ht="15" hidden="false" customHeight="false" outlineLevel="0" collapsed="false">
      <c r="A50" s="37" t="s">
        <v>289</v>
      </c>
      <c r="B50" s="37" t="str">
        <f aca="false">IF(Questions!D15="","",Questions!D15)</f>
        <v/>
      </c>
      <c r="C50" s="37" t="s">
        <v>211</v>
      </c>
      <c r="D50" s="37" t="s">
        <v>290</v>
      </c>
    </row>
    <row r="51" customFormat="false" ht="15" hidden="false" customHeight="false" outlineLevel="0" collapsed="false">
      <c r="A51" s="37" t="s">
        <v>291</v>
      </c>
      <c r="B51" s="37" t="str">
        <f aca="false">IF(Questions!C16="","",Questions!C16)</f>
        <v/>
      </c>
      <c r="C51" s="37" t="s">
        <v>222</v>
      </c>
      <c r="D51" s="37" t="s">
        <v>133</v>
      </c>
    </row>
    <row r="52" customFormat="false" ht="15" hidden="false" customHeight="false" outlineLevel="0" collapsed="false">
      <c r="A52" s="37" t="s">
        <v>292</v>
      </c>
      <c r="B52" s="37" t="str">
        <f aca="false">IF(Questions!D16="","",Questions!D16)</f>
        <v/>
      </c>
      <c r="C52" s="37" t="s">
        <v>211</v>
      </c>
      <c r="D52" s="37" t="s">
        <v>293</v>
      </c>
    </row>
    <row r="53" customFormat="false" ht="15" hidden="false" customHeight="false" outlineLevel="0" collapsed="false">
      <c r="A53" s="37" t="s">
        <v>294</v>
      </c>
      <c r="B53" s="37" t="str">
        <f aca="false">IF(Questions!C17="","",Questions!C17)</f>
        <v/>
      </c>
      <c r="C53" s="37" t="s">
        <v>214</v>
      </c>
      <c r="D53" s="37" t="s">
        <v>135</v>
      </c>
    </row>
    <row r="54" customFormat="false" ht="15" hidden="false" customHeight="false" outlineLevel="0" collapsed="false">
      <c r="A54" s="37" t="s">
        <v>295</v>
      </c>
      <c r="B54" s="37" t="str">
        <f aca="false">IF(Questions!D17="","",Questions!D17)</f>
        <v/>
      </c>
      <c r="C54" s="37" t="s">
        <v>211</v>
      </c>
      <c r="D54" s="37" t="s">
        <v>296</v>
      </c>
    </row>
    <row r="55" customFormat="false" ht="15" hidden="false" customHeight="false" outlineLevel="0" collapsed="false">
      <c r="A55" s="37" t="s">
        <v>297</v>
      </c>
      <c r="B55" s="37" t="str">
        <f aca="false">IF(Questions!C18="","",Questions!C18)</f>
        <v/>
      </c>
      <c r="C55" s="37" t="s">
        <v>222</v>
      </c>
      <c r="D55" s="37" t="s">
        <v>137</v>
      </c>
    </row>
    <row r="56" customFormat="false" ht="15" hidden="false" customHeight="false" outlineLevel="0" collapsed="false">
      <c r="A56" s="37" t="s">
        <v>298</v>
      </c>
      <c r="B56" s="37" t="str">
        <f aca="false">IF(Questions!D18="","",Questions!D18)</f>
        <v/>
      </c>
      <c r="C56" s="37" t="s">
        <v>211</v>
      </c>
      <c r="D56" s="37" t="s">
        <v>299</v>
      </c>
    </row>
    <row r="57" customFormat="false" ht="15" hidden="false" customHeight="false" outlineLevel="0" collapsed="false">
      <c r="A57" s="37" t="s">
        <v>300</v>
      </c>
      <c r="B57" s="37" t="str">
        <f aca="false">IF(Questions!C20="","",Questions!C20)</f>
        <v/>
      </c>
      <c r="C57" s="37" t="s">
        <v>278</v>
      </c>
      <c r="D57" s="37" t="s">
        <v>140</v>
      </c>
    </row>
    <row r="58" customFormat="false" ht="15" hidden="false" customHeight="false" outlineLevel="0" collapsed="false">
      <c r="A58" s="37" t="s">
        <v>301</v>
      </c>
      <c r="B58" s="37" t="str">
        <f aca="false">IF(Questions!D20="","",Questions!D20)</f>
        <v/>
      </c>
      <c r="C58" s="37" t="s">
        <v>211</v>
      </c>
      <c r="D58" s="37" t="s">
        <v>302</v>
      </c>
    </row>
    <row r="59" customFormat="false" ht="15" hidden="false" customHeight="false" outlineLevel="0" collapsed="false">
      <c r="A59" s="37" t="s">
        <v>303</v>
      </c>
      <c r="B59" s="37" t="str">
        <f aca="false">IF(Questions!C21="","",Questions!C21)</f>
        <v/>
      </c>
      <c r="C59" s="37" t="s">
        <v>278</v>
      </c>
      <c r="D59" s="37" t="s">
        <v>142</v>
      </c>
    </row>
    <row r="60" customFormat="false" ht="15" hidden="false" customHeight="false" outlineLevel="0" collapsed="false">
      <c r="A60" s="37" t="s">
        <v>304</v>
      </c>
      <c r="B60" s="37" t="str">
        <f aca="false">IF(Questions!D21="","",Questions!D21)</f>
        <v/>
      </c>
      <c r="C60" s="37" t="s">
        <v>211</v>
      </c>
      <c r="D60" s="37" t="s">
        <v>305</v>
      </c>
    </row>
    <row r="61" customFormat="false" ht="15" hidden="false" customHeight="false" outlineLevel="0" collapsed="false">
      <c r="A61" s="37" t="s">
        <v>306</v>
      </c>
      <c r="B61" s="37" t="str">
        <f aca="false">IF(Questions!C22="","",Questions!C22)</f>
        <v/>
      </c>
      <c r="C61" s="37" t="s">
        <v>222</v>
      </c>
      <c r="D61" s="37" t="s">
        <v>144</v>
      </c>
    </row>
    <row r="62" customFormat="false" ht="15" hidden="false" customHeight="false" outlineLevel="0" collapsed="false">
      <c r="A62" s="37" t="s">
        <v>307</v>
      </c>
      <c r="B62" s="37" t="str">
        <f aca="false">IF(Questions!D22="","",Questions!D22)</f>
        <v/>
      </c>
      <c r="C62" s="37" t="s">
        <v>211</v>
      </c>
      <c r="D62" s="37" t="s">
        <v>308</v>
      </c>
    </row>
    <row r="63" customFormat="false" ht="15" hidden="false" customHeight="false" outlineLevel="0" collapsed="false">
      <c r="A63" s="37" t="s">
        <v>309</v>
      </c>
      <c r="B63" s="37" t="str">
        <f aca="false">IF(Questions!C23="","",Questions!C23)</f>
        <v/>
      </c>
      <c r="C63" s="37" t="s">
        <v>222</v>
      </c>
      <c r="D63" s="37" t="s">
        <v>146</v>
      </c>
    </row>
    <row r="64" customFormat="false" ht="15" hidden="false" customHeight="false" outlineLevel="0" collapsed="false">
      <c r="A64" s="37" t="s">
        <v>310</v>
      </c>
      <c r="B64" s="37" t="str">
        <f aca="false">IF(Questions!D23="","",Questions!D23)</f>
        <v/>
      </c>
      <c r="C64" s="37" t="s">
        <v>211</v>
      </c>
      <c r="D64" s="37" t="s">
        <v>311</v>
      </c>
    </row>
    <row r="65" customFormat="false" ht="15" hidden="false" customHeight="false" outlineLevel="0" collapsed="false">
      <c r="A65" s="37" t="s">
        <v>312</v>
      </c>
      <c r="B65" s="37" t="str">
        <f aca="false">IF(Questions!C24="","",Questions!C24)</f>
        <v/>
      </c>
      <c r="C65" s="37" t="s">
        <v>222</v>
      </c>
      <c r="D65" s="37" t="s">
        <v>148</v>
      </c>
    </row>
    <row r="66" customFormat="false" ht="15" hidden="false" customHeight="false" outlineLevel="0" collapsed="false">
      <c r="A66" s="37" t="s">
        <v>313</v>
      </c>
      <c r="B66" s="37" t="str">
        <f aca="false">IF(Questions!D24="","",Questions!D24)</f>
        <v/>
      </c>
      <c r="C66" s="37" t="s">
        <v>211</v>
      </c>
      <c r="D66" s="37" t="s">
        <v>314</v>
      </c>
    </row>
    <row r="67" customFormat="false" ht="15" hidden="false" customHeight="false" outlineLevel="0" collapsed="false">
      <c r="A67" s="37" t="s">
        <v>315</v>
      </c>
      <c r="B67" s="37" t="str">
        <f aca="false">IF(Questions!C25="","",Questions!C25)</f>
        <v/>
      </c>
      <c r="C67" s="37" t="s">
        <v>222</v>
      </c>
      <c r="D67" s="37" t="s">
        <v>150</v>
      </c>
    </row>
    <row r="68" customFormat="false" ht="15" hidden="false" customHeight="false" outlineLevel="0" collapsed="false">
      <c r="A68" s="37" t="s">
        <v>316</v>
      </c>
      <c r="B68" s="37" t="str">
        <f aca="false">IF(Questions!D25="","",Questions!D25)</f>
        <v/>
      </c>
      <c r="C68" s="37" t="s">
        <v>211</v>
      </c>
      <c r="D68" s="37" t="s">
        <v>317</v>
      </c>
    </row>
    <row r="69" customFormat="false" ht="15" hidden="false" customHeight="false" outlineLevel="0" collapsed="false">
      <c r="A69" s="37" t="s">
        <v>318</v>
      </c>
      <c r="B69" s="37" t="str">
        <f aca="false">IF(Questions!C26="","",Questions!C26)</f>
        <v/>
      </c>
      <c r="C69" s="37" t="s">
        <v>222</v>
      </c>
      <c r="D69" s="37" t="s">
        <v>152</v>
      </c>
    </row>
    <row r="70" customFormat="false" ht="15" hidden="false" customHeight="false" outlineLevel="0" collapsed="false">
      <c r="A70" s="37" t="s">
        <v>319</v>
      </c>
      <c r="B70" s="37" t="str">
        <f aca="false">IF(Questions!D26="","",Questions!D26)</f>
        <v/>
      </c>
      <c r="C70" s="37" t="s">
        <v>211</v>
      </c>
      <c r="D70" s="37" t="s">
        <v>320</v>
      </c>
    </row>
    <row r="71" customFormat="false" ht="15" hidden="false" customHeight="false" outlineLevel="0" collapsed="false">
      <c r="A71" s="37" t="s">
        <v>321</v>
      </c>
      <c r="B71" s="37" t="str">
        <f aca="false">IF(Questions!C28="","",Questions!C28)</f>
        <v/>
      </c>
      <c r="C71" s="37" t="s">
        <v>222</v>
      </c>
      <c r="D71" s="37" t="s">
        <v>155</v>
      </c>
    </row>
    <row r="72" customFormat="false" ht="15" hidden="false" customHeight="false" outlineLevel="0" collapsed="false">
      <c r="A72" s="37" t="s">
        <v>322</v>
      </c>
      <c r="B72" s="37" t="str">
        <f aca="false">IF(Questions!D28="","",Questions!D28)</f>
        <v/>
      </c>
      <c r="C72" s="37" t="s">
        <v>211</v>
      </c>
      <c r="D72" s="37" t="s">
        <v>323</v>
      </c>
    </row>
    <row r="73" customFormat="false" ht="15" hidden="false" customHeight="false" outlineLevel="0" collapsed="false">
      <c r="A73" s="37" t="s">
        <v>324</v>
      </c>
      <c r="B73" s="37" t="str">
        <f aca="false">IF(Questions!C29="","",Questions!C29)</f>
        <v/>
      </c>
      <c r="C73" s="37" t="s">
        <v>222</v>
      </c>
      <c r="D73" s="37" t="s">
        <v>157</v>
      </c>
    </row>
    <row r="74" customFormat="false" ht="15" hidden="false" customHeight="false" outlineLevel="0" collapsed="false">
      <c r="A74" s="37" t="s">
        <v>325</v>
      </c>
      <c r="B74" s="37" t="str">
        <f aca="false">IF(Questions!D29="","",Questions!D29)</f>
        <v/>
      </c>
      <c r="C74" s="37" t="s">
        <v>211</v>
      </c>
      <c r="D74" s="37" t="s">
        <v>326</v>
      </c>
    </row>
    <row r="75" customFormat="false" ht="15" hidden="false" customHeight="false" outlineLevel="0" collapsed="false">
      <c r="A75" s="37" t="s">
        <v>327</v>
      </c>
      <c r="B75" s="37" t="str">
        <f aca="false">IF(Questions!C30="","",Questions!C30)</f>
        <v/>
      </c>
      <c r="C75" s="37" t="s">
        <v>222</v>
      </c>
      <c r="D75" s="37" t="s">
        <v>159</v>
      </c>
    </row>
    <row r="76" customFormat="false" ht="15" hidden="false" customHeight="false" outlineLevel="0" collapsed="false">
      <c r="A76" s="37" t="s">
        <v>328</v>
      </c>
      <c r="B76" s="37" t="str">
        <f aca="false">IF(Questions!D30="","",Questions!D30)</f>
        <v/>
      </c>
      <c r="C76" s="37" t="s">
        <v>211</v>
      </c>
      <c r="D76" s="37" t="s">
        <v>329</v>
      </c>
    </row>
    <row r="77" customFormat="false" ht="15" hidden="false" customHeight="false" outlineLevel="0" collapsed="false">
      <c r="A77" s="37" t="s">
        <v>330</v>
      </c>
      <c r="B77" s="37" t="str">
        <f aca="false">IF(Questions!C31="","",Questions!C31)</f>
        <v/>
      </c>
      <c r="C77" s="37" t="s">
        <v>222</v>
      </c>
      <c r="D77" s="37" t="s">
        <v>161</v>
      </c>
    </row>
    <row r="78" customFormat="false" ht="15" hidden="false" customHeight="false" outlineLevel="0" collapsed="false">
      <c r="A78" s="37" t="s">
        <v>331</v>
      </c>
      <c r="B78" s="37" t="str">
        <f aca="false">IF(Questions!D31="","",Questions!D31)</f>
        <v/>
      </c>
      <c r="C78" s="37" t="s">
        <v>211</v>
      </c>
      <c r="D78" s="37" t="s">
        <v>332</v>
      </c>
    </row>
    <row r="79" customFormat="false" ht="15" hidden="false" customHeight="false" outlineLevel="0" collapsed="false">
      <c r="A79" s="37" t="s">
        <v>333</v>
      </c>
      <c r="B79" s="37" t="str">
        <f aca="false">IF(Questions!C32="","",Questions!C32)</f>
        <v/>
      </c>
      <c r="C79" s="37" t="s">
        <v>222</v>
      </c>
      <c r="D79" s="37" t="s">
        <v>163</v>
      </c>
    </row>
    <row r="80" customFormat="false" ht="15" hidden="false" customHeight="false" outlineLevel="0" collapsed="false">
      <c r="A80" s="37" t="s">
        <v>334</v>
      </c>
      <c r="B80" s="37" t="str">
        <f aca="false">IF(Questions!D32="","",Questions!D32)</f>
        <v/>
      </c>
      <c r="C80" s="37" t="s">
        <v>211</v>
      </c>
      <c r="D80" s="37" t="s">
        <v>335</v>
      </c>
    </row>
    <row r="81" customFormat="false" ht="15" hidden="false" customHeight="false" outlineLevel="0" collapsed="false">
      <c r="A81" s="37" t="s">
        <v>336</v>
      </c>
      <c r="B81" s="37" t="str">
        <f aca="false">IF(Questions!C33="","",Questions!C33)</f>
        <v/>
      </c>
      <c r="C81" s="37" t="s">
        <v>222</v>
      </c>
      <c r="D81" s="37" t="s">
        <v>165</v>
      </c>
    </row>
    <row r="82" customFormat="false" ht="15" hidden="false" customHeight="false" outlineLevel="0" collapsed="false">
      <c r="A82" s="37" t="s">
        <v>337</v>
      </c>
      <c r="B82" s="37" t="str">
        <f aca="false">IF(Questions!D33="","",Questions!D33)</f>
        <v/>
      </c>
      <c r="C82" s="37" t="s">
        <v>211</v>
      </c>
      <c r="D82" s="37" t="s">
        <v>338</v>
      </c>
    </row>
    <row r="83" customFormat="false" ht="15" hidden="false" customHeight="false" outlineLevel="0" collapsed="false">
      <c r="A83" s="37" t="s">
        <v>339</v>
      </c>
      <c r="B83" s="37" t="str">
        <f aca="false">IF(Questions!C34="","",Questions!C34)</f>
        <v/>
      </c>
      <c r="C83" s="37" t="s">
        <v>222</v>
      </c>
      <c r="D83" s="37" t="s">
        <v>167</v>
      </c>
    </row>
    <row r="84" customFormat="false" ht="15" hidden="false" customHeight="false" outlineLevel="0" collapsed="false">
      <c r="A84" s="37" t="s">
        <v>340</v>
      </c>
      <c r="B84" s="37" t="str">
        <f aca="false">IF(Questions!D34="","",Questions!D34)</f>
        <v/>
      </c>
      <c r="C84" s="37" t="s">
        <v>211</v>
      </c>
      <c r="D84" s="37" t="s">
        <v>341</v>
      </c>
    </row>
    <row r="85" customFormat="false" ht="15" hidden="false" customHeight="false" outlineLevel="0" collapsed="false">
      <c r="A85" s="37" t="s">
        <v>342</v>
      </c>
      <c r="B85" s="37" t="str">
        <f aca="false">IF(Questions!C35="","",Questions!C35)</f>
        <v/>
      </c>
      <c r="C85" s="37" t="s">
        <v>278</v>
      </c>
      <c r="D85" s="37" t="s">
        <v>169</v>
      </c>
    </row>
    <row r="86" customFormat="false" ht="15" hidden="false" customHeight="false" outlineLevel="0" collapsed="false">
      <c r="A86" s="37" t="s">
        <v>343</v>
      </c>
      <c r="B86" s="37" t="str">
        <f aca="false">IF(Questions!D35="","",Questions!D35)</f>
        <v/>
      </c>
      <c r="C86" s="37" t="s">
        <v>211</v>
      </c>
      <c r="D86" s="37" t="s">
        <v>344</v>
      </c>
    </row>
    <row r="87" customFormat="false" ht="15" hidden="false" customHeight="false" outlineLevel="0" collapsed="false">
      <c r="A87" s="37" t="s">
        <v>345</v>
      </c>
      <c r="B87" s="37" t="str">
        <f aca="false">IF(Questions!C36="","",Questions!C36)</f>
        <v/>
      </c>
      <c r="C87" s="37" t="s">
        <v>222</v>
      </c>
      <c r="D87" s="37" t="s">
        <v>171</v>
      </c>
    </row>
    <row r="88" customFormat="false" ht="15" hidden="false" customHeight="false" outlineLevel="0" collapsed="false">
      <c r="A88" s="37" t="s">
        <v>346</v>
      </c>
      <c r="B88" s="37" t="str">
        <f aca="false">IF(Questions!D36="","",Questions!D36)</f>
        <v/>
      </c>
      <c r="C88" s="37" t="s">
        <v>211</v>
      </c>
      <c r="D88" s="37" t="s">
        <v>347</v>
      </c>
    </row>
    <row r="89" customFormat="false" ht="15" hidden="false" customHeight="false" outlineLevel="0" collapsed="false">
      <c r="A89" s="37" t="s">
        <v>348</v>
      </c>
      <c r="B89" s="37" t="s">
        <v>43</v>
      </c>
      <c r="C89" s="37" t="s">
        <v>211</v>
      </c>
      <c r="D89" s="37" t="s">
        <v>20</v>
      </c>
    </row>
    <row r="90" customFormat="false" ht="15" hidden="false" customHeight="false" outlineLevel="0" collapsed="false">
      <c r="A90" s="37" t="s">
        <v>349</v>
      </c>
      <c r="B90" s="37" t="s">
        <v>350</v>
      </c>
      <c r="C90" s="37" t="s">
        <v>211</v>
      </c>
      <c r="D90" s="37" t="s">
        <v>351</v>
      </c>
    </row>
    <row r="91" customFormat="false" ht="15" hidden="false" customHeight="false" outlineLevel="0" collapsed="false">
      <c r="A91" s="37" t="s">
        <v>352</v>
      </c>
      <c r="B91" s="37" t="s">
        <v>37</v>
      </c>
      <c r="C91" s="37" t="s">
        <v>211</v>
      </c>
      <c r="D91" s="37" t="s">
        <v>23</v>
      </c>
    </row>
    <row r="92" customFormat="false" ht="15" hidden="false" customHeight="false" outlineLevel="0" collapsed="false">
      <c r="A92" s="37" t="s">
        <v>353</v>
      </c>
      <c r="B92" s="37" t="n">
        <v>8</v>
      </c>
      <c r="C92" s="37" t="s">
        <v>214</v>
      </c>
      <c r="D92" s="37" t="s">
        <v>24</v>
      </c>
    </row>
    <row r="93" customFormat="false" ht="15" hidden="false" customHeight="false" outlineLevel="0" collapsed="false">
      <c r="A93" s="37" t="s">
        <v>354</v>
      </c>
      <c r="B93" s="37" t="n">
        <v>1</v>
      </c>
      <c r="C93" s="37" t="s">
        <v>214</v>
      </c>
      <c r="D93" s="37" t="s">
        <v>355</v>
      </c>
    </row>
    <row r="94" customFormat="false" ht="15" hidden="false" customHeight="false" outlineLevel="0" collapsed="false">
      <c r="A94" s="37" t="s">
        <v>356</v>
      </c>
      <c r="B94" s="37" t="n">
        <v>0.096</v>
      </c>
      <c r="C94" s="37" t="s">
        <v>214</v>
      </c>
      <c r="D94" s="37" t="s">
        <v>26</v>
      </c>
    </row>
    <row r="95" customFormat="false" ht="15" hidden="false" customHeight="false" outlineLevel="0" collapsed="false">
      <c r="A95" s="37" t="s">
        <v>357</v>
      </c>
      <c r="B95" s="37" t="str">
        <f aca="false">IF('Test Shipments'!I19="","",'Test Shipments'!I19)</f>
        <v/>
      </c>
      <c r="C95" s="37" t="s">
        <v>211</v>
      </c>
      <c r="D95" s="37" t="s">
        <v>358</v>
      </c>
    </row>
    <row r="96" customFormat="false" ht="15" hidden="false" customHeight="false" outlineLevel="0" collapsed="false">
      <c r="A96" s="37" t="s">
        <v>359</v>
      </c>
      <c r="B96" s="37" t="str">
        <f aca="false">IF('Test Shipments'!J19="","",'Test Shipments'!J19)</f>
        <v/>
      </c>
      <c r="C96" s="37" t="s">
        <v>214</v>
      </c>
      <c r="D96" s="37" t="s">
        <v>360</v>
      </c>
    </row>
    <row r="97" customFormat="false" ht="15" hidden="false" customHeight="false" outlineLevel="0" collapsed="false">
      <c r="A97" s="37" t="s">
        <v>361</v>
      </c>
      <c r="B97" s="37" t="str">
        <f aca="false">IF('Test Shipments'!K19="","",'Test Shipments'!K19)</f>
        <v/>
      </c>
      <c r="C97" s="37" t="s">
        <v>214</v>
      </c>
      <c r="D97" s="37" t="s">
        <v>362</v>
      </c>
    </row>
    <row r="98" customFormat="false" ht="15" hidden="false" customHeight="false" outlineLevel="0" collapsed="false">
      <c r="A98" s="37" t="s">
        <v>363</v>
      </c>
      <c r="B98" s="37" t="str">
        <f aca="false">IF('Test Shipments'!J19="","not_offered","quoted")</f>
        <v>not_offered</v>
      </c>
      <c r="C98" s="37" t="s">
        <v>211</v>
      </c>
      <c r="D98" s="37" t="s">
        <v>364</v>
      </c>
    </row>
    <row r="99" customFormat="false" ht="15" hidden="false" customHeight="false" outlineLevel="0" collapsed="false">
      <c r="A99" s="37" t="s">
        <v>365</v>
      </c>
      <c r="B99" s="37" t="str">
        <f aca="false">IF('Test Shipments'!L19="","",'Test Shipments'!L19)</f>
        <v/>
      </c>
      <c r="C99" s="37" t="s">
        <v>214</v>
      </c>
      <c r="D99" s="37" t="s">
        <v>366</v>
      </c>
    </row>
    <row r="100" customFormat="false" ht="15" hidden="false" customHeight="false" outlineLevel="0" collapsed="false">
      <c r="A100" s="37" t="s">
        <v>367</v>
      </c>
      <c r="B100" s="37" t="str">
        <f aca="false">IF('Test Shipments'!M19="","",'Test Shipments'!M19)</f>
        <v/>
      </c>
      <c r="C100" s="37" t="s">
        <v>214</v>
      </c>
      <c r="D100" s="37" t="s">
        <v>368</v>
      </c>
    </row>
    <row r="101" customFormat="false" ht="15" hidden="false" customHeight="false" outlineLevel="0" collapsed="false">
      <c r="A101" s="37" t="s">
        <v>369</v>
      </c>
      <c r="B101" s="37" t="str">
        <f aca="false">IF('Test Shipments'!L19="","not_offered","quoted")</f>
        <v>not_offered</v>
      </c>
      <c r="C101" s="37" t="s">
        <v>211</v>
      </c>
      <c r="D101" s="37" t="s">
        <v>370</v>
      </c>
    </row>
    <row r="102" customFormat="false" ht="15" hidden="false" customHeight="false" outlineLevel="0" collapsed="false">
      <c r="A102" s="37" t="s">
        <v>371</v>
      </c>
      <c r="B102" s="37" t="str">
        <f aca="false">IF('Test Shipments'!N19="","",'Test Shipments'!N19)</f>
        <v/>
      </c>
      <c r="C102" s="37" t="s">
        <v>211</v>
      </c>
      <c r="D102" s="37" t="s">
        <v>372</v>
      </c>
    </row>
    <row r="103" customFormat="false" ht="15" hidden="false" customHeight="false" outlineLevel="0" collapsed="false">
      <c r="A103" s="37" t="s">
        <v>373</v>
      </c>
      <c r="B103" s="37" t="str">
        <f aca="false">IF('Test Shipments'!O19="","",'Test Shipments'!O19)</f>
        <v/>
      </c>
      <c r="C103" s="37" t="s">
        <v>214</v>
      </c>
      <c r="D103" s="37" t="s">
        <v>374</v>
      </c>
    </row>
    <row r="104" customFormat="false" ht="15" hidden="false" customHeight="false" outlineLevel="0" collapsed="false">
      <c r="A104" s="37" t="s">
        <v>375</v>
      </c>
      <c r="B104" s="37" t="str">
        <f aca="false">IF('Test Shipments'!P19="","",'Test Shipments'!P19)</f>
        <v/>
      </c>
      <c r="C104" s="37" t="s">
        <v>214</v>
      </c>
      <c r="D104" s="37" t="s">
        <v>376</v>
      </c>
    </row>
    <row r="105" customFormat="false" ht="15" hidden="false" customHeight="false" outlineLevel="0" collapsed="false">
      <c r="A105" s="37" t="s">
        <v>377</v>
      </c>
      <c r="B105" s="37" t="str">
        <f aca="false">IF('Test Shipments'!O19="","not_offered","quoted")</f>
        <v>not_offered</v>
      </c>
      <c r="C105" s="37" t="s">
        <v>211</v>
      </c>
      <c r="D105" s="37" t="s">
        <v>378</v>
      </c>
    </row>
    <row r="106" customFormat="false" ht="15" hidden="false" customHeight="false" outlineLevel="0" collapsed="false">
      <c r="A106" s="37" t="s">
        <v>379</v>
      </c>
      <c r="B106" s="37" t="str">
        <f aca="false">IF('Test Shipments'!Q19="","",'Test Shipments'!Q19)</f>
        <v/>
      </c>
      <c r="C106" s="37" t="s">
        <v>211</v>
      </c>
      <c r="D106" s="37" t="s">
        <v>380</v>
      </c>
    </row>
    <row r="107" customFormat="false" ht="15" hidden="false" customHeight="false" outlineLevel="0" collapsed="false">
      <c r="A107" s="37" t="s">
        <v>381</v>
      </c>
      <c r="B107" s="37" t="s">
        <v>43</v>
      </c>
      <c r="C107" s="37" t="s">
        <v>211</v>
      </c>
      <c r="D107" s="37" t="s">
        <v>20</v>
      </c>
    </row>
    <row r="108" customFormat="false" ht="15" hidden="false" customHeight="false" outlineLevel="0" collapsed="false">
      <c r="A108" s="37" t="s">
        <v>382</v>
      </c>
      <c r="B108" s="37" t="s">
        <v>383</v>
      </c>
      <c r="C108" s="37" t="s">
        <v>211</v>
      </c>
      <c r="D108" s="37" t="s">
        <v>351</v>
      </c>
    </row>
    <row r="109" customFormat="false" ht="15" hidden="false" customHeight="false" outlineLevel="0" collapsed="false">
      <c r="A109" s="37" t="s">
        <v>384</v>
      </c>
      <c r="B109" s="37" t="s">
        <v>47</v>
      </c>
      <c r="C109" s="37" t="s">
        <v>211</v>
      </c>
      <c r="D109" s="37" t="s">
        <v>23</v>
      </c>
    </row>
    <row r="110" customFormat="false" ht="15" hidden="false" customHeight="false" outlineLevel="0" collapsed="false">
      <c r="A110" s="37" t="s">
        <v>385</v>
      </c>
      <c r="B110" s="37" t="n">
        <v>52</v>
      </c>
      <c r="C110" s="37" t="s">
        <v>214</v>
      </c>
      <c r="D110" s="37" t="s">
        <v>24</v>
      </c>
    </row>
    <row r="111" customFormat="false" ht="15" hidden="false" customHeight="false" outlineLevel="0" collapsed="false">
      <c r="A111" s="37" t="s">
        <v>386</v>
      </c>
      <c r="B111" s="37" t="n">
        <v>4</v>
      </c>
      <c r="C111" s="37" t="s">
        <v>214</v>
      </c>
      <c r="D111" s="37" t="s">
        <v>355</v>
      </c>
    </row>
    <row r="112" customFormat="false" ht="15" hidden="false" customHeight="false" outlineLevel="0" collapsed="false">
      <c r="A112" s="37" t="s">
        <v>387</v>
      </c>
      <c r="B112" s="37" t="n">
        <v>0.384</v>
      </c>
      <c r="C112" s="37" t="s">
        <v>214</v>
      </c>
      <c r="D112" s="37" t="s">
        <v>26</v>
      </c>
    </row>
    <row r="113" customFormat="false" ht="15" hidden="false" customHeight="false" outlineLevel="0" collapsed="false">
      <c r="A113" s="37" t="s">
        <v>388</v>
      </c>
      <c r="B113" s="37" t="str">
        <f aca="false">IF('Test Shipments'!I20="","",'Test Shipments'!I20)</f>
        <v/>
      </c>
      <c r="C113" s="37" t="s">
        <v>211</v>
      </c>
      <c r="D113" s="37" t="s">
        <v>358</v>
      </c>
    </row>
    <row r="114" customFormat="false" ht="15" hidden="false" customHeight="false" outlineLevel="0" collapsed="false">
      <c r="A114" s="37" t="s">
        <v>389</v>
      </c>
      <c r="B114" s="37" t="str">
        <f aca="false">IF('Test Shipments'!J20="","",'Test Shipments'!J20)</f>
        <v/>
      </c>
      <c r="C114" s="37" t="s">
        <v>214</v>
      </c>
      <c r="D114" s="37" t="s">
        <v>360</v>
      </c>
    </row>
    <row r="115" customFormat="false" ht="15" hidden="false" customHeight="false" outlineLevel="0" collapsed="false">
      <c r="A115" s="37" t="s">
        <v>390</v>
      </c>
      <c r="B115" s="37" t="str">
        <f aca="false">IF('Test Shipments'!K20="","",'Test Shipments'!K20)</f>
        <v/>
      </c>
      <c r="C115" s="37" t="s">
        <v>214</v>
      </c>
      <c r="D115" s="37" t="s">
        <v>362</v>
      </c>
    </row>
    <row r="116" customFormat="false" ht="15" hidden="false" customHeight="false" outlineLevel="0" collapsed="false">
      <c r="A116" s="37" t="s">
        <v>391</v>
      </c>
      <c r="B116" s="37" t="str">
        <f aca="false">IF('Test Shipments'!J20="","not_offered","quoted")</f>
        <v>not_offered</v>
      </c>
      <c r="C116" s="37" t="s">
        <v>211</v>
      </c>
      <c r="D116" s="37" t="s">
        <v>364</v>
      </c>
    </row>
    <row r="117" customFormat="false" ht="15" hidden="false" customHeight="false" outlineLevel="0" collapsed="false">
      <c r="A117" s="37" t="s">
        <v>392</v>
      </c>
      <c r="B117" s="37" t="str">
        <f aca="false">IF('Test Shipments'!L20="","",'Test Shipments'!L20)</f>
        <v/>
      </c>
      <c r="C117" s="37" t="s">
        <v>214</v>
      </c>
      <c r="D117" s="37" t="s">
        <v>366</v>
      </c>
    </row>
    <row r="118" customFormat="false" ht="15" hidden="false" customHeight="false" outlineLevel="0" collapsed="false">
      <c r="A118" s="37" t="s">
        <v>393</v>
      </c>
      <c r="B118" s="37" t="str">
        <f aca="false">IF('Test Shipments'!M20="","",'Test Shipments'!M20)</f>
        <v/>
      </c>
      <c r="C118" s="37" t="s">
        <v>214</v>
      </c>
      <c r="D118" s="37" t="s">
        <v>368</v>
      </c>
    </row>
    <row r="119" customFormat="false" ht="15" hidden="false" customHeight="false" outlineLevel="0" collapsed="false">
      <c r="A119" s="37" t="s">
        <v>394</v>
      </c>
      <c r="B119" s="37" t="str">
        <f aca="false">IF('Test Shipments'!L20="","not_offered","quoted")</f>
        <v>not_offered</v>
      </c>
      <c r="C119" s="37" t="s">
        <v>211</v>
      </c>
      <c r="D119" s="37" t="s">
        <v>370</v>
      </c>
    </row>
    <row r="120" customFormat="false" ht="15" hidden="false" customHeight="false" outlineLevel="0" collapsed="false">
      <c r="A120" s="37" t="s">
        <v>395</v>
      </c>
      <c r="B120" s="37" t="str">
        <f aca="false">IF('Test Shipments'!N20="","",'Test Shipments'!N20)</f>
        <v/>
      </c>
      <c r="C120" s="37" t="s">
        <v>211</v>
      </c>
      <c r="D120" s="37" t="s">
        <v>372</v>
      </c>
    </row>
    <row r="121" customFormat="false" ht="15" hidden="false" customHeight="false" outlineLevel="0" collapsed="false">
      <c r="A121" s="37" t="s">
        <v>396</v>
      </c>
      <c r="B121" s="37" t="str">
        <f aca="false">IF('Test Shipments'!O20="","",'Test Shipments'!O20)</f>
        <v/>
      </c>
      <c r="C121" s="37" t="s">
        <v>214</v>
      </c>
      <c r="D121" s="37" t="s">
        <v>374</v>
      </c>
    </row>
    <row r="122" customFormat="false" ht="15" hidden="false" customHeight="false" outlineLevel="0" collapsed="false">
      <c r="A122" s="37" t="s">
        <v>397</v>
      </c>
      <c r="B122" s="37" t="str">
        <f aca="false">IF('Test Shipments'!P20="","",'Test Shipments'!P20)</f>
        <v/>
      </c>
      <c r="C122" s="37" t="s">
        <v>214</v>
      </c>
      <c r="D122" s="37" t="s">
        <v>376</v>
      </c>
    </row>
    <row r="123" customFormat="false" ht="15" hidden="false" customHeight="false" outlineLevel="0" collapsed="false">
      <c r="A123" s="37" t="s">
        <v>398</v>
      </c>
      <c r="B123" s="37" t="str">
        <f aca="false">IF('Test Shipments'!O20="","not_offered","quoted")</f>
        <v>not_offered</v>
      </c>
      <c r="C123" s="37" t="s">
        <v>211</v>
      </c>
      <c r="D123" s="37" t="s">
        <v>378</v>
      </c>
    </row>
    <row r="124" customFormat="false" ht="15" hidden="false" customHeight="false" outlineLevel="0" collapsed="false">
      <c r="A124" s="37" t="s">
        <v>399</v>
      </c>
      <c r="B124" s="37" t="str">
        <f aca="false">IF('Test Shipments'!Q20="","",'Test Shipments'!Q20)</f>
        <v/>
      </c>
      <c r="C124" s="37" t="s">
        <v>211</v>
      </c>
      <c r="D124" s="37" t="s">
        <v>380</v>
      </c>
    </row>
    <row r="125" customFormat="false" ht="15" hidden="false" customHeight="false" outlineLevel="0" collapsed="false">
      <c r="A125" s="37" t="s">
        <v>400</v>
      </c>
      <c r="B125" s="37" t="s">
        <v>43</v>
      </c>
      <c r="C125" s="37" t="s">
        <v>211</v>
      </c>
      <c r="D125" s="37" t="s">
        <v>20</v>
      </c>
    </row>
    <row r="126" customFormat="false" ht="15" hidden="false" customHeight="false" outlineLevel="0" collapsed="false">
      <c r="A126" s="37" t="s">
        <v>401</v>
      </c>
      <c r="B126" s="37" t="s">
        <v>402</v>
      </c>
      <c r="C126" s="37" t="s">
        <v>211</v>
      </c>
      <c r="D126" s="37" t="s">
        <v>351</v>
      </c>
    </row>
    <row r="127" customFormat="false" ht="15" hidden="false" customHeight="false" outlineLevel="0" collapsed="false">
      <c r="A127" s="37" t="s">
        <v>403</v>
      </c>
      <c r="B127" s="37" t="s">
        <v>49</v>
      </c>
      <c r="C127" s="37" t="s">
        <v>211</v>
      </c>
      <c r="D127" s="37" t="s">
        <v>23</v>
      </c>
    </row>
    <row r="128" customFormat="false" ht="15" hidden="false" customHeight="false" outlineLevel="0" collapsed="false">
      <c r="A128" s="37" t="s">
        <v>404</v>
      </c>
      <c r="B128" s="37" t="n">
        <v>261</v>
      </c>
      <c r="C128" s="37" t="s">
        <v>214</v>
      </c>
      <c r="D128" s="37" t="s">
        <v>24</v>
      </c>
    </row>
    <row r="129" customFormat="false" ht="15" hidden="false" customHeight="false" outlineLevel="0" collapsed="false">
      <c r="A129" s="37" t="s">
        <v>405</v>
      </c>
      <c r="B129" s="37" t="n">
        <v>18</v>
      </c>
      <c r="C129" s="37" t="s">
        <v>214</v>
      </c>
      <c r="D129" s="37" t="s">
        <v>355</v>
      </c>
    </row>
    <row r="130" customFormat="false" ht="15" hidden="false" customHeight="false" outlineLevel="0" collapsed="false">
      <c r="A130" s="37" t="s">
        <v>406</v>
      </c>
      <c r="B130" s="37" t="n">
        <v>1.728</v>
      </c>
      <c r="C130" s="37" t="s">
        <v>214</v>
      </c>
      <c r="D130" s="37" t="s">
        <v>26</v>
      </c>
    </row>
    <row r="131" customFormat="false" ht="15" hidden="false" customHeight="false" outlineLevel="0" collapsed="false">
      <c r="A131" s="37" t="s">
        <v>407</v>
      </c>
      <c r="B131" s="37" t="str">
        <f aca="false">IF('Test Shipments'!I21="","",'Test Shipments'!I21)</f>
        <v/>
      </c>
      <c r="C131" s="37" t="s">
        <v>211</v>
      </c>
      <c r="D131" s="37" t="s">
        <v>358</v>
      </c>
    </row>
    <row r="132" customFormat="false" ht="15" hidden="false" customHeight="false" outlineLevel="0" collapsed="false">
      <c r="A132" s="37" t="s">
        <v>408</v>
      </c>
      <c r="B132" s="37" t="str">
        <f aca="false">IF('Test Shipments'!J21="","",'Test Shipments'!J21)</f>
        <v/>
      </c>
      <c r="C132" s="37" t="s">
        <v>214</v>
      </c>
      <c r="D132" s="37" t="s">
        <v>360</v>
      </c>
    </row>
    <row r="133" customFormat="false" ht="15" hidden="false" customHeight="false" outlineLevel="0" collapsed="false">
      <c r="A133" s="37" t="s">
        <v>409</v>
      </c>
      <c r="B133" s="37" t="str">
        <f aca="false">IF('Test Shipments'!K21="","",'Test Shipments'!K21)</f>
        <v/>
      </c>
      <c r="C133" s="37" t="s">
        <v>214</v>
      </c>
      <c r="D133" s="37" t="s">
        <v>362</v>
      </c>
    </row>
    <row r="134" customFormat="false" ht="15" hidden="false" customHeight="false" outlineLevel="0" collapsed="false">
      <c r="A134" s="37" t="s">
        <v>410</v>
      </c>
      <c r="B134" s="37" t="str">
        <f aca="false">IF('Test Shipments'!J21="","not_offered","quoted")</f>
        <v>not_offered</v>
      </c>
      <c r="C134" s="37" t="s">
        <v>211</v>
      </c>
      <c r="D134" s="37" t="s">
        <v>364</v>
      </c>
    </row>
    <row r="135" customFormat="false" ht="15" hidden="false" customHeight="false" outlineLevel="0" collapsed="false">
      <c r="A135" s="37" t="s">
        <v>411</v>
      </c>
      <c r="B135" s="37" t="str">
        <f aca="false">IF('Test Shipments'!L21="","",'Test Shipments'!L21)</f>
        <v/>
      </c>
      <c r="C135" s="37" t="s">
        <v>214</v>
      </c>
      <c r="D135" s="37" t="s">
        <v>366</v>
      </c>
    </row>
    <row r="136" customFormat="false" ht="15" hidden="false" customHeight="false" outlineLevel="0" collapsed="false">
      <c r="A136" s="37" t="s">
        <v>412</v>
      </c>
      <c r="B136" s="37" t="str">
        <f aca="false">IF('Test Shipments'!M21="","",'Test Shipments'!M21)</f>
        <v/>
      </c>
      <c r="C136" s="37" t="s">
        <v>214</v>
      </c>
      <c r="D136" s="37" t="s">
        <v>368</v>
      </c>
    </row>
    <row r="137" customFormat="false" ht="15" hidden="false" customHeight="false" outlineLevel="0" collapsed="false">
      <c r="A137" s="37" t="s">
        <v>413</v>
      </c>
      <c r="B137" s="37" t="str">
        <f aca="false">IF('Test Shipments'!L21="","not_offered","quoted")</f>
        <v>not_offered</v>
      </c>
      <c r="C137" s="37" t="s">
        <v>211</v>
      </c>
      <c r="D137" s="37" t="s">
        <v>370</v>
      </c>
    </row>
    <row r="138" customFormat="false" ht="15" hidden="false" customHeight="false" outlineLevel="0" collapsed="false">
      <c r="A138" s="37" t="s">
        <v>414</v>
      </c>
      <c r="B138" s="37" t="str">
        <f aca="false">IF('Test Shipments'!N21="","",'Test Shipments'!N21)</f>
        <v/>
      </c>
      <c r="C138" s="37" t="s">
        <v>211</v>
      </c>
      <c r="D138" s="37" t="s">
        <v>372</v>
      </c>
    </row>
    <row r="139" customFormat="false" ht="15" hidden="false" customHeight="false" outlineLevel="0" collapsed="false">
      <c r="A139" s="37" t="s">
        <v>415</v>
      </c>
      <c r="B139" s="37" t="str">
        <f aca="false">IF('Test Shipments'!O21="","",'Test Shipments'!O21)</f>
        <v/>
      </c>
      <c r="C139" s="37" t="s">
        <v>214</v>
      </c>
      <c r="D139" s="37" t="s">
        <v>374</v>
      </c>
    </row>
    <row r="140" customFormat="false" ht="15" hidden="false" customHeight="false" outlineLevel="0" collapsed="false">
      <c r="A140" s="37" t="s">
        <v>416</v>
      </c>
      <c r="B140" s="37" t="str">
        <f aca="false">IF('Test Shipments'!P21="","",'Test Shipments'!P21)</f>
        <v/>
      </c>
      <c r="C140" s="37" t="s">
        <v>214</v>
      </c>
      <c r="D140" s="37" t="s">
        <v>376</v>
      </c>
    </row>
    <row r="141" customFormat="false" ht="15" hidden="false" customHeight="false" outlineLevel="0" collapsed="false">
      <c r="A141" s="37" t="s">
        <v>417</v>
      </c>
      <c r="B141" s="37" t="str">
        <f aca="false">IF('Test Shipments'!O21="","not_offered","quoted")</f>
        <v>not_offered</v>
      </c>
      <c r="C141" s="37" t="s">
        <v>211</v>
      </c>
      <c r="D141" s="37" t="s">
        <v>378</v>
      </c>
    </row>
    <row r="142" customFormat="false" ht="15" hidden="false" customHeight="false" outlineLevel="0" collapsed="false">
      <c r="A142" s="37" t="s">
        <v>418</v>
      </c>
      <c r="B142" s="37" t="str">
        <f aca="false">IF('Test Shipments'!Q21="","",'Test Shipments'!Q21)</f>
        <v/>
      </c>
      <c r="C142" s="37" t="s">
        <v>211</v>
      </c>
      <c r="D142" s="37" t="s">
        <v>380</v>
      </c>
    </row>
    <row r="143" customFormat="false" ht="15" hidden="false" customHeight="false" outlineLevel="0" collapsed="false">
      <c r="A143" s="37" t="s">
        <v>419</v>
      </c>
      <c r="B143" s="37" t="s">
        <v>43</v>
      </c>
      <c r="C143" s="37" t="s">
        <v>211</v>
      </c>
      <c r="D143" s="37" t="s">
        <v>20</v>
      </c>
    </row>
    <row r="144" customFormat="false" ht="15" hidden="false" customHeight="false" outlineLevel="0" collapsed="false">
      <c r="A144" s="37" t="s">
        <v>420</v>
      </c>
      <c r="B144" s="37" t="s">
        <v>421</v>
      </c>
      <c r="C144" s="37" t="s">
        <v>211</v>
      </c>
      <c r="D144" s="37" t="s">
        <v>351</v>
      </c>
    </row>
    <row r="145" customFormat="false" ht="15" hidden="false" customHeight="false" outlineLevel="0" collapsed="false">
      <c r="A145" s="37" t="s">
        <v>422</v>
      </c>
      <c r="B145" s="37" t="s">
        <v>51</v>
      </c>
      <c r="C145" s="37" t="s">
        <v>211</v>
      </c>
      <c r="D145" s="37" t="s">
        <v>23</v>
      </c>
    </row>
    <row r="146" customFormat="false" ht="15" hidden="false" customHeight="false" outlineLevel="0" collapsed="false">
      <c r="A146" s="37" t="s">
        <v>423</v>
      </c>
      <c r="B146" s="37" t="n">
        <v>941</v>
      </c>
      <c r="C146" s="37" t="s">
        <v>214</v>
      </c>
      <c r="D146" s="37" t="s">
        <v>24</v>
      </c>
    </row>
    <row r="147" customFormat="false" ht="15" hidden="false" customHeight="false" outlineLevel="0" collapsed="false">
      <c r="A147" s="37" t="s">
        <v>424</v>
      </c>
      <c r="B147" s="37" t="n">
        <v>64</v>
      </c>
      <c r="C147" s="37" t="s">
        <v>214</v>
      </c>
      <c r="D147" s="37" t="s">
        <v>355</v>
      </c>
    </row>
    <row r="148" customFormat="false" ht="15" hidden="false" customHeight="false" outlineLevel="0" collapsed="false">
      <c r="A148" s="37" t="s">
        <v>425</v>
      </c>
      <c r="B148" s="37" t="n">
        <v>6.144</v>
      </c>
      <c r="C148" s="37" t="s">
        <v>214</v>
      </c>
      <c r="D148" s="37" t="s">
        <v>26</v>
      </c>
    </row>
    <row r="149" customFormat="false" ht="15" hidden="false" customHeight="false" outlineLevel="0" collapsed="false">
      <c r="A149" s="37" t="s">
        <v>426</v>
      </c>
      <c r="B149" s="37" t="str">
        <f aca="false">IF('Test Shipments'!I22="","",'Test Shipments'!I22)</f>
        <v/>
      </c>
      <c r="C149" s="37" t="s">
        <v>211</v>
      </c>
      <c r="D149" s="37" t="s">
        <v>358</v>
      </c>
    </row>
    <row r="150" customFormat="false" ht="15" hidden="false" customHeight="false" outlineLevel="0" collapsed="false">
      <c r="A150" s="37" t="s">
        <v>427</v>
      </c>
      <c r="B150" s="37" t="str">
        <f aca="false">IF('Test Shipments'!J22="","",'Test Shipments'!J22)</f>
        <v/>
      </c>
      <c r="C150" s="37" t="s">
        <v>214</v>
      </c>
      <c r="D150" s="37" t="s">
        <v>360</v>
      </c>
    </row>
    <row r="151" customFormat="false" ht="15" hidden="false" customHeight="false" outlineLevel="0" collapsed="false">
      <c r="A151" s="37" t="s">
        <v>428</v>
      </c>
      <c r="B151" s="37" t="str">
        <f aca="false">IF('Test Shipments'!K22="","",'Test Shipments'!K22)</f>
        <v/>
      </c>
      <c r="C151" s="37" t="s">
        <v>214</v>
      </c>
      <c r="D151" s="37" t="s">
        <v>362</v>
      </c>
    </row>
    <row r="152" customFormat="false" ht="15" hidden="false" customHeight="false" outlineLevel="0" collapsed="false">
      <c r="A152" s="37" t="s">
        <v>429</v>
      </c>
      <c r="B152" s="37" t="str">
        <f aca="false">IF('Test Shipments'!J22="","not_offered","quoted")</f>
        <v>not_offered</v>
      </c>
      <c r="C152" s="37" t="s">
        <v>211</v>
      </c>
      <c r="D152" s="37" t="s">
        <v>364</v>
      </c>
    </row>
    <row r="153" customFormat="false" ht="15" hidden="false" customHeight="false" outlineLevel="0" collapsed="false">
      <c r="A153" s="37" t="s">
        <v>430</v>
      </c>
      <c r="B153" s="37" t="str">
        <f aca="false">IF('Test Shipments'!L22="","",'Test Shipments'!L22)</f>
        <v/>
      </c>
      <c r="C153" s="37" t="s">
        <v>214</v>
      </c>
      <c r="D153" s="37" t="s">
        <v>366</v>
      </c>
    </row>
    <row r="154" customFormat="false" ht="15" hidden="false" customHeight="false" outlineLevel="0" collapsed="false">
      <c r="A154" s="37" t="s">
        <v>431</v>
      </c>
      <c r="B154" s="37" t="str">
        <f aca="false">IF('Test Shipments'!M22="","",'Test Shipments'!M22)</f>
        <v/>
      </c>
      <c r="C154" s="37" t="s">
        <v>214</v>
      </c>
      <c r="D154" s="37" t="s">
        <v>368</v>
      </c>
    </row>
    <row r="155" customFormat="false" ht="15" hidden="false" customHeight="false" outlineLevel="0" collapsed="false">
      <c r="A155" s="37" t="s">
        <v>432</v>
      </c>
      <c r="B155" s="37" t="str">
        <f aca="false">IF('Test Shipments'!L22="","not_offered","quoted")</f>
        <v>not_offered</v>
      </c>
      <c r="C155" s="37" t="s">
        <v>211</v>
      </c>
      <c r="D155" s="37" t="s">
        <v>370</v>
      </c>
    </row>
    <row r="156" customFormat="false" ht="15" hidden="false" customHeight="false" outlineLevel="0" collapsed="false">
      <c r="A156" s="37" t="s">
        <v>433</v>
      </c>
      <c r="B156" s="37" t="str">
        <f aca="false">IF('Test Shipments'!N22="","",'Test Shipments'!N22)</f>
        <v/>
      </c>
      <c r="C156" s="37" t="s">
        <v>211</v>
      </c>
      <c r="D156" s="37" t="s">
        <v>372</v>
      </c>
    </row>
    <row r="157" customFormat="false" ht="15" hidden="false" customHeight="false" outlineLevel="0" collapsed="false">
      <c r="A157" s="37" t="s">
        <v>434</v>
      </c>
      <c r="B157" s="37" t="str">
        <f aca="false">IF('Test Shipments'!O22="","",'Test Shipments'!O22)</f>
        <v/>
      </c>
      <c r="C157" s="37" t="s">
        <v>214</v>
      </c>
      <c r="D157" s="37" t="s">
        <v>374</v>
      </c>
    </row>
    <row r="158" customFormat="false" ht="15" hidden="false" customHeight="false" outlineLevel="0" collapsed="false">
      <c r="A158" s="37" t="s">
        <v>435</v>
      </c>
      <c r="B158" s="37" t="str">
        <f aca="false">IF('Test Shipments'!P22="","",'Test Shipments'!P22)</f>
        <v/>
      </c>
      <c r="C158" s="37" t="s">
        <v>214</v>
      </c>
      <c r="D158" s="37" t="s">
        <v>376</v>
      </c>
    </row>
    <row r="159" customFormat="false" ht="15" hidden="false" customHeight="false" outlineLevel="0" collapsed="false">
      <c r="A159" s="37" t="s">
        <v>436</v>
      </c>
      <c r="B159" s="37" t="str">
        <f aca="false">IF('Test Shipments'!O22="","not_offered","quoted")</f>
        <v>not_offered</v>
      </c>
      <c r="C159" s="37" t="s">
        <v>211</v>
      </c>
      <c r="D159" s="37" t="s">
        <v>378</v>
      </c>
    </row>
    <row r="160" customFormat="false" ht="15" hidden="false" customHeight="false" outlineLevel="0" collapsed="false">
      <c r="A160" s="37" t="s">
        <v>437</v>
      </c>
      <c r="B160" s="37" t="str">
        <f aca="false">IF('Test Shipments'!Q22="","",'Test Shipments'!Q22)</f>
        <v/>
      </c>
      <c r="C160" s="37" t="s">
        <v>211</v>
      </c>
      <c r="D160" s="37" t="s">
        <v>380</v>
      </c>
    </row>
    <row r="161" customFormat="false" ht="15" hidden="false" customHeight="false" outlineLevel="0" collapsed="false">
      <c r="A161" s="37" t="s">
        <v>438</v>
      </c>
      <c r="B161" s="37" t="s">
        <v>43</v>
      </c>
      <c r="C161" s="37" t="s">
        <v>211</v>
      </c>
      <c r="D161" s="37" t="s">
        <v>20</v>
      </c>
    </row>
    <row r="162" customFormat="false" ht="15" hidden="false" customHeight="false" outlineLevel="0" collapsed="false">
      <c r="A162" s="37" t="s">
        <v>439</v>
      </c>
      <c r="B162" s="37" t="s">
        <v>440</v>
      </c>
      <c r="C162" s="37" t="s">
        <v>211</v>
      </c>
      <c r="D162" s="37" t="s">
        <v>351</v>
      </c>
    </row>
    <row r="163" customFormat="false" ht="15" hidden="false" customHeight="false" outlineLevel="0" collapsed="false">
      <c r="A163" s="37" t="s">
        <v>441</v>
      </c>
      <c r="B163" s="37" t="s">
        <v>53</v>
      </c>
      <c r="C163" s="37" t="s">
        <v>211</v>
      </c>
      <c r="D163" s="37" t="s">
        <v>23</v>
      </c>
    </row>
    <row r="164" customFormat="false" ht="15" hidden="false" customHeight="false" outlineLevel="0" collapsed="false">
      <c r="A164" s="37" t="s">
        <v>442</v>
      </c>
      <c r="B164" s="37" t="n">
        <v>2380</v>
      </c>
      <c r="C164" s="37" t="s">
        <v>214</v>
      </c>
      <c r="D164" s="37" t="s">
        <v>24</v>
      </c>
    </row>
    <row r="165" customFormat="false" ht="15" hidden="false" customHeight="false" outlineLevel="0" collapsed="false">
      <c r="A165" s="37" t="s">
        <v>443</v>
      </c>
      <c r="B165" s="37" t="n">
        <v>160</v>
      </c>
      <c r="C165" s="37" t="s">
        <v>214</v>
      </c>
      <c r="D165" s="37" t="s">
        <v>355</v>
      </c>
    </row>
    <row r="166" customFormat="false" ht="15" hidden="false" customHeight="false" outlineLevel="0" collapsed="false">
      <c r="A166" s="37" t="s">
        <v>444</v>
      </c>
      <c r="B166" s="37" t="n">
        <v>15.36</v>
      </c>
      <c r="C166" s="37" t="s">
        <v>214</v>
      </c>
      <c r="D166" s="37" t="s">
        <v>26</v>
      </c>
    </row>
    <row r="167" customFormat="false" ht="15" hidden="false" customHeight="false" outlineLevel="0" collapsed="false">
      <c r="A167" s="37" t="s">
        <v>445</v>
      </c>
      <c r="B167" s="37" t="str">
        <f aca="false">IF('Test Shipments'!I23="","",'Test Shipments'!I23)</f>
        <v/>
      </c>
      <c r="C167" s="37" t="s">
        <v>211</v>
      </c>
      <c r="D167" s="37" t="s">
        <v>358</v>
      </c>
    </row>
    <row r="168" customFormat="false" ht="15" hidden="false" customHeight="false" outlineLevel="0" collapsed="false">
      <c r="A168" s="37" t="s">
        <v>446</v>
      </c>
      <c r="B168" s="37" t="str">
        <f aca="false">IF('Test Shipments'!J23="","",'Test Shipments'!J23)</f>
        <v/>
      </c>
      <c r="C168" s="37" t="s">
        <v>214</v>
      </c>
      <c r="D168" s="37" t="s">
        <v>360</v>
      </c>
    </row>
    <row r="169" customFormat="false" ht="15" hidden="false" customHeight="false" outlineLevel="0" collapsed="false">
      <c r="A169" s="37" t="s">
        <v>447</v>
      </c>
      <c r="B169" s="37" t="str">
        <f aca="false">IF('Test Shipments'!K23="","",'Test Shipments'!K23)</f>
        <v/>
      </c>
      <c r="C169" s="37" t="s">
        <v>214</v>
      </c>
      <c r="D169" s="37" t="s">
        <v>362</v>
      </c>
    </row>
    <row r="170" customFormat="false" ht="15" hidden="false" customHeight="false" outlineLevel="0" collapsed="false">
      <c r="A170" s="37" t="s">
        <v>448</v>
      </c>
      <c r="B170" s="37" t="str">
        <f aca="false">IF('Test Shipments'!J23="","not_offered","quoted")</f>
        <v>not_offered</v>
      </c>
      <c r="C170" s="37" t="s">
        <v>211</v>
      </c>
      <c r="D170" s="37" t="s">
        <v>364</v>
      </c>
    </row>
    <row r="171" customFormat="false" ht="15" hidden="false" customHeight="false" outlineLevel="0" collapsed="false">
      <c r="A171" s="37" t="s">
        <v>449</v>
      </c>
      <c r="B171" s="37" t="str">
        <f aca="false">IF('Test Shipments'!L23="","",'Test Shipments'!L23)</f>
        <v/>
      </c>
      <c r="C171" s="37" t="s">
        <v>214</v>
      </c>
      <c r="D171" s="37" t="s">
        <v>366</v>
      </c>
    </row>
    <row r="172" customFormat="false" ht="15" hidden="false" customHeight="false" outlineLevel="0" collapsed="false">
      <c r="A172" s="37" t="s">
        <v>450</v>
      </c>
      <c r="B172" s="37" t="str">
        <f aca="false">IF('Test Shipments'!M23="","",'Test Shipments'!M23)</f>
        <v/>
      </c>
      <c r="C172" s="37" t="s">
        <v>214</v>
      </c>
      <c r="D172" s="37" t="s">
        <v>368</v>
      </c>
    </row>
    <row r="173" customFormat="false" ht="15" hidden="false" customHeight="false" outlineLevel="0" collapsed="false">
      <c r="A173" s="37" t="s">
        <v>451</v>
      </c>
      <c r="B173" s="37" t="str">
        <f aca="false">IF('Test Shipments'!L23="","not_offered","quoted")</f>
        <v>not_offered</v>
      </c>
      <c r="C173" s="37" t="s">
        <v>211</v>
      </c>
      <c r="D173" s="37" t="s">
        <v>370</v>
      </c>
    </row>
    <row r="174" customFormat="false" ht="15" hidden="false" customHeight="false" outlineLevel="0" collapsed="false">
      <c r="A174" s="37" t="s">
        <v>452</v>
      </c>
      <c r="B174" s="37" t="str">
        <f aca="false">IF('Test Shipments'!N23="","",'Test Shipments'!N23)</f>
        <v/>
      </c>
      <c r="C174" s="37" t="s">
        <v>211</v>
      </c>
      <c r="D174" s="37" t="s">
        <v>372</v>
      </c>
    </row>
    <row r="175" customFormat="false" ht="15" hidden="false" customHeight="false" outlineLevel="0" collapsed="false">
      <c r="A175" s="37" t="s">
        <v>453</v>
      </c>
      <c r="B175" s="37" t="str">
        <f aca="false">IF('Test Shipments'!O23="","",'Test Shipments'!O23)</f>
        <v/>
      </c>
      <c r="C175" s="37" t="s">
        <v>214</v>
      </c>
      <c r="D175" s="37" t="s">
        <v>374</v>
      </c>
    </row>
    <row r="176" customFormat="false" ht="15" hidden="false" customHeight="false" outlineLevel="0" collapsed="false">
      <c r="A176" s="37" t="s">
        <v>454</v>
      </c>
      <c r="B176" s="37" t="str">
        <f aca="false">IF('Test Shipments'!P23="","",'Test Shipments'!P23)</f>
        <v/>
      </c>
      <c r="C176" s="37" t="s">
        <v>214</v>
      </c>
      <c r="D176" s="37" t="s">
        <v>376</v>
      </c>
    </row>
    <row r="177" customFormat="false" ht="15" hidden="false" customHeight="false" outlineLevel="0" collapsed="false">
      <c r="A177" s="37" t="s">
        <v>455</v>
      </c>
      <c r="B177" s="37" t="str">
        <f aca="false">IF('Test Shipments'!O23="","not_offered","quoted")</f>
        <v>not_offered</v>
      </c>
      <c r="C177" s="37" t="s">
        <v>211</v>
      </c>
      <c r="D177" s="37" t="s">
        <v>378</v>
      </c>
    </row>
    <row r="178" customFormat="false" ht="15" hidden="false" customHeight="false" outlineLevel="0" collapsed="false">
      <c r="A178" s="37" t="s">
        <v>456</v>
      </c>
      <c r="B178" s="37" t="str">
        <f aca="false">IF('Test Shipments'!Q23="","",'Test Shipments'!Q23)</f>
        <v/>
      </c>
      <c r="C178" s="37" t="s">
        <v>211</v>
      </c>
      <c r="D178" s="37" t="s">
        <v>380</v>
      </c>
    </row>
    <row r="179" customFormat="false" ht="15" hidden="false" customHeight="false" outlineLevel="0" collapsed="false">
      <c r="A179" s="37" t="s">
        <v>457</v>
      </c>
      <c r="B179" s="37" t="s">
        <v>55</v>
      </c>
      <c r="C179" s="37" t="s">
        <v>211</v>
      </c>
      <c r="D179" s="37" t="s">
        <v>20</v>
      </c>
    </row>
    <row r="180" customFormat="false" ht="15" hidden="false" customHeight="false" outlineLevel="0" collapsed="false">
      <c r="A180" s="37" t="s">
        <v>458</v>
      </c>
      <c r="B180" s="37" t="s">
        <v>350</v>
      </c>
      <c r="C180" s="37" t="s">
        <v>211</v>
      </c>
      <c r="D180" s="37" t="s">
        <v>351</v>
      </c>
    </row>
    <row r="181" customFormat="false" ht="15" hidden="false" customHeight="false" outlineLevel="0" collapsed="false">
      <c r="A181" s="37" t="s">
        <v>459</v>
      </c>
      <c r="B181" s="37" t="s">
        <v>37</v>
      </c>
      <c r="C181" s="37" t="s">
        <v>211</v>
      </c>
      <c r="D181" s="37" t="s">
        <v>23</v>
      </c>
    </row>
    <row r="182" customFormat="false" ht="15" hidden="false" customHeight="false" outlineLevel="0" collapsed="false">
      <c r="A182" s="37" t="s">
        <v>460</v>
      </c>
      <c r="B182" s="37" t="n">
        <v>8</v>
      </c>
      <c r="C182" s="37" t="s">
        <v>214</v>
      </c>
      <c r="D182" s="37" t="s">
        <v>24</v>
      </c>
    </row>
    <row r="183" customFormat="false" ht="15" hidden="false" customHeight="false" outlineLevel="0" collapsed="false">
      <c r="A183" s="37" t="s">
        <v>461</v>
      </c>
      <c r="B183" s="37" t="n">
        <v>1</v>
      </c>
      <c r="C183" s="37" t="s">
        <v>214</v>
      </c>
      <c r="D183" s="37" t="s">
        <v>355</v>
      </c>
    </row>
    <row r="184" customFormat="false" ht="15" hidden="false" customHeight="false" outlineLevel="0" collapsed="false">
      <c r="A184" s="37" t="s">
        <v>462</v>
      </c>
      <c r="B184" s="37" t="n">
        <v>0.096</v>
      </c>
      <c r="C184" s="37" t="s">
        <v>214</v>
      </c>
      <c r="D184" s="37" t="s">
        <v>26</v>
      </c>
    </row>
    <row r="185" customFormat="false" ht="15" hidden="false" customHeight="false" outlineLevel="0" collapsed="false">
      <c r="A185" s="37" t="s">
        <v>463</v>
      </c>
      <c r="B185" s="37" t="str">
        <f aca="false">IF('Test Shipments'!I24="","",'Test Shipments'!I24)</f>
        <v/>
      </c>
      <c r="C185" s="37" t="s">
        <v>211</v>
      </c>
      <c r="D185" s="37" t="s">
        <v>358</v>
      </c>
    </row>
    <row r="186" customFormat="false" ht="15" hidden="false" customHeight="false" outlineLevel="0" collapsed="false">
      <c r="A186" s="37" t="s">
        <v>464</v>
      </c>
      <c r="B186" s="37" t="str">
        <f aca="false">IF('Test Shipments'!J24="","",'Test Shipments'!J24)</f>
        <v/>
      </c>
      <c r="C186" s="37" t="s">
        <v>214</v>
      </c>
      <c r="D186" s="37" t="s">
        <v>360</v>
      </c>
    </row>
    <row r="187" customFormat="false" ht="15" hidden="false" customHeight="false" outlineLevel="0" collapsed="false">
      <c r="A187" s="37" t="s">
        <v>465</v>
      </c>
      <c r="B187" s="37" t="str">
        <f aca="false">IF('Test Shipments'!K24="","",'Test Shipments'!K24)</f>
        <v/>
      </c>
      <c r="C187" s="37" t="s">
        <v>214</v>
      </c>
      <c r="D187" s="37" t="s">
        <v>362</v>
      </c>
    </row>
    <row r="188" customFormat="false" ht="15" hidden="false" customHeight="false" outlineLevel="0" collapsed="false">
      <c r="A188" s="37" t="s">
        <v>466</v>
      </c>
      <c r="B188" s="37" t="str">
        <f aca="false">IF('Test Shipments'!J24="","not_offered","quoted")</f>
        <v>not_offered</v>
      </c>
      <c r="C188" s="37" t="s">
        <v>211</v>
      </c>
      <c r="D188" s="37" t="s">
        <v>364</v>
      </c>
    </row>
    <row r="189" customFormat="false" ht="15" hidden="false" customHeight="false" outlineLevel="0" collapsed="false">
      <c r="A189" s="37" t="s">
        <v>467</v>
      </c>
      <c r="B189" s="37" t="str">
        <f aca="false">IF('Test Shipments'!L24="","",'Test Shipments'!L24)</f>
        <v/>
      </c>
      <c r="C189" s="37" t="s">
        <v>214</v>
      </c>
      <c r="D189" s="37" t="s">
        <v>366</v>
      </c>
    </row>
    <row r="190" customFormat="false" ht="15" hidden="false" customHeight="false" outlineLevel="0" collapsed="false">
      <c r="A190" s="37" t="s">
        <v>468</v>
      </c>
      <c r="B190" s="37" t="str">
        <f aca="false">IF('Test Shipments'!M24="","",'Test Shipments'!M24)</f>
        <v/>
      </c>
      <c r="C190" s="37" t="s">
        <v>214</v>
      </c>
      <c r="D190" s="37" t="s">
        <v>368</v>
      </c>
    </row>
    <row r="191" customFormat="false" ht="15" hidden="false" customHeight="false" outlineLevel="0" collapsed="false">
      <c r="A191" s="37" t="s">
        <v>469</v>
      </c>
      <c r="B191" s="37" t="str">
        <f aca="false">IF('Test Shipments'!L24="","not_offered","quoted")</f>
        <v>not_offered</v>
      </c>
      <c r="C191" s="37" t="s">
        <v>211</v>
      </c>
      <c r="D191" s="37" t="s">
        <v>370</v>
      </c>
    </row>
    <row r="192" customFormat="false" ht="15" hidden="false" customHeight="false" outlineLevel="0" collapsed="false">
      <c r="A192" s="37" t="s">
        <v>470</v>
      </c>
      <c r="B192" s="37" t="str">
        <f aca="false">IF('Test Shipments'!N24="","",'Test Shipments'!N24)</f>
        <v/>
      </c>
      <c r="C192" s="37" t="s">
        <v>211</v>
      </c>
      <c r="D192" s="37" t="s">
        <v>372</v>
      </c>
    </row>
    <row r="193" customFormat="false" ht="15" hidden="false" customHeight="false" outlineLevel="0" collapsed="false">
      <c r="A193" s="37" t="s">
        <v>471</v>
      </c>
      <c r="B193" s="37" t="str">
        <f aca="false">IF('Test Shipments'!O24="","",'Test Shipments'!O24)</f>
        <v/>
      </c>
      <c r="C193" s="37" t="s">
        <v>214</v>
      </c>
      <c r="D193" s="37" t="s">
        <v>374</v>
      </c>
    </row>
    <row r="194" customFormat="false" ht="15" hidden="false" customHeight="false" outlineLevel="0" collapsed="false">
      <c r="A194" s="37" t="s">
        <v>472</v>
      </c>
      <c r="B194" s="37" t="str">
        <f aca="false">IF('Test Shipments'!P24="","",'Test Shipments'!P24)</f>
        <v/>
      </c>
      <c r="C194" s="37" t="s">
        <v>214</v>
      </c>
      <c r="D194" s="37" t="s">
        <v>376</v>
      </c>
    </row>
    <row r="195" customFormat="false" ht="15" hidden="false" customHeight="false" outlineLevel="0" collapsed="false">
      <c r="A195" s="37" t="s">
        <v>473</v>
      </c>
      <c r="B195" s="37" t="str">
        <f aca="false">IF('Test Shipments'!O24="","not_offered","quoted")</f>
        <v>not_offered</v>
      </c>
      <c r="C195" s="37" t="s">
        <v>211</v>
      </c>
      <c r="D195" s="37" t="s">
        <v>378</v>
      </c>
    </row>
    <row r="196" customFormat="false" ht="15" hidden="false" customHeight="false" outlineLevel="0" collapsed="false">
      <c r="A196" s="37" t="s">
        <v>474</v>
      </c>
      <c r="B196" s="37" t="str">
        <f aca="false">IF('Test Shipments'!Q24="","",'Test Shipments'!Q24)</f>
        <v/>
      </c>
      <c r="C196" s="37" t="s">
        <v>211</v>
      </c>
      <c r="D196" s="37" t="s">
        <v>380</v>
      </c>
    </row>
    <row r="197" customFormat="false" ht="15" hidden="false" customHeight="false" outlineLevel="0" collapsed="false">
      <c r="A197" s="37" t="s">
        <v>475</v>
      </c>
      <c r="B197" s="37" t="s">
        <v>55</v>
      </c>
      <c r="C197" s="37" t="s">
        <v>211</v>
      </c>
      <c r="D197" s="37" t="s">
        <v>20</v>
      </c>
    </row>
    <row r="198" customFormat="false" ht="15" hidden="false" customHeight="false" outlineLevel="0" collapsed="false">
      <c r="A198" s="37" t="s">
        <v>476</v>
      </c>
      <c r="B198" s="37" t="s">
        <v>383</v>
      </c>
      <c r="C198" s="37" t="s">
        <v>211</v>
      </c>
      <c r="D198" s="37" t="s">
        <v>351</v>
      </c>
    </row>
    <row r="199" customFormat="false" ht="15" hidden="false" customHeight="false" outlineLevel="0" collapsed="false">
      <c r="A199" s="37" t="s">
        <v>477</v>
      </c>
      <c r="B199" s="37" t="s">
        <v>47</v>
      </c>
      <c r="C199" s="37" t="s">
        <v>211</v>
      </c>
      <c r="D199" s="37" t="s">
        <v>23</v>
      </c>
    </row>
    <row r="200" customFormat="false" ht="15" hidden="false" customHeight="false" outlineLevel="0" collapsed="false">
      <c r="A200" s="37" t="s">
        <v>478</v>
      </c>
      <c r="B200" s="37" t="n">
        <v>52</v>
      </c>
      <c r="C200" s="37" t="s">
        <v>214</v>
      </c>
      <c r="D200" s="37" t="s">
        <v>24</v>
      </c>
    </row>
    <row r="201" customFormat="false" ht="15" hidden="false" customHeight="false" outlineLevel="0" collapsed="false">
      <c r="A201" s="37" t="s">
        <v>479</v>
      </c>
      <c r="B201" s="37" t="n">
        <v>4</v>
      </c>
      <c r="C201" s="37" t="s">
        <v>214</v>
      </c>
      <c r="D201" s="37" t="s">
        <v>355</v>
      </c>
    </row>
    <row r="202" customFormat="false" ht="15" hidden="false" customHeight="false" outlineLevel="0" collapsed="false">
      <c r="A202" s="37" t="s">
        <v>480</v>
      </c>
      <c r="B202" s="37" t="n">
        <v>0.384</v>
      </c>
      <c r="C202" s="37" t="s">
        <v>214</v>
      </c>
      <c r="D202" s="37" t="s">
        <v>26</v>
      </c>
    </row>
    <row r="203" customFormat="false" ht="15" hidden="false" customHeight="false" outlineLevel="0" collapsed="false">
      <c r="A203" s="37" t="s">
        <v>481</v>
      </c>
      <c r="B203" s="37" t="str">
        <f aca="false">IF('Test Shipments'!I25="","",'Test Shipments'!I25)</f>
        <v/>
      </c>
      <c r="C203" s="37" t="s">
        <v>211</v>
      </c>
      <c r="D203" s="37" t="s">
        <v>358</v>
      </c>
    </row>
    <row r="204" customFormat="false" ht="15" hidden="false" customHeight="false" outlineLevel="0" collapsed="false">
      <c r="A204" s="37" t="s">
        <v>482</v>
      </c>
      <c r="B204" s="37" t="str">
        <f aca="false">IF('Test Shipments'!J25="","",'Test Shipments'!J25)</f>
        <v/>
      </c>
      <c r="C204" s="37" t="s">
        <v>214</v>
      </c>
      <c r="D204" s="37" t="s">
        <v>360</v>
      </c>
    </row>
    <row r="205" customFormat="false" ht="15" hidden="false" customHeight="false" outlineLevel="0" collapsed="false">
      <c r="A205" s="37" t="s">
        <v>483</v>
      </c>
      <c r="B205" s="37" t="str">
        <f aca="false">IF('Test Shipments'!K25="","",'Test Shipments'!K25)</f>
        <v/>
      </c>
      <c r="C205" s="37" t="s">
        <v>214</v>
      </c>
      <c r="D205" s="37" t="s">
        <v>362</v>
      </c>
    </row>
    <row r="206" customFormat="false" ht="15" hidden="false" customHeight="false" outlineLevel="0" collapsed="false">
      <c r="A206" s="37" t="s">
        <v>484</v>
      </c>
      <c r="B206" s="37" t="str">
        <f aca="false">IF('Test Shipments'!J25="","not_offered","quoted")</f>
        <v>not_offered</v>
      </c>
      <c r="C206" s="37" t="s">
        <v>211</v>
      </c>
      <c r="D206" s="37" t="s">
        <v>364</v>
      </c>
    </row>
    <row r="207" customFormat="false" ht="15" hidden="false" customHeight="false" outlineLevel="0" collapsed="false">
      <c r="A207" s="37" t="s">
        <v>485</v>
      </c>
      <c r="B207" s="37" t="str">
        <f aca="false">IF('Test Shipments'!L25="","",'Test Shipments'!L25)</f>
        <v/>
      </c>
      <c r="C207" s="37" t="s">
        <v>214</v>
      </c>
      <c r="D207" s="37" t="s">
        <v>366</v>
      </c>
    </row>
    <row r="208" customFormat="false" ht="15" hidden="false" customHeight="false" outlineLevel="0" collapsed="false">
      <c r="A208" s="37" t="s">
        <v>486</v>
      </c>
      <c r="B208" s="37" t="str">
        <f aca="false">IF('Test Shipments'!M25="","",'Test Shipments'!M25)</f>
        <v/>
      </c>
      <c r="C208" s="37" t="s">
        <v>214</v>
      </c>
      <c r="D208" s="37" t="s">
        <v>368</v>
      </c>
    </row>
    <row r="209" customFormat="false" ht="15" hidden="false" customHeight="false" outlineLevel="0" collapsed="false">
      <c r="A209" s="37" t="s">
        <v>487</v>
      </c>
      <c r="B209" s="37" t="str">
        <f aca="false">IF('Test Shipments'!L25="","not_offered","quoted")</f>
        <v>not_offered</v>
      </c>
      <c r="C209" s="37" t="s">
        <v>211</v>
      </c>
      <c r="D209" s="37" t="s">
        <v>370</v>
      </c>
    </row>
    <row r="210" customFormat="false" ht="15" hidden="false" customHeight="false" outlineLevel="0" collapsed="false">
      <c r="A210" s="37" t="s">
        <v>488</v>
      </c>
      <c r="B210" s="37" t="str">
        <f aca="false">IF('Test Shipments'!N25="","",'Test Shipments'!N25)</f>
        <v/>
      </c>
      <c r="C210" s="37" t="s">
        <v>211</v>
      </c>
      <c r="D210" s="37" t="s">
        <v>372</v>
      </c>
    </row>
    <row r="211" customFormat="false" ht="15" hidden="false" customHeight="false" outlineLevel="0" collapsed="false">
      <c r="A211" s="37" t="s">
        <v>489</v>
      </c>
      <c r="B211" s="37" t="str">
        <f aca="false">IF('Test Shipments'!O25="","",'Test Shipments'!O25)</f>
        <v/>
      </c>
      <c r="C211" s="37" t="s">
        <v>214</v>
      </c>
      <c r="D211" s="37" t="s">
        <v>374</v>
      </c>
    </row>
    <row r="212" customFormat="false" ht="15" hidden="false" customHeight="false" outlineLevel="0" collapsed="false">
      <c r="A212" s="37" t="s">
        <v>490</v>
      </c>
      <c r="B212" s="37" t="str">
        <f aca="false">IF('Test Shipments'!P25="","",'Test Shipments'!P25)</f>
        <v/>
      </c>
      <c r="C212" s="37" t="s">
        <v>214</v>
      </c>
      <c r="D212" s="37" t="s">
        <v>376</v>
      </c>
    </row>
    <row r="213" customFormat="false" ht="15" hidden="false" customHeight="false" outlineLevel="0" collapsed="false">
      <c r="A213" s="37" t="s">
        <v>491</v>
      </c>
      <c r="B213" s="37" t="str">
        <f aca="false">IF('Test Shipments'!O25="","not_offered","quoted")</f>
        <v>not_offered</v>
      </c>
      <c r="C213" s="37" t="s">
        <v>211</v>
      </c>
      <c r="D213" s="37" t="s">
        <v>378</v>
      </c>
    </row>
    <row r="214" customFormat="false" ht="15" hidden="false" customHeight="false" outlineLevel="0" collapsed="false">
      <c r="A214" s="37" t="s">
        <v>492</v>
      </c>
      <c r="B214" s="37" t="str">
        <f aca="false">IF('Test Shipments'!Q25="","",'Test Shipments'!Q25)</f>
        <v/>
      </c>
      <c r="C214" s="37" t="s">
        <v>211</v>
      </c>
      <c r="D214" s="37" t="s">
        <v>380</v>
      </c>
    </row>
    <row r="215" customFormat="false" ht="15" hidden="false" customHeight="false" outlineLevel="0" collapsed="false">
      <c r="A215" s="37" t="s">
        <v>493</v>
      </c>
      <c r="B215" s="37" t="s">
        <v>55</v>
      </c>
      <c r="C215" s="37" t="s">
        <v>211</v>
      </c>
      <c r="D215" s="37" t="s">
        <v>20</v>
      </c>
    </row>
    <row r="216" customFormat="false" ht="15" hidden="false" customHeight="false" outlineLevel="0" collapsed="false">
      <c r="A216" s="37" t="s">
        <v>494</v>
      </c>
      <c r="B216" s="37" t="s">
        <v>402</v>
      </c>
      <c r="C216" s="37" t="s">
        <v>211</v>
      </c>
      <c r="D216" s="37" t="s">
        <v>351</v>
      </c>
    </row>
    <row r="217" customFormat="false" ht="15" hidden="false" customHeight="false" outlineLevel="0" collapsed="false">
      <c r="A217" s="37" t="s">
        <v>495</v>
      </c>
      <c r="B217" s="37" t="s">
        <v>49</v>
      </c>
      <c r="C217" s="37" t="s">
        <v>211</v>
      </c>
      <c r="D217" s="37" t="s">
        <v>23</v>
      </c>
    </row>
    <row r="218" customFormat="false" ht="15" hidden="false" customHeight="false" outlineLevel="0" collapsed="false">
      <c r="A218" s="37" t="s">
        <v>496</v>
      </c>
      <c r="B218" s="37" t="n">
        <v>261</v>
      </c>
      <c r="C218" s="37" t="s">
        <v>214</v>
      </c>
      <c r="D218" s="37" t="s">
        <v>24</v>
      </c>
    </row>
    <row r="219" customFormat="false" ht="15" hidden="false" customHeight="false" outlineLevel="0" collapsed="false">
      <c r="A219" s="37" t="s">
        <v>497</v>
      </c>
      <c r="B219" s="37" t="n">
        <v>18</v>
      </c>
      <c r="C219" s="37" t="s">
        <v>214</v>
      </c>
      <c r="D219" s="37" t="s">
        <v>355</v>
      </c>
    </row>
    <row r="220" customFormat="false" ht="15" hidden="false" customHeight="false" outlineLevel="0" collapsed="false">
      <c r="A220" s="37" t="s">
        <v>498</v>
      </c>
      <c r="B220" s="37" t="n">
        <v>1.728</v>
      </c>
      <c r="C220" s="37" t="s">
        <v>214</v>
      </c>
      <c r="D220" s="37" t="s">
        <v>26</v>
      </c>
    </row>
    <row r="221" customFormat="false" ht="15" hidden="false" customHeight="false" outlineLevel="0" collapsed="false">
      <c r="A221" s="37" t="s">
        <v>499</v>
      </c>
      <c r="B221" s="37" t="str">
        <f aca="false">IF('Test Shipments'!I26="","",'Test Shipments'!I26)</f>
        <v/>
      </c>
      <c r="C221" s="37" t="s">
        <v>211</v>
      </c>
      <c r="D221" s="37" t="s">
        <v>358</v>
      </c>
    </row>
    <row r="222" customFormat="false" ht="15" hidden="false" customHeight="false" outlineLevel="0" collapsed="false">
      <c r="A222" s="37" t="s">
        <v>500</v>
      </c>
      <c r="B222" s="37" t="str">
        <f aca="false">IF('Test Shipments'!J26="","",'Test Shipments'!J26)</f>
        <v/>
      </c>
      <c r="C222" s="37" t="s">
        <v>214</v>
      </c>
      <c r="D222" s="37" t="s">
        <v>360</v>
      </c>
    </row>
    <row r="223" customFormat="false" ht="15" hidden="false" customHeight="false" outlineLevel="0" collapsed="false">
      <c r="A223" s="37" t="s">
        <v>501</v>
      </c>
      <c r="B223" s="37" t="str">
        <f aca="false">IF('Test Shipments'!K26="","",'Test Shipments'!K26)</f>
        <v/>
      </c>
      <c r="C223" s="37" t="s">
        <v>214</v>
      </c>
      <c r="D223" s="37" t="s">
        <v>362</v>
      </c>
    </row>
    <row r="224" customFormat="false" ht="15" hidden="false" customHeight="false" outlineLevel="0" collapsed="false">
      <c r="A224" s="37" t="s">
        <v>502</v>
      </c>
      <c r="B224" s="37" t="str">
        <f aca="false">IF('Test Shipments'!J26="","not_offered","quoted")</f>
        <v>not_offered</v>
      </c>
      <c r="C224" s="37" t="s">
        <v>211</v>
      </c>
      <c r="D224" s="37" t="s">
        <v>364</v>
      </c>
    </row>
    <row r="225" customFormat="false" ht="15" hidden="false" customHeight="false" outlineLevel="0" collapsed="false">
      <c r="A225" s="37" t="s">
        <v>503</v>
      </c>
      <c r="B225" s="37" t="str">
        <f aca="false">IF('Test Shipments'!L26="","",'Test Shipments'!L26)</f>
        <v/>
      </c>
      <c r="C225" s="37" t="s">
        <v>214</v>
      </c>
      <c r="D225" s="37" t="s">
        <v>366</v>
      </c>
    </row>
    <row r="226" customFormat="false" ht="15" hidden="false" customHeight="false" outlineLevel="0" collapsed="false">
      <c r="A226" s="37" t="s">
        <v>504</v>
      </c>
      <c r="B226" s="37" t="str">
        <f aca="false">IF('Test Shipments'!M26="","",'Test Shipments'!M26)</f>
        <v/>
      </c>
      <c r="C226" s="37" t="s">
        <v>214</v>
      </c>
      <c r="D226" s="37" t="s">
        <v>368</v>
      </c>
    </row>
    <row r="227" customFormat="false" ht="15" hidden="false" customHeight="false" outlineLevel="0" collapsed="false">
      <c r="A227" s="37" t="s">
        <v>505</v>
      </c>
      <c r="B227" s="37" t="str">
        <f aca="false">IF('Test Shipments'!L26="","not_offered","quoted")</f>
        <v>not_offered</v>
      </c>
      <c r="C227" s="37" t="s">
        <v>211</v>
      </c>
      <c r="D227" s="37" t="s">
        <v>370</v>
      </c>
    </row>
    <row r="228" customFormat="false" ht="15" hidden="false" customHeight="false" outlineLevel="0" collapsed="false">
      <c r="A228" s="37" t="s">
        <v>506</v>
      </c>
      <c r="B228" s="37" t="str">
        <f aca="false">IF('Test Shipments'!N26="","",'Test Shipments'!N26)</f>
        <v/>
      </c>
      <c r="C228" s="37" t="s">
        <v>211</v>
      </c>
      <c r="D228" s="37" t="s">
        <v>372</v>
      </c>
    </row>
    <row r="229" customFormat="false" ht="15" hidden="false" customHeight="false" outlineLevel="0" collapsed="false">
      <c r="A229" s="37" t="s">
        <v>507</v>
      </c>
      <c r="B229" s="37" t="str">
        <f aca="false">IF('Test Shipments'!O26="","",'Test Shipments'!O26)</f>
        <v/>
      </c>
      <c r="C229" s="37" t="s">
        <v>214</v>
      </c>
      <c r="D229" s="37" t="s">
        <v>374</v>
      </c>
    </row>
    <row r="230" customFormat="false" ht="15" hidden="false" customHeight="false" outlineLevel="0" collapsed="false">
      <c r="A230" s="37" t="s">
        <v>508</v>
      </c>
      <c r="B230" s="37" t="str">
        <f aca="false">IF('Test Shipments'!P26="","",'Test Shipments'!P26)</f>
        <v/>
      </c>
      <c r="C230" s="37" t="s">
        <v>214</v>
      </c>
      <c r="D230" s="37" t="s">
        <v>376</v>
      </c>
    </row>
    <row r="231" customFormat="false" ht="15" hidden="false" customHeight="false" outlineLevel="0" collapsed="false">
      <c r="A231" s="37" t="s">
        <v>509</v>
      </c>
      <c r="B231" s="37" t="str">
        <f aca="false">IF('Test Shipments'!O26="","not_offered","quoted")</f>
        <v>not_offered</v>
      </c>
      <c r="C231" s="37" t="s">
        <v>211</v>
      </c>
      <c r="D231" s="37" t="s">
        <v>378</v>
      </c>
    </row>
    <row r="232" customFormat="false" ht="15" hidden="false" customHeight="false" outlineLevel="0" collapsed="false">
      <c r="A232" s="37" t="s">
        <v>510</v>
      </c>
      <c r="B232" s="37" t="str">
        <f aca="false">IF('Test Shipments'!Q26="","",'Test Shipments'!Q26)</f>
        <v/>
      </c>
      <c r="C232" s="37" t="s">
        <v>211</v>
      </c>
      <c r="D232" s="37" t="s">
        <v>380</v>
      </c>
    </row>
    <row r="233" customFormat="false" ht="15" hidden="false" customHeight="false" outlineLevel="0" collapsed="false">
      <c r="A233" s="37" t="s">
        <v>511</v>
      </c>
      <c r="B233" s="37" t="s">
        <v>61</v>
      </c>
      <c r="C233" s="37" t="s">
        <v>211</v>
      </c>
      <c r="D233" s="37" t="s">
        <v>20</v>
      </c>
    </row>
    <row r="234" customFormat="false" ht="15" hidden="false" customHeight="false" outlineLevel="0" collapsed="false">
      <c r="A234" s="37" t="s">
        <v>512</v>
      </c>
      <c r="B234" s="37" t="s">
        <v>350</v>
      </c>
      <c r="C234" s="37" t="s">
        <v>211</v>
      </c>
      <c r="D234" s="37" t="s">
        <v>351</v>
      </c>
    </row>
    <row r="235" customFormat="false" ht="15" hidden="false" customHeight="false" outlineLevel="0" collapsed="false">
      <c r="A235" s="37" t="s">
        <v>513</v>
      </c>
      <c r="B235" s="37" t="s">
        <v>37</v>
      </c>
      <c r="C235" s="37" t="s">
        <v>211</v>
      </c>
      <c r="D235" s="37" t="s">
        <v>23</v>
      </c>
    </row>
    <row r="236" customFormat="false" ht="15" hidden="false" customHeight="false" outlineLevel="0" collapsed="false">
      <c r="A236" s="37" t="s">
        <v>514</v>
      </c>
      <c r="B236" s="37" t="n">
        <v>8</v>
      </c>
      <c r="C236" s="37" t="s">
        <v>214</v>
      </c>
      <c r="D236" s="37" t="s">
        <v>24</v>
      </c>
    </row>
    <row r="237" customFormat="false" ht="15" hidden="false" customHeight="false" outlineLevel="0" collapsed="false">
      <c r="A237" s="37" t="s">
        <v>515</v>
      </c>
      <c r="B237" s="37" t="n">
        <v>1</v>
      </c>
      <c r="C237" s="37" t="s">
        <v>214</v>
      </c>
      <c r="D237" s="37" t="s">
        <v>355</v>
      </c>
    </row>
    <row r="238" customFormat="false" ht="15" hidden="false" customHeight="false" outlineLevel="0" collapsed="false">
      <c r="A238" s="37" t="s">
        <v>516</v>
      </c>
      <c r="B238" s="37" t="n">
        <v>0.096</v>
      </c>
      <c r="C238" s="37" t="s">
        <v>214</v>
      </c>
      <c r="D238" s="37" t="s">
        <v>26</v>
      </c>
    </row>
    <row r="239" customFormat="false" ht="15" hidden="false" customHeight="false" outlineLevel="0" collapsed="false">
      <c r="A239" s="37" t="s">
        <v>517</v>
      </c>
      <c r="B239" s="37" t="str">
        <f aca="false">IF('Test Shipments'!I27="","",'Test Shipments'!I27)</f>
        <v/>
      </c>
      <c r="C239" s="37" t="s">
        <v>211</v>
      </c>
      <c r="D239" s="37" t="s">
        <v>358</v>
      </c>
    </row>
    <row r="240" customFormat="false" ht="15" hidden="false" customHeight="false" outlineLevel="0" collapsed="false">
      <c r="A240" s="37" t="s">
        <v>518</v>
      </c>
      <c r="B240" s="37" t="str">
        <f aca="false">IF('Test Shipments'!J27="","",'Test Shipments'!J27)</f>
        <v/>
      </c>
      <c r="C240" s="37" t="s">
        <v>214</v>
      </c>
      <c r="D240" s="37" t="s">
        <v>360</v>
      </c>
    </row>
    <row r="241" customFormat="false" ht="15" hidden="false" customHeight="false" outlineLevel="0" collapsed="false">
      <c r="A241" s="37" t="s">
        <v>519</v>
      </c>
      <c r="B241" s="37" t="str">
        <f aca="false">IF('Test Shipments'!K27="","",'Test Shipments'!K27)</f>
        <v/>
      </c>
      <c r="C241" s="37" t="s">
        <v>214</v>
      </c>
      <c r="D241" s="37" t="s">
        <v>362</v>
      </c>
    </row>
    <row r="242" customFormat="false" ht="15" hidden="false" customHeight="false" outlineLevel="0" collapsed="false">
      <c r="A242" s="37" t="s">
        <v>520</v>
      </c>
      <c r="B242" s="37" t="str">
        <f aca="false">IF('Test Shipments'!J27="","not_offered","quoted")</f>
        <v>not_offered</v>
      </c>
      <c r="C242" s="37" t="s">
        <v>211</v>
      </c>
      <c r="D242" s="37" t="s">
        <v>364</v>
      </c>
    </row>
    <row r="243" customFormat="false" ht="15" hidden="false" customHeight="false" outlineLevel="0" collapsed="false">
      <c r="A243" s="37" t="s">
        <v>521</v>
      </c>
      <c r="B243" s="37" t="str">
        <f aca="false">IF('Test Shipments'!L27="","",'Test Shipments'!L27)</f>
        <v/>
      </c>
      <c r="C243" s="37" t="s">
        <v>214</v>
      </c>
      <c r="D243" s="37" t="s">
        <v>366</v>
      </c>
    </row>
    <row r="244" customFormat="false" ht="15" hidden="false" customHeight="false" outlineLevel="0" collapsed="false">
      <c r="A244" s="37" t="s">
        <v>522</v>
      </c>
      <c r="B244" s="37" t="str">
        <f aca="false">IF('Test Shipments'!M27="","",'Test Shipments'!M27)</f>
        <v/>
      </c>
      <c r="C244" s="37" t="s">
        <v>214</v>
      </c>
      <c r="D244" s="37" t="s">
        <v>368</v>
      </c>
    </row>
    <row r="245" customFormat="false" ht="15" hidden="false" customHeight="false" outlineLevel="0" collapsed="false">
      <c r="A245" s="37" t="s">
        <v>523</v>
      </c>
      <c r="B245" s="37" t="str">
        <f aca="false">IF('Test Shipments'!L27="","not_offered","quoted")</f>
        <v>not_offered</v>
      </c>
      <c r="C245" s="37" t="s">
        <v>211</v>
      </c>
      <c r="D245" s="37" t="s">
        <v>370</v>
      </c>
    </row>
    <row r="246" customFormat="false" ht="15" hidden="false" customHeight="false" outlineLevel="0" collapsed="false">
      <c r="A246" s="37" t="s">
        <v>524</v>
      </c>
      <c r="B246" s="37" t="str">
        <f aca="false">IF('Test Shipments'!N27="","",'Test Shipments'!N27)</f>
        <v/>
      </c>
      <c r="C246" s="37" t="s">
        <v>211</v>
      </c>
      <c r="D246" s="37" t="s">
        <v>372</v>
      </c>
    </row>
    <row r="247" customFormat="false" ht="15" hidden="false" customHeight="false" outlineLevel="0" collapsed="false">
      <c r="A247" s="37" t="s">
        <v>525</v>
      </c>
      <c r="B247" s="37" t="str">
        <f aca="false">IF('Test Shipments'!O27="","",'Test Shipments'!O27)</f>
        <v/>
      </c>
      <c r="C247" s="37" t="s">
        <v>214</v>
      </c>
      <c r="D247" s="37" t="s">
        <v>374</v>
      </c>
    </row>
    <row r="248" customFormat="false" ht="15" hidden="false" customHeight="false" outlineLevel="0" collapsed="false">
      <c r="A248" s="37" t="s">
        <v>526</v>
      </c>
      <c r="B248" s="37" t="str">
        <f aca="false">IF('Test Shipments'!P27="","",'Test Shipments'!P27)</f>
        <v/>
      </c>
      <c r="C248" s="37" t="s">
        <v>214</v>
      </c>
      <c r="D248" s="37" t="s">
        <v>376</v>
      </c>
    </row>
    <row r="249" customFormat="false" ht="15" hidden="false" customHeight="false" outlineLevel="0" collapsed="false">
      <c r="A249" s="37" t="s">
        <v>527</v>
      </c>
      <c r="B249" s="37" t="str">
        <f aca="false">IF('Test Shipments'!O27="","not_offered","quoted")</f>
        <v>not_offered</v>
      </c>
      <c r="C249" s="37" t="s">
        <v>211</v>
      </c>
      <c r="D249" s="37" t="s">
        <v>378</v>
      </c>
    </row>
    <row r="250" customFormat="false" ht="15" hidden="false" customHeight="false" outlineLevel="0" collapsed="false">
      <c r="A250" s="37" t="s">
        <v>528</v>
      </c>
      <c r="B250" s="37" t="str">
        <f aca="false">IF('Test Shipments'!Q27="","",'Test Shipments'!Q27)</f>
        <v/>
      </c>
      <c r="C250" s="37" t="s">
        <v>211</v>
      </c>
      <c r="D250" s="37" t="s">
        <v>380</v>
      </c>
    </row>
    <row r="251" customFormat="false" ht="15" hidden="false" customHeight="false" outlineLevel="0" collapsed="false">
      <c r="A251" s="37" t="s">
        <v>529</v>
      </c>
      <c r="B251" s="37" t="s">
        <v>61</v>
      </c>
      <c r="C251" s="37" t="s">
        <v>211</v>
      </c>
      <c r="D251" s="37" t="s">
        <v>20</v>
      </c>
    </row>
    <row r="252" customFormat="false" ht="15" hidden="false" customHeight="false" outlineLevel="0" collapsed="false">
      <c r="A252" s="37" t="s">
        <v>530</v>
      </c>
      <c r="B252" s="37" t="s">
        <v>383</v>
      </c>
      <c r="C252" s="37" t="s">
        <v>211</v>
      </c>
      <c r="D252" s="37" t="s">
        <v>351</v>
      </c>
    </row>
    <row r="253" customFormat="false" ht="15" hidden="false" customHeight="false" outlineLevel="0" collapsed="false">
      <c r="A253" s="37" t="s">
        <v>531</v>
      </c>
      <c r="B253" s="37" t="s">
        <v>47</v>
      </c>
      <c r="C253" s="37" t="s">
        <v>211</v>
      </c>
      <c r="D253" s="37" t="s">
        <v>23</v>
      </c>
    </row>
    <row r="254" customFormat="false" ht="15" hidden="false" customHeight="false" outlineLevel="0" collapsed="false">
      <c r="A254" s="37" t="s">
        <v>532</v>
      </c>
      <c r="B254" s="37" t="n">
        <v>52</v>
      </c>
      <c r="C254" s="37" t="s">
        <v>214</v>
      </c>
      <c r="D254" s="37" t="s">
        <v>24</v>
      </c>
    </row>
    <row r="255" customFormat="false" ht="15" hidden="false" customHeight="false" outlineLevel="0" collapsed="false">
      <c r="A255" s="37" t="s">
        <v>533</v>
      </c>
      <c r="B255" s="37" t="n">
        <v>4</v>
      </c>
      <c r="C255" s="37" t="s">
        <v>214</v>
      </c>
      <c r="D255" s="37" t="s">
        <v>355</v>
      </c>
    </row>
    <row r="256" customFormat="false" ht="15" hidden="false" customHeight="false" outlineLevel="0" collapsed="false">
      <c r="A256" s="37" t="s">
        <v>534</v>
      </c>
      <c r="B256" s="37" t="n">
        <v>0.384</v>
      </c>
      <c r="C256" s="37" t="s">
        <v>214</v>
      </c>
      <c r="D256" s="37" t="s">
        <v>26</v>
      </c>
    </row>
    <row r="257" customFormat="false" ht="15" hidden="false" customHeight="false" outlineLevel="0" collapsed="false">
      <c r="A257" s="37" t="s">
        <v>535</v>
      </c>
      <c r="B257" s="37" t="str">
        <f aca="false">IF('Test Shipments'!I28="","",'Test Shipments'!I28)</f>
        <v/>
      </c>
      <c r="C257" s="37" t="s">
        <v>211</v>
      </c>
      <c r="D257" s="37" t="s">
        <v>358</v>
      </c>
    </row>
    <row r="258" customFormat="false" ht="15" hidden="false" customHeight="false" outlineLevel="0" collapsed="false">
      <c r="A258" s="37" t="s">
        <v>536</v>
      </c>
      <c r="B258" s="37" t="str">
        <f aca="false">IF('Test Shipments'!J28="","",'Test Shipments'!J28)</f>
        <v/>
      </c>
      <c r="C258" s="37" t="s">
        <v>214</v>
      </c>
      <c r="D258" s="37" t="s">
        <v>360</v>
      </c>
    </row>
    <row r="259" customFormat="false" ht="15" hidden="false" customHeight="false" outlineLevel="0" collapsed="false">
      <c r="A259" s="37" t="s">
        <v>537</v>
      </c>
      <c r="B259" s="37" t="str">
        <f aca="false">IF('Test Shipments'!K28="","",'Test Shipments'!K28)</f>
        <v/>
      </c>
      <c r="C259" s="37" t="s">
        <v>214</v>
      </c>
      <c r="D259" s="37" t="s">
        <v>362</v>
      </c>
    </row>
    <row r="260" customFormat="false" ht="15" hidden="false" customHeight="false" outlineLevel="0" collapsed="false">
      <c r="A260" s="37" t="s">
        <v>538</v>
      </c>
      <c r="B260" s="37" t="str">
        <f aca="false">IF('Test Shipments'!J28="","not_offered","quoted")</f>
        <v>not_offered</v>
      </c>
      <c r="C260" s="37" t="s">
        <v>211</v>
      </c>
      <c r="D260" s="37" t="s">
        <v>364</v>
      </c>
    </row>
    <row r="261" customFormat="false" ht="15" hidden="false" customHeight="false" outlineLevel="0" collapsed="false">
      <c r="A261" s="37" t="s">
        <v>539</v>
      </c>
      <c r="B261" s="37" t="str">
        <f aca="false">IF('Test Shipments'!L28="","",'Test Shipments'!L28)</f>
        <v/>
      </c>
      <c r="C261" s="37" t="s">
        <v>214</v>
      </c>
      <c r="D261" s="37" t="s">
        <v>366</v>
      </c>
    </row>
    <row r="262" customFormat="false" ht="15" hidden="false" customHeight="false" outlineLevel="0" collapsed="false">
      <c r="A262" s="37" t="s">
        <v>540</v>
      </c>
      <c r="B262" s="37" t="str">
        <f aca="false">IF('Test Shipments'!M28="","",'Test Shipments'!M28)</f>
        <v/>
      </c>
      <c r="C262" s="37" t="s">
        <v>214</v>
      </c>
      <c r="D262" s="37" t="s">
        <v>368</v>
      </c>
    </row>
    <row r="263" customFormat="false" ht="15" hidden="false" customHeight="false" outlineLevel="0" collapsed="false">
      <c r="A263" s="37" t="s">
        <v>541</v>
      </c>
      <c r="B263" s="37" t="str">
        <f aca="false">IF('Test Shipments'!L28="","not_offered","quoted")</f>
        <v>not_offered</v>
      </c>
      <c r="C263" s="37" t="s">
        <v>211</v>
      </c>
      <c r="D263" s="37" t="s">
        <v>370</v>
      </c>
    </row>
    <row r="264" customFormat="false" ht="15" hidden="false" customHeight="false" outlineLevel="0" collapsed="false">
      <c r="A264" s="37" t="s">
        <v>542</v>
      </c>
      <c r="B264" s="37" t="str">
        <f aca="false">IF('Test Shipments'!N28="","",'Test Shipments'!N28)</f>
        <v/>
      </c>
      <c r="C264" s="37" t="s">
        <v>211</v>
      </c>
      <c r="D264" s="37" t="s">
        <v>372</v>
      </c>
    </row>
    <row r="265" customFormat="false" ht="15" hidden="false" customHeight="false" outlineLevel="0" collapsed="false">
      <c r="A265" s="37" t="s">
        <v>543</v>
      </c>
      <c r="B265" s="37" t="str">
        <f aca="false">IF('Test Shipments'!O28="","",'Test Shipments'!O28)</f>
        <v/>
      </c>
      <c r="C265" s="37" t="s">
        <v>214</v>
      </c>
      <c r="D265" s="37" t="s">
        <v>374</v>
      </c>
    </row>
    <row r="266" customFormat="false" ht="15" hidden="false" customHeight="false" outlineLevel="0" collapsed="false">
      <c r="A266" s="37" t="s">
        <v>544</v>
      </c>
      <c r="B266" s="37" t="str">
        <f aca="false">IF('Test Shipments'!P28="","",'Test Shipments'!P28)</f>
        <v/>
      </c>
      <c r="C266" s="37" t="s">
        <v>214</v>
      </c>
      <c r="D266" s="37" t="s">
        <v>376</v>
      </c>
    </row>
    <row r="267" customFormat="false" ht="15" hidden="false" customHeight="false" outlineLevel="0" collapsed="false">
      <c r="A267" s="37" t="s">
        <v>545</v>
      </c>
      <c r="B267" s="37" t="str">
        <f aca="false">IF('Test Shipments'!O28="","not_offered","quoted")</f>
        <v>not_offered</v>
      </c>
      <c r="C267" s="37" t="s">
        <v>211</v>
      </c>
      <c r="D267" s="37" t="s">
        <v>378</v>
      </c>
    </row>
    <row r="268" customFormat="false" ht="15" hidden="false" customHeight="false" outlineLevel="0" collapsed="false">
      <c r="A268" s="37" t="s">
        <v>546</v>
      </c>
      <c r="B268" s="37" t="str">
        <f aca="false">IF('Test Shipments'!Q28="","",'Test Shipments'!Q28)</f>
        <v/>
      </c>
      <c r="C268" s="37" t="s">
        <v>211</v>
      </c>
      <c r="D268" s="37" t="s">
        <v>380</v>
      </c>
    </row>
    <row r="269" customFormat="false" ht="15" hidden="false" customHeight="false" outlineLevel="0" collapsed="false">
      <c r="A269" s="37" t="s">
        <v>547</v>
      </c>
      <c r="B269" s="37" t="s">
        <v>61</v>
      </c>
      <c r="C269" s="37" t="s">
        <v>211</v>
      </c>
      <c r="D269" s="37" t="s">
        <v>20</v>
      </c>
    </row>
    <row r="270" customFormat="false" ht="15" hidden="false" customHeight="false" outlineLevel="0" collapsed="false">
      <c r="A270" s="37" t="s">
        <v>548</v>
      </c>
      <c r="B270" s="37" t="s">
        <v>402</v>
      </c>
      <c r="C270" s="37" t="s">
        <v>211</v>
      </c>
      <c r="D270" s="37" t="s">
        <v>351</v>
      </c>
    </row>
    <row r="271" customFormat="false" ht="15" hidden="false" customHeight="false" outlineLevel="0" collapsed="false">
      <c r="A271" s="37" t="s">
        <v>549</v>
      </c>
      <c r="B271" s="37" t="s">
        <v>49</v>
      </c>
      <c r="C271" s="37" t="s">
        <v>211</v>
      </c>
      <c r="D271" s="37" t="s">
        <v>23</v>
      </c>
    </row>
    <row r="272" customFormat="false" ht="15" hidden="false" customHeight="false" outlineLevel="0" collapsed="false">
      <c r="A272" s="37" t="s">
        <v>550</v>
      </c>
      <c r="B272" s="37" t="n">
        <v>261</v>
      </c>
      <c r="C272" s="37" t="s">
        <v>214</v>
      </c>
      <c r="D272" s="37" t="s">
        <v>24</v>
      </c>
    </row>
    <row r="273" customFormat="false" ht="15" hidden="false" customHeight="false" outlineLevel="0" collapsed="false">
      <c r="A273" s="37" t="s">
        <v>551</v>
      </c>
      <c r="B273" s="37" t="n">
        <v>18</v>
      </c>
      <c r="C273" s="37" t="s">
        <v>214</v>
      </c>
      <c r="D273" s="37" t="s">
        <v>355</v>
      </c>
    </row>
    <row r="274" customFormat="false" ht="15" hidden="false" customHeight="false" outlineLevel="0" collapsed="false">
      <c r="A274" s="37" t="s">
        <v>552</v>
      </c>
      <c r="B274" s="37" t="n">
        <v>1.728</v>
      </c>
      <c r="C274" s="37" t="s">
        <v>214</v>
      </c>
      <c r="D274" s="37" t="s">
        <v>26</v>
      </c>
    </row>
    <row r="275" customFormat="false" ht="15" hidden="false" customHeight="false" outlineLevel="0" collapsed="false">
      <c r="A275" s="37" t="s">
        <v>553</v>
      </c>
      <c r="B275" s="37" t="str">
        <f aca="false">IF('Test Shipments'!I29="","",'Test Shipments'!I29)</f>
        <v/>
      </c>
      <c r="C275" s="37" t="s">
        <v>211</v>
      </c>
      <c r="D275" s="37" t="s">
        <v>358</v>
      </c>
    </row>
    <row r="276" customFormat="false" ht="15" hidden="false" customHeight="false" outlineLevel="0" collapsed="false">
      <c r="A276" s="37" t="s">
        <v>554</v>
      </c>
      <c r="B276" s="37" t="str">
        <f aca="false">IF('Test Shipments'!J29="","",'Test Shipments'!J29)</f>
        <v/>
      </c>
      <c r="C276" s="37" t="s">
        <v>214</v>
      </c>
      <c r="D276" s="37" t="s">
        <v>360</v>
      </c>
    </row>
    <row r="277" customFormat="false" ht="15" hidden="false" customHeight="false" outlineLevel="0" collapsed="false">
      <c r="A277" s="37" t="s">
        <v>555</v>
      </c>
      <c r="B277" s="37" t="str">
        <f aca="false">IF('Test Shipments'!K29="","",'Test Shipments'!K29)</f>
        <v/>
      </c>
      <c r="C277" s="37" t="s">
        <v>214</v>
      </c>
      <c r="D277" s="37" t="s">
        <v>362</v>
      </c>
    </row>
    <row r="278" customFormat="false" ht="15" hidden="false" customHeight="false" outlineLevel="0" collapsed="false">
      <c r="A278" s="37" t="s">
        <v>556</v>
      </c>
      <c r="B278" s="37" t="str">
        <f aca="false">IF('Test Shipments'!J29="","not_offered","quoted")</f>
        <v>not_offered</v>
      </c>
      <c r="C278" s="37" t="s">
        <v>211</v>
      </c>
      <c r="D278" s="37" t="s">
        <v>364</v>
      </c>
    </row>
    <row r="279" customFormat="false" ht="15" hidden="false" customHeight="false" outlineLevel="0" collapsed="false">
      <c r="A279" s="37" t="s">
        <v>557</v>
      </c>
      <c r="B279" s="37" t="str">
        <f aca="false">IF('Test Shipments'!L29="","",'Test Shipments'!L29)</f>
        <v/>
      </c>
      <c r="C279" s="37" t="s">
        <v>214</v>
      </c>
      <c r="D279" s="37" t="s">
        <v>366</v>
      </c>
    </row>
    <row r="280" customFormat="false" ht="15" hidden="false" customHeight="false" outlineLevel="0" collapsed="false">
      <c r="A280" s="37" t="s">
        <v>558</v>
      </c>
      <c r="B280" s="37" t="str">
        <f aca="false">IF('Test Shipments'!M29="","",'Test Shipments'!M29)</f>
        <v/>
      </c>
      <c r="C280" s="37" t="s">
        <v>214</v>
      </c>
      <c r="D280" s="37" t="s">
        <v>368</v>
      </c>
    </row>
    <row r="281" customFormat="false" ht="15" hidden="false" customHeight="false" outlineLevel="0" collapsed="false">
      <c r="A281" s="37" t="s">
        <v>559</v>
      </c>
      <c r="B281" s="37" t="str">
        <f aca="false">IF('Test Shipments'!L29="","not_offered","quoted")</f>
        <v>not_offered</v>
      </c>
      <c r="C281" s="37" t="s">
        <v>211</v>
      </c>
      <c r="D281" s="37" t="s">
        <v>370</v>
      </c>
    </row>
    <row r="282" customFormat="false" ht="15" hidden="false" customHeight="false" outlineLevel="0" collapsed="false">
      <c r="A282" s="37" t="s">
        <v>560</v>
      </c>
      <c r="B282" s="37" t="str">
        <f aca="false">IF('Test Shipments'!N29="","",'Test Shipments'!N29)</f>
        <v/>
      </c>
      <c r="C282" s="37" t="s">
        <v>211</v>
      </c>
      <c r="D282" s="37" t="s">
        <v>372</v>
      </c>
    </row>
    <row r="283" customFormat="false" ht="15" hidden="false" customHeight="false" outlineLevel="0" collapsed="false">
      <c r="A283" s="37" t="s">
        <v>561</v>
      </c>
      <c r="B283" s="37" t="str">
        <f aca="false">IF('Test Shipments'!O29="","",'Test Shipments'!O29)</f>
        <v/>
      </c>
      <c r="C283" s="37" t="s">
        <v>214</v>
      </c>
      <c r="D283" s="37" t="s">
        <v>374</v>
      </c>
    </row>
    <row r="284" customFormat="false" ht="15" hidden="false" customHeight="false" outlineLevel="0" collapsed="false">
      <c r="A284" s="37" t="s">
        <v>562</v>
      </c>
      <c r="B284" s="37" t="str">
        <f aca="false">IF('Test Shipments'!P29="","",'Test Shipments'!P29)</f>
        <v/>
      </c>
      <c r="C284" s="37" t="s">
        <v>214</v>
      </c>
      <c r="D284" s="37" t="s">
        <v>376</v>
      </c>
    </row>
    <row r="285" customFormat="false" ht="15" hidden="false" customHeight="false" outlineLevel="0" collapsed="false">
      <c r="A285" s="37" t="s">
        <v>563</v>
      </c>
      <c r="B285" s="37" t="str">
        <f aca="false">IF('Test Shipments'!O29="","not_offered","quoted")</f>
        <v>not_offered</v>
      </c>
      <c r="C285" s="37" t="s">
        <v>211</v>
      </c>
      <c r="D285" s="37" t="s">
        <v>378</v>
      </c>
    </row>
    <row r="286" customFormat="false" ht="15" hidden="false" customHeight="false" outlineLevel="0" collapsed="false">
      <c r="A286" s="37" t="s">
        <v>564</v>
      </c>
      <c r="B286" s="37" t="str">
        <f aca="false">IF('Test Shipments'!Q29="","",'Test Shipments'!Q29)</f>
        <v/>
      </c>
      <c r="C286" s="37" t="s">
        <v>211</v>
      </c>
      <c r="D286" s="37" t="s">
        <v>380</v>
      </c>
    </row>
    <row r="287" customFormat="false" ht="15" hidden="false" customHeight="false" outlineLevel="0" collapsed="false">
      <c r="A287" s="37" t="s">
        <v>565</v>
      </c>
      <c r="B287" s="37" t="s">
        <v>61</v>
      </c>
      <c r="C287" s="37" t="s">
        <v>211</v>
      </c>
      <c r="D287" s="37" t="s">
        <v>20</v>
      </c>
    </row>
    <row r="288" customFormat="false" ht="15" hidden="false" customHeight="false" outlineLevel="0" collapsed="false">
      <c r="A288" s="37" t="s">
        <v>566</v>
      </c>
      <c r="B288" s="37" t="s">
        <v>421</v>
      </c>
      <c r="C288" s="37" t="s">
        <v>211</v>
      </c>
      <c r="D288" s="37" t="s">
        <v>351</v>
      </c>
    </row>
    <row r="289" customFormat="false" ht="15" hidden="false" customHeight="false" outlineLevel="0" collapsed="false">
      <c r="A289" s="37" t="s">
        <v>567</v>
      </c>
      <c r="B289" s="37" t="s">
        <v>51</v>
      </c>
      <c r="C289" s="37" t="s">
        <v>211</v>
      </c>
      <c r="D289" s="37" t="s">
        <v>23</v>
      </c>
    </row>
    <row r="290" customFormat="false" ht="15" hidden="false" customHeight="false" outlineLevel="0" collapsed="false">
      <c r="A290" s="37" t="s">
        <v>568</v>
      </c>
      <c r="B290" s="37" t="n">
        <v>941</v>
      </c>
      <c r="C290" s="37" t="s">
        <v>214</v>
      </c>
      <c r="D290" s="37" t="s">
        <v>24</v>
      </c>
    </row>
    <row r="291" customFormat="false" ht="15" hidden="false" customHeight="false" outlineLevel="0" collapsed="false">
      <c r="A291" s="37" t="s">
        <v>569</v>
      </c>
      <c r="B291" s="37" t="n">
        <v>64</v>
      </c>
      <c r="C291" s="37" t="s">
        <v>214</v>
      </c>
      <c r="D291" s="37" t="s">
        <v>355</v>
      </c>
    </row>
    <row r="292" customFormat="false" ht="15" hidden="false" customHeight="false" outlineLevel="0" collapsed="false">
      <c r="A292" s="37" t="s">
        <v>570</v>
      </c>
      <c r="B292" s="37" t="n">
        <v>6.144</v>
      </c>
      <c r="C292" s="37" t="s">
        <v>214</v>
      </c>
      <c r="D292" s="37" t="s">
        <v>26</v>
      </c>
    </row>
    <row r="293" customFormat="false" ht="15" hidden="false" customHeight="false" outlineLevel="0" collapsed="false">
      <c r="A293" s="37" t="s">
        <v>571</v>
      </c>
      <c r="B293" s="37" t="str">
        <f aca="false">IF('Test Shipments'!I30="","",'Test Shipments'!I30)</f>
        <v/>
      </c>
      <c r="C293" s="37" t="s">
        <v>211</v>
      </c>
      <c r="D293" s="37" t="s">
        <v>358</v>
      </c>
    </row>
    <row r="294" customFormat="false" ht="15" hidden="false" customHeight="false" outlineLevel="0" collapsed="false">
      <c r="A294" s="37" t="s">
        <v>572</v>
      </c>
      <c r="B294" s="37" t="str">
        <f aca="false">IF('Test Shipments'!J30="","",'Test Shipments'!J30)</f>
        <v/>
      </c>
      <c r="C294" s="37" t="s">
        <v>214</v>
      </c>
      <c r="D294" s="37" t="s">
        <v>360</v>
      </c>
    </row>
    <row r="295" customFormat="false" ht="15" hidden="false" customHeight="false" outlineLevel="0" collapsed="false">
      <c r="A295" s="37" t="s">
        <v>573</v>
      </c>
      <c r="B295" s="37" t="str">
        <f aca="false">IF('Test Shipments'!K30="","",'Test Shipments'!K30)</f>
        <v/>
      </c>
      <c r="C295" s="37" t="s">
        <v>214</v>
      </c>
      <c r="D295" s="37" t="s">
        <v>362</v>
      </c>
    </row>
    <row r="296" customFormat="false" ht="15" hidden="false" customHeight="false" outlineLevel="0" collapsed="false">
      <c r="A296" s="37" t="s">
        <v>574</v>
      </c>
      <c r="B296" s="37" t="str">
        <f aca="false">IF('Test Shipments'!J30="","not_offered","quoted")</f>
        <v>not_offered</v>
      </c>
      <c r="C296" s="37" t="s">
        <v>211</v>
      </c>
      <c r="D296" s="37" t="s">
        <v>364</v>
      </c>
    </row>
    <row r="297" customFormat="false" ht="15" hidden="false" customHeight="false" outlineLevel="0" collapsed="false">
      <c r="A297" s="37" t="s">
        <v>575</v>
      </c>
      <c r="B297" s="37" t="str">
        <f aca="false">IF('Test Shipments'!L30="","",'Test Shipments'!L30)</f>
        <v/>
      </c>
      <c r="C297" s="37" t="s">
        <v>214</v>
      </c>
      <c r="D297" s="37" t="s">
        <v>366</v>
      </c>
    </row>
    <row r="298" customFormat="false" ht="15" hidden="false" customHeight="false" outlineLevel="0" collapsed="false">
      <c r="A298" s="37" t="s">
        <v>576</v>
      </c>
      <c r="B298" s="37" t="str">
        <f aca="false">IF('Test Shipments'!M30="","",'Test Shipments'!M30)</f>
        <v/>
      </c>
      <c r="C298" s="37" t="s">
        <v>214</v>
      </c>
      <c r="D298" s="37" t="s">
        <v>368</v>
      </c>
    </row>
    <row r="299" customFormat="false" ht="15" hidden="false" customHeight="false" outlineLevel="0" collapsed="false">
      <c r="A299" s="37" t="s">
        <v>577</v>
      </c>
      <c r="B299" s="37" t="str">
        <f aca="false">IF('Test Shipments'!L30="","not_offered","quoted")</f>
        <v>not_offered</v>
      </c>
      <c r="C299" s="37" t="s">
        <v>211</v>
      </c>
      <c r="D299" s="37" t="s">
        <v>370</v>
      </c>
    </row>
    <row r="300" customFormat="false" ht="15" hidden="false" customHeight="false" outlineLevel="0" collapsed="false">
      <c r="A300" s="37" t="s">
        <v>578</v>
      </c>
      <c r="B300" s="37" t="str">
        <f aca="false">IF('Test Shipments'!N30="","",'Test Shipments'!N30)</f>
        <v/>
      </c>
      <c r="C300" s="37" t="s">
        <v>211</v>
      </c>
      <c r="D300" s="37" t="s">
        <v>372</v>
      </c>
    </row>
    <row r="301" customFormat="false" ht="15" hidden="false" customHeight="false" outlineLevel="0" collapsed="false">
      <c r="A301" s="37" t="s">
        <v>579</v>
      </c>
      <c r="B301" s="37" t="str">
        <f aca="false">IF('Test Shipments'!O30="","",'Test Shipments'!O30)</f>
        <v/>
      </c>
      <c r="C301" s="37" t="s">
        <v>214</v>
      </c>
      <c r="D301" s="37" t="s">
        <v>374</v>
      </c>
    </row>
    <row r="302" customFormat="false" ht="15" hidden="false" customHeight="false" outlineLevel="0" collapsed="false">
      <c r="A302" s="37" t="s">
        <v>580</v>
      </c>
      <c r="B302" s="37" t="str">
        <f aca="false">IF('Test Shipments'!P30="","",'Test Shipments'!P30)</f>
        <v/>
      </c>
      <c r="C302" s="37" t="s">
        <v>214</v>
      </c>
      <c r="D302" s="37" t="s">
        <v>376</v>
      </c>
    </row>
    <row r="303" customFormat="false" ht="15" hidden="false" customHeight="false" outlineLevel="0" collapsed="false">
      <c r="A303" s="37" t="s">
        <v>581</v>
      </c>
      <c r="B303" s="37" t="str">
        <f aca="false">IF('Test Shipments'!O30="","not_offered","quoted")</f>
        <v>not_offered</v>
      </c>
      <c r="C303" s="37" t="s">
        <v>211</v>
      </c>
      <c r="D303" s="37" t="s">
        <v>378</v>
      </c>
    </row>
    <row r="304" customFormat="false" ht="15" hidden="false" customHeight="false" outlineLevel="0" collapsed="false">
      <c r="A304" s="37" t="s">
        <v>582</v>
      </c>
      <c r="B304" s="37" t="str">
        <f aca="false">IF('Test Shipments'!Q30="","",'Test Shipments'!Q30)</f>
        <v/>
      </c>
      <c r="C304" s="37" t="s">
        <v>211</v>
      </c>
      <c r="D304" s="37" t="s">
        <v>380</v>
      </c>
    </row>
    <row r="305" customFormat="false" ht="15" hidden="false" customHeight="false" outlineLevel="0" collapsed="false">
      <c r="A305" s="37" t="s">
        <v>583</v>
      </c>
      <c r="B305" s="37" t="s">
        <v>68</v>
      </c>
      <c r="C305" s="37" t="s">
        <v>211</v>
      </c>
      <c r="D305" s="37" t="s">
        <v>20</v>
      </c>
    </row>
    <row r="306" customFormat="false" ht="15" hidden="false" customHeight="false" outlineLevel="0" collapsed="false">
      <c r="A306" s="37" t="s">
        <v>584</v>
      </c>
      <c r="B306" s="37" t="s">
        <v>350</v>
      </c>
      <c r="C306" s="37" t="s">
        <v>211</v>
      </c>
      <c r="D306" s="37" t="s">
        <v>351</v>
      </c>
    </row>
    <row r="307" customFormat="false" ht="15" hidden="false" customHeight="false" outlineLevel="0" collapsed="false">
      <c r="A307" s="37" t="s">
        <v>585</v>
      </c>
      <c r="B307" s="37" t="s">
        <v>37</v>
      </c>
      <c r="C307" s="37" t="s">
        <v>211</v>
      </c>
      <c r="D307" s="37" t="s">
        <v>23</v>
      </c>
    </row>
    <row r="308" customFormat="false" ht="15" hidden="false" customHeight="false" outlineLevel="0" collapsed="false">
      <c r="A308" s="37" t="s">
        <v>586</v>
      </c>
      <c r="B308" s="37" t="n">
        <v>8</v>
      </c>
      <c r="C308" s="37" t="s">
        <v>214</v>
      </c>
      <c r="D308" s="37" t="s">
        <v>24</v>
      </c>
    </row>
    <row r="309" customFormat="false" ht="15" hidden="false" customHeight="false" outlineLevel="0" collapsed="false">
      <c r="A309" s="37" t="s">
        <v>587</v>
      </c>
      <c r="B309" s="37" t="n">
        <v>1</v>
      </c>
      <c r="C309" s="37" t="s">
        <v>214</v>
      </c>
      <c r="D309" s="37" t="s">
        <v>355</v>
      </c>
    </row>
    <row r="310" customFormat="false" ht="15" hidden="false" customHeight="false" outlineLevel="0" collapsed="false">
      <c r="A310" s="37" t="s">
        <v>588</v>
      </c>
      <c r="B310" s="37" t="n">
        <v>0.096</v>
      </c>
      <c r="C310" s="37" t="s">
        <v>214</v>
      </c>
      <c r="D310" s="37" t="s">
        <v>26</v>
      </c>
    </row>
    <row r="311" customFormat="false" ht="15" hidden="false" customHeight="false" outlineLevel="0" collapsed="false">
      <c r="A311" s="37" t="s">
        <v>589</v>
      </c>
      <c r="B311" s="37" t="str">
        <f aca="false">IF('Test Shipments'!I31="","",'Test Shipments'!I31)</f>
        <v/>
      </c>
      <c r="C311" s="37" t="s">
        <v>211</v>
      </c>
      <c r="D311" s="37" t="s">
        <v>358</v>
      </c>
    </row>
    <row r="312" customFormat="false" ht="15" hidden="false" customHeight="false" outlineLevel="0" collapsed="false">
      <c r="A312" s="37" t="s">
        <v>590</v>
      </c>
      <c r="B312" s="37" t="str">
        <f aca="false">IF('Test Shipments'!J31="","",'Test Shipments'!J31)</f>
        <v/>
      </c>
      <c r="C312" s="37" t="s">
        <v>214</v>
      </c>
      <c r="D312" s="37" t="s">
        <v>360</v>
      </c>
    </row>
    <row r="313" customFormat="false" ht="15" hidden="false" customHeight="false" outlineLevel="0" collapsed="false">
      <c r="A313" s="37" t="s">
        <v>591</v>
      </c>
      <c r="B313" s="37" t="str">
        <f aca="false">IF('Test Shipments'!K31="","",'Test Shipments'!K31)</f>
        <v/>
      </c>
      <c r="C313" s="37" t="s">
        <v>214</v>
      </c>
      <c r="D313" s="37" t="s">
        <v>362</v>
      </c>
    </row>
    <row r="314" customFormat="false" ht="15" hidden="false" customHeight="false" outlineLevel="0" collapsed="false">
      <c r="A314" s="37" t="s">
        <v>592</v>
      </c>
      <c r="B314" s="37" t="str">
        <f aca="false">IF('Test Shipments'!J31="","not_offered","quoted")</f>
        <v>not_offered</v>
      </c>
      <c r="C314" s="37" t="s">
        <v>211</v>
      </c>
      <c r="D314" s="37" t="s">
        <v>364</v>
      </c>
    </row>
    <row r="315" customFormat="false" ht="15" hidden="false" customHeight="false" outlineLevel="0" collapsed="false">
      <c r="A315" s="37" t="s">
        <v>593</v>
      </c>
      <c r="B315" s="37" t="str">
        <f aca="false">IF('Test Shipments'!L31="","",'Test Shipments'!L31)</f>
        <v/>
      </c>
      <c r="C315" s="37" t="s">
        <v>214</v>
      </c>
      <c r="D315" s="37" t="s">
        <v>366</v>
      </c>
    </row>
    <row r="316" customFormat="false" ht="15" hidden="false" customHeight="false" outlineLevel="0" collapsed="false">
      <c r="A316" s="37" t="s">
        <v>594</v>
      </c>
      <c r="B316" s="37" t="str">
        <f aca="false">IF('Test Shipments'!M31="","",'Test Shipments'!M31)</f>
        <v/>
      </c>
      <c r="C316" s="37" t="s">
        <v>214</v>
      </c>
      <c r="D316" s="37" t="s">
        <v>368</v>
      </c>
    </row>
    <row r="317" customFormat="false" ht="15" hidden="false" customHeight="false" outlineLevel="0" collapsed="false">
      <c r="A317" s="37" t="s">
        <v>595</v>
      </c>
      <c r="B317" s="37" t="str">
        <f aca="false">IF('Test Shipments'!L31="","not_offered","quoted")</f>
        <v>not_offered</v>
      </c>
      <c r="C317" s="37" t="s">
        <v>211</v>
      </c>
      <c r="D317" s="37" t="s">
        <v>370</v>
      </c>
    </row>
    <row r="318" customFormat="false" ht="15" hidden="false" customHeight="false" outlineLevel="0" collapsed="false">
      <c r="A318" s="37" t="s">
        <v>596</v>
      </c>
      <c r="B318" s="37" t="str">
        <f aca="false">IF('Test Shipments'!N31="","",'Test Shipments'!N31)</f>
        <v/>
      </c>
      <c r="C318" s="37" t="s">
        <v>211</v>
      </c>
      <c r="D318" s="37" t="s">
        <v>372</v>
      </c>
    </row>
    <row r="319" customFormat="false" ht="15" hidden="false" customHeight="false" outlineLevel="0" collapsed="false">
      <c r="A319" s="37" t="s">
        <v>597</v>
      </c>
      <c r="B319" s="37" t="str">
        <f aca="false">IF('Test Shipments'!O31="","",'Test Shipments'!O31)</f>
        <v/>
      </c>
      <c r="C319" s="37" t="s">
        <v>214</v>
      </c>
      <c r="D319" s="37" t="s">
        <v>374</v>
      </c>
    </row>
    <row r="320" customFormat="false" ht="15" hidden="false" customHeight="false" outlineLevel="0" collapsed="false">
      <c r="A320" s="37" t="s">
        <v>598</v>
      </c>
      <c r="B320" s="37" t="str">
        <f aca="false">IF('Test Shipments'!P31="","",'Test Shipments'!P31)</f>
        <v/>
      </c>
      <c r="C320" s="37" t="s">
        <v>214</v>
      </c>
      <c r="D320" s="37" t="s">
        <v>376</v>
      </c>
    </row>
    <row r="321" customFormat="false" ht="15" hidden="false" customHeight="false" outlineLevel="0" collapsed="false">
      <c r="A321" s="37" t="s">
        <v>599</v>
      </c>
      <c r="B321" s="37" t="str">
        <f aca="false">IF('Test Shipments'!O31="","not_offered","quoted")</f>
        <v>not_offered</v>
      </c>
      <c r="C321" s="37" t="s">
        <v>211</v>
      </c>
      <c r="D321" s="37" t="s">
        <v>378</v>
      </c>
    </row>
    <row r="322" customFormat="false" ht="15" hidden="false" customHeight="false" outlineLevel="0" collapsed="false">
      <c r="A322" s="37" t="s">
        <v>600</v>
      </c>
      <c r="B322" s="37" t="str">
        <f aca="false">IF('Test Shipments'!Q31="","",'Test Shipments'!Q31)</f>
        <v/>
      </c>
      <c r="C322" s="37" t="s">
        <v>211</v>
      </c>
      <c r="D322" s="37" t="s">
        <v>380</v>
      </c>
    </row>
    <row r="323" customFormat="false" ht="15" hidden="false" customHeight="false" outlineLevel="0" collapsed="false">
      <c r="A323" s="37" t="s">
        <v>601</v>
      </c>
      <c r="B323" s="37" t="s">
        <v>68</v>
      </c>
      <c r="C323" s="37" t="s">
        <v>211</v>
      </c>
      <c r="D323" s="37" t="s">
        <v>20</v>
      </c>
    </row>
    <row r="324" customFormat="false" ht="15" hidden="false" customHeight="false" outlineLevel="0" collapsed="false">
      <c r="A324" s="37" t="s">
        <v>602</v>
      </c>
      <c r="B324" s="37" t="s">
        <v>383</v>
      </c>
      <c r="C324" s="37" t="s">
        <v>211</v>
      </c>
      <c r="D324" s="37" t="s">
        <v>351</v>
      </c>
    </row>
    <row r="325" customFormat="false" ht="15" hidden="false" customHeight="false" outlineLevel="0" collapsed="false">
      <c r="A325" s="37" t="s">
        <v>603</v>
      </c>
      <c r="B325" s="37" t="s">
        <v>47</v>
      </c>
      <c r="C325" s="37" t="s">
        <v>211</v>
      </c>
      <c r="D325" s="37" t="s">
        <v>23</v>
      </c>
    </row>
    <row r="326" customFormat="false" ht="15" hidden="false" customHeight="false" outlineLevel="0" collapsed="false">
      <c r="A326" s="37" t="s">
        <v>604</v>
      </c>
      <c r="B326" s="37" t="n">
        <v>52</v>
      </c>
      <c r="C326" s="37" t="s">
        <v>214</v>
      </c>
      <c r="D326" s="37" t="s">
        <v>24</v>
      </c>
    </row>
    <row r="327" customFormat="false" ht="15" hidden="false" customHeight="false" outlineLevel="0" collapsed="false">
      <c r="A327" s="37" t="s">
        <v>605</v>
      </c>
      <c r="B327" s="37" t="n">
        <v>4</v>
      </c>
      <c r="C327" s="37" t="s">
        <v>214</v>
      </c>
      <c r="D327" s="37" t="s">
        <v>355</v>
      </c>
    </row>
    <row r="328" customFormat="false" ht="15" hidden="false" customHeight="false" outlineLevel="0" collapsed="false">
      <c r="A328" s="37" t="s">
        <v>606</v>
      </c>
      <c r="B328" s="37" t="n">
        <v>0.384</v>
      </c>
      <c r="C328" s="37" t="s">
        <v>214</v>
      </c>
      <c r="D328" s="37" t="s">
        <v>26</v>
      </c>
    </row>
    <row r="329" customFormat="false" ht="15" hidden="false" customHeight="false" outlineLevel="0" collapsed="false">
      <c r="A329" s="37" t="s">
        <v>607</v>
      </c>
      <c r="B329" s="37" t="str">
        <f aca="false">IF('Test Shipments'!I32="","",'Test Shipments'!I32)</f>
        <v/>
      </c>
      <c r="C329" s="37" t="s">
        <v>211</v>
      </c>
      <c r="D329" s="37" t="s">
        <v>358</v>
      </c>
    </row>
    <row r="330" customFormat="false" ht="15" hidden="false" customHeight="false" outlineLevel="0" collapsed="false">
      <c r="A330" s="37" t="s">
        <v>608</v>
      </c>
      <c r="B330" s="37" t="str">
        <f aca="false">IF('Test Shipments'!J32="","",'Test Shipments'!J32)</f>
        <v/>
      </c>
      <c r="C330" s="37" t="s">
        <v>214</v>
      </c>
      <c r="D330" s="37" t="s">
        <v>360</v>
      </c>
    </row>
    <row r="331" customFormat="false" ht="15" hidden="false" customHeight="false" outlineLevel="0" collapsed="false">
      <c r="A331" s="37" t="s">
        <v>609</v>
      </c>
      <c r="B331" s="37" t="str">
        <f aca="false">IF('Test Shipments'!K32="","",'Test Shipments'!K32)</f>
        <v/>
      </c>
      <c r="C331" s="37" t="s">
        <v>214</v>
      </c>
      <c r="D331" s="37" t="s">
        <v>362</v>
      </c>
    </row>
    <row r="332" customFormat="false" ht="15" hidden="false" customHeight="false" outlineLevel="0" collapsed="false">
      <c r="A332" s="37" t="s">
        <v>610</v>
      </c>
      <c r="B332" s="37" t="str">
        <f aca="false">IF('Test Shipments'!J32="","not_offered","quoted")</f>
        <v>not_offered</v>
      </c>
      <c r="C332" s="37" t="s">
        <v>211</v>
      </c>
      <c r="D332" s="37" t="s">
        <v>364</v>
      </c>
    </row>
    <row r="333" customFormat="false" ht="15" hidden="false" customHeight="false" outlineLevel="0" collapsed="false">
      <c r="A333" s="37" t="s">
        <v>611</v>
      </c>
      <c r="B333" s="37" t="str">
        <f aca="false">IF('Test Shipments'!L32="","",'Test Shipments'!L32)</f>
        <v/>
      </c>
      <c r="C333" s="37" t="s">
        <v>214</v>
      </c>
      <c r="D333" s="37" t="s">
        <v>366</v>
      </c>
    </row>
    <row r="334" customFormat="false" ht="15" hidden="false" customHeight="false" outlineLevel="0" collapsed="false">
      <c r="A334" s="37" t="s">
        <v>612</v>
      </c>
      <c r="B334" s="37" t="str">
        <f aca="false">IF('Test Shipments'!M32="","",'Test Shipments'!M32)</f>
        <v/>
      </c>
      <c r="C334" s="37" t="s">
        <v>214</v>
      </c>
      <c r="D334" s="37" t="s">
        <v>368</v>
      </c>
    </row>
    <row r="335" customFormat="false" ht="15" hidden="false" customHeight="false" outlineLevel="0" collapsed="false">
      <c r="A335" s="37" t="s">
        <v>613</v>
      </c>
      <c r="B335" s="37" t="str">
        <f aca="false">IF('Test Shipments'!L32="","not_offered","quoted")</f>
        <v>not_offered</v>
      </c>
      <c r="C335" s="37" t="s">
        <v>211</v>
      </c>
      <c r="D335" s="37" t="s">
        <v>370</v>
      </c>
    </row>
    <row r="336" customFormat="false" ht="15" hidden="false" customHeight="false" outlineLevel="0" collapsed="false">
      <c r="A336" s="37" t="s">
        <v>614</v>
      </c>
      <c r="B336" s="37" t="str">
        <f aca="false">IF('Test Shipments'!N32="","",'Test Shipments'!N32)</f>
        <v/>
      </c>
      <c r="C336" s="37" t="s">
        <v>211</v>
      </c>
      <c r="D336" s="37" t="s">
        <v>372</v>
      </c>
    </row>
    <row r="337" customFormat="false" ht="15" hidden="false" customHeight="false" outlineLevel="0" collapsed="false">
      <c r="A337" s="37" t="s">
        <v>615</v>
      </c>
      <c r="B337" s="37" t="str">
        <f aca="false">IF('Test Shipments'!O32="","",'Test Shipments'!O32)</f>
        <v/>
      </c>
      <c r="C337" s="37" t="s">
        <v>214</v>
      </c>
      <c r="D337" s="37" t="s">
        <v>374</v>
      </c>
    </row>
    <row r="338" customFormat="false" ht="15" hidden="false" customHeight="false" outlineLevel="0" collapsed="false">
      <c r="A338" s="37" t="s">
        <v>616</v>
      </c>
      <c r="B338" s="37" t="str">
        <f aca="false">IF('Test Shipments'!P32="","",'Test Shipments'!P32)</f>
        <v/>
      </c>
      <c r="C338" s="37" t="s">
        <v>214</v>
      </c>
      <c r="D338" s="37" t="s">
        <v>376</v>
      </c>
    </row>
    <row r="339" customFormat="false" ht="15" hidden="false" customHeight="false" outlineLevel="0" collapsed="false">
      <c r="A339" s="37" t="s">
        <v>617</v>
      </c>
      <c r="B339" s="37" t="str">
        <f aca="false">IF('Test Shipments'!O32="","not_offered","quoted")</f>
        <v>not_offered</v>
      </c>
      <c r="C339" s="37" t="s">
        <v>211</v>
      </c>
      <c r="D339" s="37" t="s">
        <v>378</v>
      </c>
    </row>
    <row r="340" customFormat="false" ht="15" hidden="false" customHeight="false" outlineLevel="0" collapsed="false">
      <c r="A340" s="37" t="s">
        <v>618</v>
      </c>
      <c r="B340" s="37" t="str">
        <f aca="false">IF('Test Shipments'!Q32="","",'Test Shipments'!Q32)</f>
        <v/>
      </c>
      <c r="C340" s="37" t="s">
        <v>211</v>
      </c>
      <c r="D340" s="37" t="s">
        <v>380</v>
      </c>
    </row>
    <row r="341" customFormat="false" ht="15" hidden="false" customHeight="false" outlineLevel="0" collapsed="false">
      <c r="A341" s="37" t="s">
        <v>619</v>
      </c>
      <c r="B341" s="37" t="s">
        <v>68</v>
      </c>
      <c r="C341" s="37" t="s">
        <v>211</v>
      </c>
      <c r="D341" s="37" t="s">
        <v>20</v>
      </c>
    </row>
    <row r="342" customFormat="false" ht="15" hidden="false" customHeight="false" outlineLevel="0" collapsed="false">
      <c r="A342" s="37" t="s">
        <v>620</v>
      </c>
      <c r="B342" s="37" t="s">
        <v>402</v>
      </c>
      <c r="C342" s="37" t="s">
        <v>211</v>
      </c>
      <c r="D342" s="37" t="s">
        <v>351</v>
      </c>
    </row>
    <row r="343" customFormat="false" ht="15" hidden="false" customHeight="false" outlineLevel="0" collapsed="false">
      <c r="A343" s="37" t="s">
        <v>621</v>
      </c>
      <c r="B343" s="37" t="s">
        <v>49</v>
      </c>
      <c r="C343" s="37" t="s">
        <v>211</v>
      </c>
      <c r="D343" s="37" t="s">
        <v>23</v>
      </c>
    </row>
    <row r="344" customFormat="false" ht="15" hidden="false" customHeight="false" outlineLevel="0" collapsed="false">
      <c r="A344" s="37" t="s">
        <v>622</v>
      </c>
      <c r="B344" s="37" t="n">
        <v>261</v>
      </c>
      <c r="C344" s="37" t="s">
        <v>214</v>
      </c>
      <c r="D344" s="37" t="s">
        <v>24</v>
      </c>
    </row>
    <row r="345" customFormat="false" ht="15" hidden="false" customHeight="false" outlineLevel="0" collapsed="false">
      <c r="A345" s="37" t="s">
        <v>623</v>
      </c>
      <c r="B345" s="37" t="n">
        <v>18</v>
      </c>
      <c r="C345" s="37" t="s">
        <v>214</v>
      </c>
      <c r="D345" s="37" t="s">
        <v>355</v>
      </c>
    </row>
    <row r="346" customFormat="false" ht="15" hidden="false" customHeight="false" outlineLevel="0" collapsed="false">
      <c r="A346" s="37" t="s">
        <v>624</v>
      </c>
      <c r="B346" s="37" t="n">
        <v>1.728</v>
      </c>
      <c r="C346" s="37" t="s">
        <v>214</v>
      </c>
      <c r="D346" s="37" t="s">
        <v>26</v>
      </c>
    </row>
    <row r="347" customFormat="false" ht="15" hidden="false" customHeight="false" outlineLevel="0" collapsed="false">
      <c r="A347" s="37" t="s">
        <v>625</v>
      </c>
      <c r="B347" s="37" t="str">
        <f aca="false">IF('Test Shipments'!I33="","",'Test Shipments'!I33)</f>
        <v/>
      </c>
      <c r="C347" s="37" t="s">
        <v>211</v>
      </c>
      <c r="D347" s="37" t="s">
        <v>358</v>
      </c>
    </row>
    <row r="348" customFormat="false" ht="15" hidden="false" customHeight="false" outlineLevel="0" collapsed="false">
      <c r="A348" s="37" t="s">
        <v>626</v>
      </c>
      <c r="B348" s="37" t="str">
        <f aca="false">IF('Test Shipments'!J33="","",'Test Shipments'!J33)</f>
        <v/>
      </c>
      <c r="C348" s="37" t="s">
        <v>214</v>
      </c>
      <c r="D348" s="37" t="s">
        <v>360</v>
      </c>
    </row>
    <row r="349" customFormat="false" ht="15" hidden="false" customHeight="false" outlineLevel="0" collapsed="false">
      <c r="A349" s="37" t="s">
        <v>627</v>
      </c>
      <c r="B349" s="37" t="str">
        <f aca="false">IF('Test Shipments'!K33="","",'Test Shipments'!K33)</f>
        <v/>
      </c>
      <c r="C349" s="37" t="s">
        <v>214</v>
      </c>
      <c r="D349" s="37" t="s">
        <v>362</v>
      </c>
    </row>
    <row r="350" customFormat="false" ht="15" hidden="false" customHeight="false" outlineLevel="0" collapsed="false">
      <c r="A350" s="37" t="s">
        <v>628</v>
      </c>
      <c r="B350" s="37" t="str">
        <f aca="false">IF('Test Shipments'!J33="","not_offered","quoted")</f>
        <v>not_offered</v>
      </c>
      <c r="C350" s="37" t="s">
        <v>211</v>
      </c>
      <c r="D350" s="37" t="s">
        <v>364</v>
      </c>
    </row>
    <row r="351" customFormat="false" ht="15" hidden="false" customHeight="false" outlineLevel="0" collapsed="false">
      <c r="A351" s="37" t="s">
        <v>629</v>
      </c>
      <c r="B351" s="37" t="str">
        <f aca="false">IF('Test Shipments'!L33="","",'Test Shipments'!L33)</f>
        <v/>
      </c>
      <c r="C351" s="37" t="s">
        <v>214</v>
      </c>
      <c r="D351" s="37" t="s">
        <v>366</v>
      </c>
    </row>
    <row r="352" customFormat="false" ht="15" hidden="false" customHeight="false" outlineLevel="0" collapsed="false">
      <c r="A352" s="37" t="s">
        <v>630</v>
      </c>
      <c r="B352" s="37" t="str">
        <f aca="false">IF('Test Shipments'!M33="","",'Test Shipments'!M33)</f>
        <v/>
      </c>
      <c r="C352" s="37" t="s">
        <v>214</v>
      </c>
      <c r="D352" s="37" t="s">
        <v>368</v>
      </c>
    </row>
    <row r="353" customFormat="false" ht="15" hidden="false" customHeight="false" outlineLevel="0" collapsed="false">
      <c r="A353" s="37" t="s">
        <v>631</v>
      </c>
      <c r="B353" s="37" t="str">
        <f aca="false">IF('Test Shipments'!L33="","not_offered","quoted")</f>
        <v>not_offered</v>
      </c>
      <c r="C353" s="37" t="s">
        <v>211</v>
      </c>
      <c r="D353" s="37" t="s">
        <v>370</v>
      </c>
    </row>
    <row r="354" customFormat="false" ht="15" hidden="false" customHeight="false" outlineLevel="0" collapsed="false">
      <c r="A354" s="37" t="s">
        <v>632</v>
      </c>
      <c r="B354" s="37" t="str">
        <f aca="false">IF('Test Shipments'!N33="","",'Test Shipments'!N33)</f>
        <v/>
      </c>
      <c r="C354" s="37" t="s">
        <v>211</v>
      </c>
      <c r="D354" s="37" t="s">
        <v>372</v>
      </c>
    </row>
    <row r="355" customFormat="false" ht="15" hidden="false" customHeight="false" outlineLevel="0" collapsed="false">
      <c r="A355" s="37" t="s">
        <v>633</v>
      </c>
      <c r="B355" s="37" t="str">
        <f aca="false">IF('Test Shipments'!O33="","",'Test Shipments'!O33)</f>
        <v/>
      </c>
      <c r="C355" s="37" t="s">
        <v>214</v>
      </c>
      <c r="D355" s="37" t="s">
        <v>374</v>
      </c>
    </row>
    <row r="356" customFormat="false" ht="15" hidden="false" customHeight="false" outlineLevel="0" collapsed="false">
      <c r="A356" s="37" t="s">
        <v>634</v>
      </c>
      <c r="B356" s="37" t="str">
        <f aca="false">IF('Test Shipments'!P33="","",'Test Shipments'!P33)</f>
        <v/>
      </c>
      <c r="C356" s="37" t="s">
        <v>214</v>
      </c>
      <c r="D356" s="37" t="s">
        <v>376</v>
      </c>
    </row>
    <row r="357" customFormat="false" ht="15" hidden="false" customHeight="false" outlineLevel="0" collapsed="false">
      <c r="A357" s="37" t="s">
        <v>635</v>
      </c>
      <c r="B357" s="37" t="str">
        <f aca="false">IF('Test Shipments'!O33="","not_offered","quoted")</f>
        <v>not_offered</v>
      </c>
      <c r="C357" s="37" t="s">
        <v>211</v>
      </c>
      <c r="D357" s="37" t="s">
        <v>378</v>
      </c>
    </row>
    <row r="358" customFormat="false" ht="15" hidden="false" customHeight="false" outlineLevel="0" collapsed="false">
      <c r="A358" s="37" t="s">
        <v>636</v>
      </c>
      <c r="B358" s="37" t="str">
        <f aca="false">IF('Test Shipments'!Q33="","",'Test Shipments'!Q33)</f>
        <v/>
      </c>
      <c r="C358" s="37" t="s">
        <v>211</v>
      </c>
      <c r="D358" s="37" t="s">
        <v>380</v>
      </c>
    </row>
    <row r="359" customFormat="false" ht="15" hidden="false" customHeight="false" outlineLevel="0" collapsed="false">
      <c r="A359" s="37" t="s">
        <v>637</v>
      </c>
      <c r="B359" s="37" t="s">
        <v>74</v>
      </c>
      <c r="C359" s="37" t="s">
        <v>211</v>
      </c>
      <c r="D359" s="37" t="s">
        <v>20</v>
      </c>
    </row>
    <row r="360" customFormat="false" ht="15" hidden="false" customHeight="false" outlineLevel="0" collapsed="false">
      <c r="A360" s="37" t="s">
        <v>638</v>
      </c>
      <c r="B360" s="37" t="s">
        <v>350</v>
      </c>
      <c r="C360" s="37" t="s">
        <v>211</v>
      </c>
      <c r="D360" s="37" t="s">
        <v>351</v>
      </c>
    </row>
    <row r="361" customFormat="false" ht="15" hidden="false" customHeight="false" outlineLevel="0" collapsed="false">
      <c r="A361" s="37" t="s">
        <v>639</v>
      </c>
      <c r="B361" s="37" t="s">
        <v>37</v>
      </c>
      <c r="C361" s="37" t="s">
        <v>211</v>
      </c>
      <c r="D361" s="37" t="s">
        <v>23</v>
      </c>
    </row>
    <row r="362" customFormat="false" ht="15" hidden="false" customHeight="false" outlineLevel="0" collapsed="false">
      <c r="A362" s="37" t="s">
        <v>640</v>
      </c>
      <c r="B362" s="37" t="n">
        <v>8</v>
      </c>
      <c r="C362" s="37" t="s">
        <v>214</v>
      </c>
      <c r="D362" s="37" t="s">
        <v>24</v>
      </c>
    </row>
    <row r="363" customFormat="false" ht="15" hidden="false" customHeight="false" outlineLevel="0" collapsed="false">
      <c r="A363" s="37" t="s">
        <v>641</v>
      </c>
      <c r="B363" s="37" t="n">
        <v>1</v>
      </c>
      <c r="C363" s="37" t="s">
        <v>214</v>
      </c>
      <c r="D363" s="37" t="s">
        <v>355</v>
      </c>
    </row>
    <row r="364" customFormat="false" ht="15" hidden="false" customHeight="false" outlineLevel="0" collapsed="false">
      <c r="A364" s="37" t="s">
        <v>642</v>
      </c>
      <c r="B364" s="37" t="n">
        <v>0.096</v>
      </c>
      <c r="C364" s="37" t="s">
        <v>214</v>
      </c>
      <c r="D364" s="37" t="s">
        <v>26</v>
      </c>
    </row>
    <row r="365" customFormat="false" ht="15" hidden="false" customHeight="false" outlineLevel="0" collapsed="false">
      <c r="A365" s="37" t="s">
        <v>643</v>
      </c>
      <c r="B365" s="37" t="str">
        <f aca="false">IF('Test Shipments'!I34="","",'Test Shipments'!I34)</f>
        <v/>
      </c>
      <c r="C365" s="37" t="s">
        <v>211</v>
      </c>
      <c r="D365" s="37" t="s">
        <v>358</v>
      </c>
    </row>
    <row r="366" customFormat="false" ht="15" hidden="false" customHeight="false" outlineLevel="0" collapsed="false">
      <c r="A366" s="37" t="s">
        <v>644</v>
      </c>
      <c r="B366" s="37" t="str">
        <f aca="false">IF('Test Shipments'!J34="","",'Test Shipments'!J34)</f>
        <v/>
      </c>
      <c r="C366" s="37" t="s">
        <v>214</v>
      </c>
      <c r="D366" s="37" t="s">
        <v>360</v>
      </c>
    </row>
    <row r="367" customFormat="false" ht="15" hidden="false" customHeight="false" outlineLevel="0" collapsed="false">
      <c r="A367" s="37" t="s">
        <v>645</v>
      </c>
      <c r="B367" s="37" t="str">
        <f aca="false">IF('Test Shipments'!K34="","",'Test Shipments'!K34)</f>
        <v/>
      </c>
      <c r="C367" s="37" t="s">
        <v>214</v>
      </c>
      <c r="D367" s="37" t="s">
        <v>362</v>
      </c>
    </row>
    <row r="368" customFormat="false" ht="15" hidden="false" customHeight="false" outlineLevel="0" collapsed="false">
      <c r="A368" s="37" t="s">
        <v>646</v>
      </c>
      <c r="B368" s="37" t="str">
        <f aca="false">IF('Test Shipments'!J34="","not_offered","quoted")</f>
        <v>not_offered</v>
      </c>
      <c r="C368" s="37" t="s">
        <v>211</v>
      </c>
      <c r="D368" s="37" t="s">
        <v>364</v>
      </c>
    </row>
    <row r="369" customFormat="false" ht="15" hidden="false" customHeight="false" outlineLevel="0" collapsed="false">
      <c r="A369" s="37" t="s">
        <v>647</v>
      </c>
      <c r="B369" s="37" t="str">
        <f aca="false">IF('Test Shipments'!L34="","",'Test Shipments'!L34)</f>
        <v/>
      </c>
      <c r="C369" s="37" t="s">
        <v>214</v>
      </c>
      <c r="D369" s="37" t="s">
        <v>366</v>
      </c>
    </row>
    <row r="370" customFormat="false" ht="15" hidden="false" customHeight="false" outlineLevel="0" collapsed="false">
      <c r="A370" s="37" t="s">
        <v>648</v>
      </c>
      <c r="B370" s="37" t="str">
        <f aca="false">IF('Test Shipments'!M34="","",'Test Shipments'!M34)</f>
        <v/>
      </c>
      <c r="C370" s="37" t="s">
        <v>214</v>
      </c>
      <c r="D370" s="37" t="s">
        <v>368</v>
      </c>
    </row>
    <row r="371" customFormat="false" ht="15" hidden="false" customHeight="false" outlineLevel="0" collapsed="false">
      <c r="A371" s="37" t="s">
        <v>649</v>
      </c>
      <c r="B371" s="37" t="str">
        <f aca="false">IF('Test Shipments'!L34="","not_offered","quoted")</f>
        <v>not_offered</v>
      </c>
      <c r="C371" s="37" t="s">
        <v>211</v>
      </c>
      <c r="D371" s="37" t="s">
        <v>370</v>
      </c>
    </row>
    <row r="372" customFormat="false" ht="15" hidden="false" customHeight="false" outlineLevel="0" collapsed="false">
      <c r="A372" s="37" t="s">
        <v>650</v>
      </c>
      <c r="B372" s="37" t="str">
        <f aca="false">IF('Test Shipments'!N34="","",'Test Shipments'!N34)</f>
        <v/>
      </c>
      <c r="C372" s="37" t="s">
        <v>211</v>
      </c>
      <c r="D372" s="37" t="s">
        <v>372</v>
      </c>
    </row>
    <row r="373" customFormat="false" ht="15" hidden="false" customHeight="false" outlineLevel="0" collapsed="false">
      <c r="A373" s="37" t="s">
        <v>651</v>
      </c>
      <c r="B373" s="37" t="str">
        <f aca="false">IF('Test Shipments'!O34="","",'Test Shipments'!O34)</f>
        <v/>
      </c>
      <c r="C373" s="37" t="s">
        <v>214</v>
      </c>
      <c r="D373" s="37" t="s">
        <v>374</v>
      </c>
    </row>
    <row r="374" customFormat="false" ht="15" hidden="false" customHeight="false" outlineLevel="0" collapsed="false">
      <c r="A374" s="37" t="s">
        <v>652</v>
      </c>
      <c r="B374" s="37" t="str">
        <f aca="false">IF('Test Shipments'!P34="","",'Test Shipments'!P34)</f>
        <v/>
      </c>
      <c r="C374" s="37" t="s">
        <v>214</v>
      </c>
      <c r="D374" s="37" t="s">
        <v>376</v>
      </c>
    </row>
    <row r="375" customFormat="false" ht="15" hidden="false" customHeight="false" outlineLevel="0" collapsed="false">
      <c r="A375" s="37" t="s">
        <v>653</v>
      </c>
      <c r="B375" s="37" t="str">
        <f aca="false">IF('Test Shipments'!O34="","not_offered","quoted")</f>
        <v>not_offered</v>
      </c>
      <c r="C375" s="37" t="s">
        <v>211</v>
      </c>
      <c r="D375" s="37" t="s">
        <v>378</v>
      </c>
    </row>
    <row r="376" customFormat="false" ht="15" hidden="false" customHeight="false" outlineLevel="0" collapsed="false">
      <c r="A376" s="37" t="s">
        <v>654</v>
      </c>
      <c r="B376" s="37" t="str">
        <f aca="false">IF('Test Shipments'!Q34="","",'Test Shipments'!Q34)</f>
        <v/>
      </c>
      <c r="C376" s="37" t="s">
        <v>211</v>
      </c>
      <c r="D376" s="37" t="s">
        <v>380</v>
      </c>
    </row>
    <row r="377" customFormat="false" ht="15" hidden="false" customHeight="false" outlineLevel="0" collapsed="false">
      <c r="A377" s="37" t="s">
        <v>655</v>
      </c>
      <c r="B377" s="37" t="s">
        <v>74</v>
      </c>
      <c r="C377" s="37" t="s">
        <v>211</v>
      </c>
      <c r="D377" s="37" t="s">
        <v>20</v>
      </c>
    </row>
    <row r="378" customFormat="false" ht="15" hidden="false" customHeight="false" outlineLevel="0" collapsed="false">
      <c r="A378" s="37" t="s">
        <v>656</v>
      </c>
      <c r="B378" s="37" t="s">
        <v>383</v>
      </c>
      <c r="C378" s="37" t="s">
        <v>211</v>
      </c>
      <c r="D378" s="37" t="s">
        <v>351</v>
      </c>
    </row>
    <row r="379" customFormat="false" ht="15" hidden="false" customHeight="false" outlineLevel="0" collapsed="false">
      <c r="A379" s="37" t="s">
        <v>657</v>
      </c>
      <c r="B379" s="37" t="s">
        <v>47</v>
      </c>
      <c r="C379" s="37" t="s">
        <v>211</v>
      </c>
      <c r="D379" s="37" t="s">
        <v>23</v>
      </c>
    </row>
    <row r="380" customFormat="false" ht="15" hidden="false" customHeight="false" outlineLevel="0" collapsed="false">
      <c r="A380" s="37" t="s">
        <v>658</v>
      </c>
      <c r="B380" s="37" t="n">
        <v>52</v>
      </c>
      <c r="C380" s="37" t="s">
        <v>214</v>
      </c>
      <c r="D380" s="37" t="s">
        <v>24</v>
      </c>
    </row>
    <row r="381" customFormat="false" ht="15" hidden="false" customHeight="false" outlineLevel="0" collapsed="false">
      <c r="A381" s="37" t="s">
        <v>659</v>
      </c>
      <c r="B381" s="37" t="n">
        <v>4</v>
      </c>
      <c r="C381" s="37" t="s">
        <v>214</v>
      </c>
      <c r="D381" s="37" t="s">
        <v>355</v>
      </c>
    </row>
    <row r="382" customFormat="false" ht="15" hidden="false" customHeight="false" outlineLevel="0" collapsed="false">
      <c r="A382" s="37" t="s">
        <v>660</v>
      </c>
      <c r="B382" s="37" t="n">
        <v>0.384</v>
      </c>
      <c r="C382" s="37" t="s">
        <v>214</v>
      </c>
      <c r="D382" s="37" t="s">
        <v>26</v>
      </c>
    </row>
    <row r="383" customFormat="false" ht="15" hidden="false" customHeight="false" outlineLevel="0" collapsed="false">
      <c r="A383" s="37" t="s">
        <v>661</v>
      </c>
      <c r="B383" s="37" t="str">
        <f aca="false">IF('Test Shipments'!I35="","",'Test Shipments'!I35)</f>
        <v/>
      </c>
      <c r="C383" s="37" t="s">
        <v>211</v>
      </c>
      <c r="D383" s="37" t="s">
        <v>358</v>
      </c>
    </row>
    <row r="384" customFormat="false" ht="15" hidden="false" customHeight="false" outlineLevel="0" collapsed="false">
      <c r="A384" s="37" t="s">
        <v>662</v>
      </c>
      <c r="B384" s="37" t="str">
        <f aca="false">IF('Test Shipments'!J35="","",'Test Shipments'!J35)</f>
        <v/>
      </c>
      <c r="C384" s="37" t="s">
        <v>214</v>
      </c>
      <c r="D384" s="37" t="s">
        <v>360</v>
      </c>
    </row>
    <row r="385" customFormat="false" ht="15" hidden="false" customHeight="false" outlineLevel="0" collapsed="false">
      <c r="A385" s="37" t="s">
        <v>663</v>
      </c>
      <c r="B385" s="37" t="str">
        <f aca="false">IF('Test Shipments'!K35="","",'Test Shipments'!K35)</f>
        <v/>
      </c>
      <c r="C385" s="37" t="s">
        <v>214</v>
      </c>
      <c r="D385" s="37" t="s">
        <v>362</v>
      </c>
    </row>
    <row r="386" customFormat="false" ht="15" hidden="false" customHeight="false" outlineLevel="0" collapsed="false">
      <c r="A386" s="37" t="s">
        <v>664</v>
      </c>
      <c r="B386" s="37" t="str">
        <f aca="false">IF('Test Shipments'!J35="","not_offered","quoted")</f>
        <v>not_offered</v>
      </c>
      <c r="C386" s="37" t="s">
        <v>211</v>
      </c>
      <c r="D386" s="37" t="s">
        <v>364</v>
      </c>
    </row>
    <row r="387" customFormat="false" ht="15" hidden="false" customHeight="false" outlineLevel="0" collapsed="false">
      <c r="A387" s="37" t="s">
        <v>665</v>
      </c>
      <c r="B387" s="37" t="str">
        <f aca="false">IF('Test Shipments'!L35="","",'Test Shipments'!L35)</f>
        <v/>
      </c>
      <c r="C387" s="37" t="s">
        <v>214</v>
      </c>
      <c r="D387" s="37" t="s">
        <v>366</v>
      </c>
    </row>
    <row r="388" customFormat="false" ht="15" hidden="false" customHeight="false" outlineLevel="0" collapsed="false">
      <c r="A388" s="37" t="s">
        <v>666</v>
      </c>
      <c r="B388" s="37" t="str">
        <f aca="false">IF('Test Shipments'!M35="","",'Test Shipments'!M35)</f>
        <v/>
      </c>
      <c r="C388" s="37" t="s">
        <v>214</v>
      </c>
      <c r="D388" s="37" t="s">
        <v>368</v>
      </c>
    </row>
    <row r="389" customFormat="false" ht="15" hidden="false" customHeight="false" outlineLevel="0" collapsed="false">
      <c r="A389" s="37" t="s">
        <v>667</v>
      </c>
      <c r="B389" s="37" t="str">
        <f aca="false">IF('Test Shipments'!L35="","not_offered","quoted")</f>
        <v>not_offered</v>
      </c>
      <c r="C389" s="37" t="s">
        <v>211</v>
      </c>
      <c r="D389" s="37" t="s">
        <v>370</v>
      </c>
    </row>
    <row r="390" customFormat="false" ht="15" hidden="false" customHeight="false" outlineLevel="0" collapsed="false">
      <c r="A390" s="37" t="s">
        <v>668</v>
      </c>
      <c r="B390" s="37" t="str">
        <f aca="false">IF('Test Shipments'!N35="","",'Test Shipments'!N35)</f>
        <v/>
      </c>
      <c r="C390" s="37" t="s">
        <v>211</v>
      </c>
      <c r="D390" s="37" t="s">
        <v>372</v>
      </c>
    </row>
    <row r="391" customFormat="false" ht="15" hidden="false" customHeight="false" outlineLevel="0" collapsed="false">
      <c r="A391" s="37" t="s">
        <v>669</v>
      </c>
      <c r="B391" s="37" t="str">
        <f aca="false">IF('Test Shipments'!O35="","",'Test Shipments'!O35)</f>
        <v/>
      </c>
      <c r="C391" s="37" t="s">
        <v>214</v>
      </c>
      <c r="D391" s="37" t="s">
        <v>374</v>
      </c>
    </row>
    <row r="392" customFormat="false" ht="15" hidden="false" customHeight="false" outlineLevel="0" collapsed="false">
      <c r="A392" s="37" t="s">
        <v>670</v>
      </c>
      <c r="B392" s="37" t="str">
        <f aca="false">IF('Test Shipments'!P35="","",'Test Shipments'!P35)</f>
        <v/>
      </c>
      <c r="C392" s="37" t="s">
        <v>214</v>
      </c>
      <c r="D392" s="37" t="s">
        <v>376</v>
      </c>
    </row>
    <row r="393" customFormat="false" ht="15" hidden="false" customHeight="false" outlineLevel="0" collapsed="false">
      <c r="A393" s="37" t="s">
        <v>671</v>
      </c>
      <c r="B393" s="37" t="str">
        <f aca="false">IF('Test Shipments'!O35="","not_offered","quoted")</f>
        <v>not_offered</v>
      </c>
      <c r="C393" s="37" t="s">
        <v>211</v>
      </c>
      <c r="D393" s="37" t="s">
        <v>378</v>
      </c>
    </row>
    <row r="394" customFormat="false" ht="15" hidden="false" customHeight="false" outlineLevel="0" collapsed="false">
      <c r="A394" s="37" t="s">
        <v>672</v>
      </c>
      <c r="B394" s="37" t="str">
        <f aca="false">IF('Test Shipments'!Q35="","",'Test Shipments'!Q35)</f>
        <v/>
      </c>
      <c r="C394" s="37" t="s">
        <v>211</v>
      </c>
      <c r="D394" s="37" t="s">
        <v>380</v>
      </c>
    </row>
    <row r="395" customFormat="false" ht="15" hidden="false" customHeight="false" outlineLevel="0" collapsed="false">
      <c r="A395" s="37" t="s">
        <v>673</v>
      </c>
      <c r="B395" s="37" t="s">
        <v>74</v>
      </c>
      <c r="C395" s="37" t="s">
        <v>211</v>
      </c>
      <c r="D395" s="37" t="s">
        <v>20</v>
      </c>
    </row>
    <row r="396" customFormat="false" ht="15" hidden="false" customHeight="false" outlineLevel="0" collapsed="false">
      <c r="A396" s="37" t="s">
        <v>674</v>
      </c>
      <c r="B396" s="37" t="s">
        <v>402</v>
      </c>
      <c r="C396" s="37" t="s">
        <v>211</v>
      </c>
      <c r="D396" s="37" t="s">
        <v>351</v>
      </c>
    </row>
    <row r="397" customFormat="false" ht="15" hidden="false" customHeight="false" outlineLevel="0" collapsed="false">
      <c r="A397" s="37" t="s">
        <v>675</v>
      </c>
      <c r="B397" s="37" t="s">
        <v>49</v>
      </c>
      <c r="C397" s="37" t="s">
        <v>211</v>
      </c>
      <c r="D397" s="37" t="s">
        <v>23</v>
      </c>
    </row>
    <row r="398" customFormat="false" ht="15" hidden="false" customHeight="false" outlineLevel="0" collapsed="false">
      <c r="A398" s="37" t="s">
        <v>676</v>
      </c>
      <c r="B398" s="37" t="n">
        <v>261</v>
      </c>
      <c r="C398" s="37" t="s">
        <v>214</v>
      </c>
      <c r="D398" s="37" t="s">
        <v>24</v>
      </c>
    </row>
    <row r="399" customFormat="false" ht="15" hidden="false" customHeight="false" outlineLevel="0" collapsed="false">
      <c r="A399" s="37" t="s">
        <v>677</v>
      </c>
      <c r="B399" s="37" t="n">
        <v>18</v>
      </c>
      <c r="C399" s="37" t="s">
        <v>214</v>
      </c>
      <c r="D399" s="37" t="s">
        <v>355</v>
      </c>
    </row>
    <row r="400" customFormat="false" ht="15" hidden="false" customHeight="false" outlineLevel="0" collapsed="false">
      <c r="A400" s="37" t="s">
        <v>678</v>
      </c>
      <c r="B400" s="37" t="n">
        <v>1.728</v>
      </c>
      <c r="C400" s="37" t="s">
        <v>214</v>
      </c>
      <c r="D400" s="37" t="s">
        <v>26</v>
      </c>
    </row>
    <row r="401" customFormat="false" ht="15" hidden="false" customHeight="false" outlineLevel="0" collapsed="false">
      <c r="A401" s="37" t="s">
        <v>679</v>
      </c>
      <c r="B401" s="37" t="str">
        <f aca="false">IF('Test Shipments'!I36="","",'Test Shipments'!I36)</f>
        <v/>
      </c>
      <c r="C401" s="37" t="s">
        <v>211</v>
      </c>
      <c r="D401" s="37" t="s">
        <v>358</v>
      </c>
    </row>
    <row r="402" customFormat="false" ht="15" hidden="false" customHeight="false" outlineLevel="0" collapsed="false">
      <c r="A402" s="37" t="s">
        <v>680</v>
      </c>
      <c r="B402" s="37" t="str">
        <f aca="false">IF('Test Shipments'!J36="","",'Test Shipments'!J36)</f>
        <v/>
      </c>
      <c r="C402" s="37" t="s">
        <v>214</v>
      </c>
      <c r="D402" s="37" t="s">
        <v>360</v>
      </c>
    </row>
    <row r="403" customFormat="false" ht="15" hidden="false" customHeight="false" outlineLevel="0" collapsed="false">
      <c r="A403" s="37" t="s">
        <v>681</v>
      </c>
      <c r="B403" s="37" t="str">
        <f aca="false">IF('Test Shipments'!K36="","",'Test Shipments'!K36)</f>
        <v/>
      </c>
      <c r="C403" s="37" t="s">
        <v>214</v>
      </c>
      <c r="D403" s="37" t="s">
        <v>362</v>
      </c>
    </row>
    <row r="404" customFormat="false" ht="15" hidden="false" customHeight="false" outlineLevel="0" collapsed="false">
      <c r="A404" s="37" t="s">
        <v>682</v>
      </c>
      <c r="B404" s="37" t="str">
        <f aca="false">IF('Test Shipments'!J36="","not_offered","quoted")</f>
        <v>not_offered</v>
      </c>
      <c r="C404" s="37" t="s">
        <v>211</v>
      </c>
      <c r="D404" s="37" t="s">
        <v>364</v>
      </c>
    </row>
    <row r="405" customFormat="false" ht="15" hidden="false" customHeight="false" outlineLevel="0" collapsed="false">
      <c r="A405" s="37" t="s">
        <v>683</v>
      </c>
      <c r="B405" s="37" t="str">
        <f aca="false">IF('Test Shipments'!L36="","",'Test Shipments'!L36)</f>
        <v/>
      </c>
      <c r="C405" s="37" t="s">
        <v>214</v>
      </c>
      <c r="D405" s="37" t="s">
        <v>366</v>
      </c>
    </row>
    <row r="406" customFormat="false" ht="15" hidden="false" customHeight="false" outlineLevel="0" collapsed="false">
      <c r="A406" s="37" t="s">
        <v>684</v>
      </c>
      <c r="B406" s="37" t="str">
        <f aca="false">IF('Test Shipments'!M36="","",'Test Shipments'!M36)</f>
        <v/>
      </c>
      <c r="C406" s="37" t="s">
        <v>214</v>
      </c>
      <c r="D406" s="37" t="s">
        <v>368</v>
      </c>
    </row>
    <row r="407" customFormat="false" ht="15" hidden="false" customHeight="false" outlineLevel="0" collapsed="false">
      <c r="A407" s="37" t="s">
        <v>685</v>
      </c>
      <c r="B407" s="37" t="str">
        <f aca="false">IF('Test Shipments'!L36="","not_offered","quoted")</f>
        <v>not_offered</v>
      </c>
      <c r="C407" s="37" t="s">
        <v>211</v>
      </c>
      <c r="D407" s="37" t="s">
        <v>370</v>
      </c>
    </row>
    <row r="408" customFormat="false" ht="15" hidden="false" customHeight="false" outlineLevel="0" collapsed="false">
      <c r="A408" s="37" t="s">
        <v>686</v>
      </c>
      <c r="B408" s="37" t="str">
        <f aca="false">IF('Test Shipments'!N36="","",'Test Shipments'!N36)</f>
        <v/>
      </c>
      <c r="C408" s="37" t="s">
        <v>211</v>
      </c>
      <c r="D408" s="37" t="s">
        <v>372</v>
      </c>
    </row>
    <row r="409" customFormat="false" ht="15" hidden="false" customHeight="false" outlineLevel="0" collapsed="false">
      <c r="A409" s="37" t="s">
        <v>687</v>
      </c>
      <c r="B409" s="37" t="str">
        <f aca="false">IF('Test Shipments'!O36="","",'Test Shipments'!O36)</f>
        <v/>
      </c>
      <c r="C409" s="37" t="s">
        <v>214</v>
      </c>
      <c r="D409" s="37" t="s">
        <v>374</v>
      </c>
    </row>
    <row r="410" customFormat="false" ht="15" hidden="false" customHeight="false" outlineLevel="0" collapsed="false">
      <c r="A410" s="37" t="s">
        <v>688</v>
      </c>
      <c r="B410" s="37" t="str">
        <f aca="false">IF('Test Shipments'!P36="","",'Test Shipments'!P36)</f>
        <v/>
      </c>
      <c r="C410" s="37" t="s">
        <v>214</v>
      </c>
      <c r="D410" s="37" t="s">
        <v>376</v>
      </c>
    </row>
    <row r="411" customFormat="false" ht="15" hidden="false" customHeight="false" outlineLevel="0" collapsed="false">
      <c r="A411" s="37" t="s">
        <v>689</v>
      </c>
      <c r="B411" s="37" t="str">
        <f aca="false">IF('Test Shipments'!O36="","not_offered","quoted")</f>
        <v>not_offered</v>
      </c>
      <c r="C411" s="37" t="s">
        <v>211</v>
      </c>
      <c r="D411" s="37" t="s">
        <v>378</v>
      </c>
    </row>
    <row r="412" customFormat="false" ht="15" hidden="false" customHeight="false" outlineLevel="0" collapsed="false">
      <c r="A412" s="37" t="s">
        <v>690</v>
      </c>
      <c r="B412" s="37" t="str">
        <f aca="false">IF('Test Shipments'!Q36="","",'Test Shipments'!Q36)</f>
        <v/>
      </c>
      <c r="C412" s="37" t="s">
        <v>211</v>
      </c>
      <c r="D412" s="37" t="s">
        <v>380</v>
      </c>
    </row>
    <row r="413" customFormat="false" ht="15" hidden="false" customHeight="false" outlineLevel="0" collapsed="false">
      <c r="A413" s="37" t="s">
        <v>691</v>
      </c>
      <c r="B413" s="37" t="s">
        <v>80</v>
      </c>
      <c r="C413" s="37" t="s">
        <v>211</v>
      </c>
      <c r="D413" s="37" t="s">
        <v>20</v>
      </c>
    </row>
    <row r="414" customFormat="false" ht="15" hidden="false" customHeight="false" outlineLevel="0" collapsed="false">
      <c r="A414" s="37" t="s">
        <v>692</v>
      </c>
      <c r="B414" s="37" t="s">
        <v>350</v>
      </c>
      <c r="C414" s="37" t="s">
        <v>211</v>
      </c>
      <c r="D414" s="37" t="s">
        <v>351</v>
      </c>
    </row>
    <row r="415" customFormat="false" ht="15" hidden="false" customHeight="false" outlineLevel="0" collapsed="false">
      <c r="A415" s="37" t="s">
        <v>693</v>
      </c>
      <c r="B415" s="37" t="s">
        <v>37</v>
      </c>
      <c r="C415" s="37" t="s">
        <v>211</v>
      </c>
      <c r="D415" s="37" t="s">
        <v>23</v>
      </c>
    </row>
    <row r="416" customFormat="false" ht="15" hidden="false" customHeight="false" outlineLevel="0" collapsed="false">
      <c r="A416" s="37" t="s">
        <v>694</v>
      </c>
      <c r="B416" s="37" t="n">
        <v>8</v>
      </c>
      <c r="C416" s="37" t="s">
        <v>214</v>
      </c>
      <c r="D416" s="37" t="s">
        <v>24</v>
      </c>
    </row>
    <row r="417" customFormat="false" ht="15" hidden="false" customHeight="false" outlineLevel="0" collapsed="false">
      <c r="A417" s="37" t="s">
        <v>695</v>
      </c>
      <c r="B417" s="37" t="n">
        <v>1</v>
      </c>
      <c r="C417" s="37" t="s">
        <v>214</v>
      </c>
      <c r="D417" s="37" t="s">
        <v>355</v>
      </c>
    </row>
    <row r="418" customFormat="false" ht="15" hidden="false" customHeight="false" outlineLevel="0" collapsed="false">
      <c r="A418" s="37" t="s">
        <v>696</v>
      </c>
      <c r="B418" s="37" t="n">
        <v>0.096</v>
      </c>
      <c r="C418" s="37" t="s">
        <v>214</v>
      </c>
      <c r="D418" s="37" t="s">
        <v>26</v>
      </c>
    </row>
    <row r="419" customFormat="false" ht="15" hidden="false" customHeight="false" outlineLevel="0" collapsed="false">
      <c r="A419" s="37" t="s">
        <v>697</v>
      </c>
      <c r="B419" s="37" t="str">
        <f aca="false">IF('Test Shipments'!I37="","",'Test Shipments'!I37)</f>
        <v/>
      </c>
      <c r="C419" s="37" t="s">
        <v>211</v>
      </c>
      <c r="D419" s="37" t="s">
        <v>358</v>
      </c>
    </row>
    <row r="420" customFormat="false" ht="15" hidden="false" customHeight="false" outlineLevel="0" collapsed="false">
      <c r="A420" s="37" t="s">
        <v>698</v>
      </c>
      <c r="B420" s="37" t="str">
        <f aca="false">IF('Test Shipments'!J37="","",'Test Shipments'!J37)</f>
        <v/>
      </c>
      <c r="C420" s="37" t="s">
        <v>214</v>
      </c>
      <c r="D420" s="37" t="s">
        <v>360</v>
      </c>
    </row>
    <row r="421" customFormat="false" ht="15" hidden="false" customHeight="false" outlineLevel="0" collapsed="false">
      <c r="A421" s="37" t="s">
        <v>699</v>
      </c>
      <c r="B421" s="37" t="str">
        <f aca="false">IF('Test Shipments'!K37="","",'Test Shipments'!K37)</f>
        <v/>
      </c>
      <c r="C421" s="37" t="s">
        <v>214</v>
      </c>
      <c r="D421" s="37" t="s">
        <v>362</v>
      </c>
    </row>
    <row r="422" customFormat="false" ht="15" hidden="false" customHeight="false" outlineLevel="0" collapsed="false">
      <c r="A422" s="37" t="s">
        <v>700</v>
      </c>
      <c r="B422" s="37" t="str">
        <f aca="false">IF('Test Shipments'!J37="","not_offered","quoted")</f>
        <v>not_offered</v>
      </c>
      <c r="C422" s="37" t="s">
        <v>211</v>
      </c>
      <c r="D422" s="37" t="s">
        <v>364</v>
      </c>
    </row>
    <row r="423" customFormat="false" ht="15" hidden="false" customHeight="false" outlineLevel="0" collapsed="false">
      <c r="A423" s="37" t="s">
        <v>701</v>
      </c>
      <c r="B423" s="37" t="str">
        <f aca="false">IF('Test Shipments'!L37="","",'Test Shipments'!L37)</f>
        <v/>
      </c>
      <c r="C423" s="37" t="s">
        <v>214</v>
      </c>
      <c r="D423" s="37" t="s">
        <v>366</v>
      </c>
    </row>
    <row r="424" customFormat="false" ht="15" hidden="false" customHeight="false" outlineLevel="0" collapsed="false">
      <c r="A424" s="37" t="s">
        <v>702</v>
      </c>
      <c r="B424" s="37" t="str">
        <f aca="false">IF('Test Shipments'!M37="","",'Test Shipments'!M37)</f>
        <v/>
      </c>
      <c r="C424" s="37" t="s">
        <v>214</v>
      </c>
      <c r="D424" s="37" t="s">
        <v>368</v>
      </c>
    </row>
    <row r="425" customFormat="false" ht="15" hidden="false" customHeight="false" outlineLevel="0" collapsed="false">
      <c r="A425" s="37" t="s">
        <v>703</v>
      </c>
      <c r="B425" s="37" t="str">
        <f aca="false">IF('Test Shipments'!L37="","not_offered","quoted")</f>
        <v>not_offered</v>
      </c>
      <c r="C425" s="37" t="s">
        <v>211</v>
      </c>
      <c r="D425" s="37" t="s">
        <v>370</v>
      </c>
    </row>
    <row r="426" customFormat="false" ht="15" hidden="false" customHeight="false" outlineLevel="0" collapsed="false">
      <c r="A426" s="37" t="s">
        <v>704</v>
      </c>
      <c r="B426" s="37" t="str">
        <f aca="false">IF('Test Shipments'!N37="","",'Test Shipments'!N37)</f>
        <v/>
      </c>
      <c r="C426" s="37" t="s">
        <v>211</v>
      </c>
      <c r="D426" s="37" t="s">
        <v>372</v>
      </c>
    </row>
    <row r="427" customFormat="false" ht="15" hidden="false" customHeight="false" outlineLevel="0" collapsed="false">
      <c r="A427" s="37" t="s">
        <v>705</v>
      </c>
      <c r="B427" s="37" t="str">
        <f aca="false">IF('Test Shipments'!O37="","",'Test Shipments'!O37)</f>
        <v/>
      </c>
      <c r="C427" s="37" t="s">
        <v>214</v>
      </c>
      <c r="D427" s="37" t="s">
        <v>374</v>
      </c>
    </row>
    <row r="428" customFormat="false" ht="15" hidden="false" customHeight="false" outlineLevel="0" collapsed="false">
      <c r="A428" s="37" t="s">
        <v>706</v>
      </c>
      <c r="B428" s="37" t="str">
        <f aca="false">IF('Test Shipments'!P37="","",'Test Shipments'!P37)</f>
        <v/>
      </c>
      <c r="C428" s="37" t="s">
        <v>214</v>
      </c>
      <c r="D428" s="37" t="s">
        <v>376</v>
      </c>
    </row>
    <row r="429" customFormat="false" ht="15" hidden="false" customHeight="false" outlineLevel="0" collapsed="false">
      <c r="A429" s="37" t="s">
        <v>707</v>
      </c>
      <c r="B429" s="37" t="str">
        <f aca="false">IF('Test Shipments'!O37="","not_offered","quoted")</f>
        <v>not_offered</v>
      </c>
      <c r="C429" s="37" t="s">
        <v>211</v>
      </c>
      <c r="D429" s="37" t="s">
        <v>378</v>
      </c>
    </row>
    <row r="430" customFormat="false" ht="15" hidden="false" customHeight="false" outlineLevel="0" collapsed="false">
      <c r="A430" s="37" t="s">
        <v>708</v>
      </c>
      <c r="B430" s="37" t="str">
        <f aca="false">IF('Test Shipments'!Q37="","",'Test Shipments'!Q37)</f>
        <v/>
      </c>
      <c r="C430" s="37" t="s">
        <v>211</v>
      </c>
      <c r="D430" s="37" t="s">
        <v>380</v>
      </c>
    </row>
    <row r="431" customFormat="false" ht="15" hidden="false" customHeight="false" outlineLevel="0" collapsed="false">
      <c r="A431" s="37" t="s">
        <v>709</v>
      </c>
      <c r="B431" s="37" t="s">
        <v>80</v>
      </c>
      <c r="C431" s="37" t="s">
        <v>211</v>
      </c>
      <c r="D431" s="37" t="s">
        <v>20</v>
      </c>
    </row>
    <row r="432" customFormat="false" ht="15" hidden="false" customHeight="false" outlineLevel="0" collapsed="false">
      <c r="A432" s="37" t="s">
        <v>710</v>
      </c>
      <c r="B432" s="37" t="s">
        <v>383</v>
      </c>
      <c r="C432" s="37" t="s">
        <v>211</v>
      </c>
      <c r="D432" s="37" t="s">
        <v>351</v>
      </c>
    </row>
    <row r="433" customFormat="false" ht="15" hidden="false" customHeight="false" outlineLevel="0" collapsed="false">
      <c r="A433" s="37" t="s">
        <v>711</v>
      </c>
      <c r="B433" s="37" t="s">
        <v>47</v>
      </c>
      <c r="C433" s="37" t="s">
        <v>211</v>
      </c>
      <c r="D433" s="37" t="s">
        <v>23</v>
      </c>
    </row>
    <row r="434" customFormat="false" ht="15" hidden="false" customHeight="false" outlineLevel="0" collapsed="false">
      <c r="A434" s="37" t="s">
        <v>712</v>
      </c>
      <c r="B434" s="37" t="n">
        <v>52</v>
      </c>
      <c r="C434" s="37" t="s">
        <v>214</v>
      </c>
      <c r="D434" s="37" t="s">
        <v>24</v>
      </c>
    </row>
    <row r="435" customFormat="false" ht="15" hidden="false" customHeight="false" outlineLevel="0" collapsed="false">
      <c r="A435" s="37" t="s">
        <v>713</v>
      </c>
      <c r="B435" s="37" t="n">
        <v>4</v>
      </c>
      <c r="C435" s="37" t="s">
        <v>214</v>
      </c>
      <c r="D435" s="37" t="s">
        <v>355</v>
      </c>
    </row>
    <row r="436" customFormat="false" ht="15" hidden="false" customHeight="false" outlineLevel="0" collapsed="false">
      <c r="A436" s="37" t="s">
        <v>714</v>
      </c>
      <c r="B436" s="37" t="n">
        <v>0.384</v>
      </c>
      <c r="C436" s="37" t="s">
        <v>214</v>
      </c>
      <c r="D436" s="37" t="s">
        <v>26</v>
      </c>
    </row>
    <row r="437" customFormat="false" ht="15" hidden="false" customHeight="false" outlineLevel="0" collapsed="false">
      <c r="A437" s="37" t="s">
        <v>715</v>
      </c>
      <c r="B437" s="37" t="str">
        <f aca="false">IF('Test Shipments'!I38="","",'Test Shipments'!I38)</f>
        <v/>
      </c>
      <c r="C437" s="37" t="s">
        <v>211</v>
      </c>
      <c r="D437" s="37" t="s">
        <v>358</v>
      </c>
    </row>
    <row r="438" customFormat="false" ht="15" hidden="false" customHeight="false" outlineLevel="0" collapsed="false">
      <c r="A438" s="37" t="s">
        <v>716</v>
      </c>
      <c r="B438" s="37" t="str">
        <f aca="false">IF('Test Shipments'!J38="","",'Test Shipments'!J38)</f>
        <v/>
      </c>
      <c r="C438" s="37" t="s">
        <v>214</v>
      </c>
      <c r="D438" s="37" t="s">
        <v>360</v>
      </c>
    </row>
    <row r="439" customFormat="false" ht="15" hidden="false" customHeight="false" outlineLevel="0" collapsed="false">
      <c r="A439" s="37" t="s">
        <v>717</v>
      </c>
      <c r="B439" s="37" t="str">
        <f aca="false">IF('Test Shipments'!K38="","",'Test Shipments'!K38)</f>
        <v/>
      </c>
      <c r="C439" s="37" t="s">
        <v>214</v>
      </c>
      <c r="D439" s="37" t="s">
        <v>362</v>
      </c>
    </row>
    <row r="440" customFormat="false" ht="15" hidden="false" customHeight="false" outlineLevel="0" collapsed="false">
      <c r="A440" s="37" t="s">
        <v>718</v>
      </c>
      <c r="B440" s="37" t="str">
        <f aca="false">IF('Test Shipments'!J38="","not_offered","quoted")</f>
        <v>not_offered</v>
      </c>
      <c r="C440" s="37" t="s">
        <v>211</v>
      </c>
      <c r="D440" s="37" t="s">
        <v>364</v>
      </c>
    </row>
    <row r="441" customFormat="false" ht="15" hidden="false" customHeight="false" outlineLevel="0" collapsed="false">
      <c r="A441" s="37" t="s">
        <v>719</v>
      </c>
      <c r="B441" s="37" t="str">
        <f aca="false">IF('Test Shipments'!L38="","",'Test Shipments'!L38)</f>
        <v/>
      </c>
      <c r="C441" s="37" t="s">
        <v>214</v>
      </c>
      <c r="D441" s="37" t="s">
        <v>366</v>
      </c>
    </row>
    <row r="442" customFormat="false" ht="15" hidden="false" customHeight="false" outlineLevel="0" collapsed="false">
      <c r="A442" s="37" t="s">
        <v>720</v>
      </c>
      <c r="B442" s="37" t="str">
        <f aca="false">IF('Test Shipments'!M38="","",'Test Shipments'!M38)</f>
        <v/>
      </c>
      <c r="C442" s="37" t="s">
        <v>214</v>
      </c>
      <c r="D442" s="37" t="s">
        <v>368</v>
      </c>
    </row>
    <row r="443" customFormat="false" ht="15" hidden="false" customHeight="false" outlineLevel="0" collapsed="false">
      <c r="A443" s="37" t="s">
        <v>721</v>
      </c>
      <c r="B443" s="37" t="str">
        <f aca="false">IF('Test Shipments'!L38="","not_offered","quoted")</f>
        <v>not_offered</v>
      </c>
      <c r="C443" s="37" t="s">
        <v>211</v>
      </c>
      <c r="D443" s="37" t="s">
        <v>370</v>
      </c>
    </row>
    <row r="444" customFormat="false" ht="15" hidden="false" customHeight="false" outlineLevel="0" collapsed="false">
      <c r="A444" s="37" t="s">
        <v>722</v>
      </c>
      <c r="B444" s="37" t="str">
        <f aca="false">IF('Test Shipments'!N38="","",'Test Shipments'!N38)</f>
        <v/>
      </c>
      <c r="C444" s="37" t="s">
        <v>211</v>
      </c>
      <c r="D444" s="37" t="s">
        <v>372</v>
      </c>
    </row>
    <row r="445" customFormat="false" ht="15" hidden="false" customHeight="false" outlineLevel="0" collapsed="false">
      <c r="A445" s="37" t="s">
        <v>723</v>
      </c>
      <c r="B445" s="37" t="str">
        <f aca="false">IF('Test Shipments'!O38="","",'Test Shipments'!O38)</f>
        <v/>
      </c>
      <c r="C445" s="37" t="s">
        <v>214</v>
      </c>
      <c r="D445" s="37" t="s">
        <v>374</v>
      </c>
    </row>
    <row r="446" customFormat="false" ht="15" hidden="false" customHeight="false" outlineLevel="0" collapsed="false">
      <c r="A446" s="37" t="s">
        <v>724</v>
      </c>
      <c r="B446" s="37" t="str">
        <f aca="false">IF('Test Shipments'!P38="","",'Test Shipments'!P38)</f>
        <v/>
      </c>
      <c r="C446" s="37" t="s">
        <v>214</v>
      </c>
      <c r="D446" s="37" t="s">
        <v>376</v>
      </c>
    </row>
    <row r="447" customFormat="false" ht="15" hidden="false" customHeight="false" outlineLevel="0" collapsed="false">
      <c r="A447" s="37" t="s">
        <v>725</v>
      </c>
      <c r="B447" s="37" t="str">
        <f aca="false">IF('Test Shipments'!O38="","not_offered","quoted")</f>
        <v>not_offered</v>
      </c>
      <c r="C447" s="37" t="s">
        <v>211</v>
      </c>
      <c r="D447" s="37" t="s">
        <v>378</v>
      </c>
    </row>
    <row r="448" customFormat="false" ht="15" hidden="false" customHeight="false" outlineLevel="0" collapsed="false">
      <c r="A448" s="37" t="s">
        <v>726</v>
      </c>
      <c r="B448" s="37" t="str">
        <f aca="false">IF('Test Shipments'!Q38="","",'Test Shipments'!Q38)</f>
        <v/>
      </c>
      <c r="C448" s="37" t="s">
        <v>211</v>
      </c>
      <c r="D448" s="37" t="s">
        <v>380</v>
      </c>
    </row>
    <row r="449" customFormat="false" ht="15" hidden="false" customHeight="false" outlineLevel="0" collapsed="false">
      <c r="A449" s="37" t="s">
        <v>727</v>
      </c>
      <c r="B449" s="37" t="s">
        <v>80</v>
      </c>
      <c r="C449" s="37" t="s">
        <v>211</v>
      </c>
      <c r="D449" s="37" t="s">
        <v>20</v>
      </c>
    </row>
    <row r="450" customFormat="false" ht="15" hidden="false" customHeight="false" outlineLevel="0" collapsed="false">
      <c r="A450" s="37" t="s">
        <v>728</v>
      </c>
      <c r="B450" s="37" t="s">
        <v>402</v>
      </c>
      <c r="C450" s="37" t="s">
        <v>211</v>
      </c>
      <c r="D450" s="37" t="s">
        <v>351</v>
      </c>
    </row>
    <row r="451" customFormat="false" ht="15" hidden="false" customHeight="false" outlineLevel="0" collapsed="false">
      <c r="A451" s="37" t="s">
        <v>729</v>
      </c>
      <c r="B451" s="37" t="s">
        <v>49</v>
      </c>
      <c r="C451" s="37" t="s">
        <v>211</v>
      </c>
      <c r="D451" s="37" t="s">
        <v>23</v>
      </c>
    </row>
    <row r="452" customFormat="false" ht="15" hidden="false" customHeight="false" outlineLevel="0" collapsed="false">
      <c r="A452" s="37" t="s">
        <v>730</v>
      </c>
      <c r="B452" s="37" t="n">
        <v>261</v>
      </c>
      <c r="C452" s="37" t="s">
        <v>214</v>
      </c>
      <c r="D452" s="37" t="s">
        <v>24</v>
      </c>
    </row>
    <row r="453" customFormat="false" ht="15" hidden="false" customHeight="false" outlineLevel="0" collapsed="false">
      <c r="A453" s="37" t="s">
        <v>731</v>
      </c>
      <c r="B453" s="37" t="n">
        <v>18</v>
      </c>
      <c r="C453" s="37" t="s">
        <v>214</v>
      </c>
      <c r="D453" s="37" t="s">
        <v>355</v>
      </c>
    </row>
    <row r="454" customFormat="false" ht="15" hidden="false" customHeight="false" outlineLevel="0" collapsed="false">
      <c r="A454" s="37" t="s">
        <v>732</v>
      </c>
      <c r="B454" s="37" t="n">
        <v>1.728</v>
      </c>
      <c r="C454" s="37" t="s">
        <v>214</v>
      </c>
      <c r="D454" s="37" t="s">
        <v>26</v>
      </c>
    </row>
    <row r="455" customFormat="false" ht="15" hidden="false" customHeight="false" outlineLevel="0" collapsed="false">
      <c r="A455" s="37" t="s">
        <v>733</v>
      </c>
      <c r="B455" s="37" t="str">
        <f aca="false">IF('Test Shipments'!I39="","",'Test Shipments'!I39)</f>
        <v/>
      </c>
      <c r="C455" s="37" t="s">
        <v>211</v>
      </c>
      <c r="D455" s="37" t="s">
        <v>358</v>
      </c>
    </row>
    <row r="456" customFormat="false" ht="15" hidden="false" customHeight="false" outlineLevel="0" collapsed="false">
      <c r="A456" s="37" t="s">
        <v>734</v>
      </c>
      <c r="B456" s="37" t="str">
        <f aca="false">IF('Test Shipments'!J39="","",'Test Shipments'!J39)</f>
        <v/>
      </c>
      <c r="C456" s="37" t="s">
        <v>214</v>
      </c>
      <c r="D456" s="37" t="s">
        <v>360</v>
      </c>
    </row>
    <row r="457" customFormat="false" ht="15" hidden="false" customHeight="false" outlineLevel="0" collapsed="false">
      <c r="A457" s="37" t="s">
        <v>735</v>
      </c>
      <c r="B457" s="37" t="str">
        <f aca="false">IF('Test Shipments'!K39="","",'Test Shipments'!K39)</f>
        <v/>
      </c>
      <c r="C457" s="37" t="s">
        <v>214</v>
      </c>
      <c r="D457" s="37" t="s">
        <v>362</v>
      </c>
    </row>
    <row r="458" customFormat="false" ht="15" hidden="false" customHeight="false" outlineLevel="0" collapsed="false">
      <c r="A458" s="37" t="s">
        <v>736</v>
      </c>
      <c r="B458" s="37" t="str">
        <f aca="false">IF('Test Shipments'!J39="","not_offered","quoted")</f>
        <v>not_offered</v>
      </c>
      <c r="C458" s="37" t="s">
        <v>211</v>
      </c>
      <c r="D458" s="37" t="s">
        <v>364</v>
      </c>
    </row>
    <row r="459" customFormat="false" ht="15" hidden="false" customHeight="false" outlineLevel="0" collapsed="false">
      <c r="A459" s="37" t="s">
        <v>737</v>
      </c>
      <c r="B459" s="37" t="str">
        <f aca="false">IF('Test Shipments'!L39="","",'Test Shipments'!L39)</f>
        <v/>
      </c>
      <c r="C459" s="37" t="s">
        <v>214</v>
      </c>
      <c r="D459" s="37" t="s">
        <v>366</v>
      </c>
    </row>
    <row r="460" customFormat="false" ht="15" hidden="false" customHeight="false" outlineLevel="0" collapsed="false">
      <c r="A460" s="37" t="s">
        <v>738</v>
      </c>
      <c r="B460" s="37" t="str">
        <f aca="false">IF('Test Shipments'!M39="","",'Test Shipments'!M39)</f>
        <v/>
      </c>
      <c r="C460" s="37" t="s">
        <v>214</v>
      </c>
      <c r="D460" s="37" t="s">
        <v>368</v>
      </c>
    </row>
    <row r="461" customFormat="false" ht="15" hidden="false" customHeight="false" outlineLevel="0" collapsed="false">
      <c r="A461" s="37" t="s">
        <v>739</v>
      </c>
      <c r="B461" s="37" t="str">
        <f aca="false">IF('Test Shipments'!L39="","not_offered","quoted")</f>
        <v>not_offered</v>
      </c>
      <c r="C461" s="37" t="s">
        <v>211</v>
      </c>
      <c r="D461" s="37" t="s">
        <v>370</v>
      </c>
    </row>
    <row r="462" customFormat="false" ht="15" hidden="false" customHeight="false" outlineLevel="0" collapsed="false">
      <c r="A462" s="37" t="s">
        <v>740</v>
      </c>
      <c r="B462" s="37" t="str">
        <f aca="false">IF('Test Shipments'!N39="","",'Test Shipments'!N39)</f>
        <v/>
      </c>
      <c r="C462" s="37" t="s">
        <v>211</v>
      </c>
      <c r="D462" s="37" t="s">
        <v>372</v>
      </c>
    </row>
    <row r="463" customFormat="false" ht="15" hidden="false" customHeight="false" outlineLevel="0" collapsed="false">
      <c r="A463" s="37" t="s">
        <v>741</v>
      </c>
      <c r="B463" s="37" t="str">
        <f aca="false">IF('Test Shipments'!O39="","",'Test Shipments'!O39)</f>
        <v/>
      </c>
      <c r="C463" s="37" t="s">
        <v>214</v>
      </c>
      <c r="D463" s="37" t="s">
        <v>374</v>
      </c>
    </row>
    <row r="464" customFormat="false" ht="15" hidden="false" customHeight="false" outlineLevel="0" collapsed="false">
      <c r="A464" s="37" t="s">
        <v>742</v>
      </c>
      <c r="B464" s="37" t="str">
        <f aca="false">IF('Test Shipments'!P39="","",'Test Shipments'!P39)</f>
        <v/>
      </c>
      <c r="C464" s="37" t="s">
        <v>214</v>
      </c>
      <c r="D464" s="37" t="s">
        <v>376</v>
      </c>
    </row>
    <row r="465" customFormat="false" ht="15" hidden="false" customHeight="false" outlineLevel="0" collapsed="false">
      <c r="A465" s="37" t="s">
        <v>743</v>
      </c>
      <c r="B465" s="37" t="str">
        <f aca="false">IF('Test Shipments'!O39="","not_offered","quoted")</f>
        <v>not_offered</v>
      </c>
      <c r="C465" s="37" t="s">
        <v>211</v>
      </c>
      <c r="D465" s="37" t="s">
        <v>378</v>
      </c>
    </row>
    <row r="466" customFormat="false" ht="15" hidden="false" customHeight="false" outlineLevel="0" collapsed="false">
      <c r="A466" s="37" t="s">
        <v>744</v>
      </c>
      <c r="B466" s="37" t="str">
        <f aca="false">IF('Test Shipments'!Q39="","",'Test Shipments'!Q39)</f>
        <v/>
      </c>
      <c r="C466" s="37" t="s">
        <v>211</v>
      </c>
      <c r="D466" s="37" t="s">
        <v>380</v>
      </c>
    </row>
    <row r="467" customFormat="false" ht="15" hidden="false" customHeight="false" outlineLevel="0" collapsed="false">
      <c r="A467" s="37" t="s">
        <v>745</v>
      </c>
      <c r="B467" s="37" t="s">
        <v>80</v>
      </c>
      <c r="C467" s="37" t="s">
        <v>211</v>
      </c>
      <c r="D467" s="37" t="s">
        <v>20</v>
      </c>
    </row>
    <row r="468" customFormat="false" ht="15" hidden="false" customHeight="false" outlineLevel="0" collapsed="false">
      <c r="A468" s="37" t="s">
        <v>746</v>
      </c>
      <c r="B468" s="37" t="s">
        <v>421</v>
      </c>
      <c r="C468" s="37" t="s">
        <v>211</v>
      </c>
      <c r="D468" s="37" t="s">
        <v>351</v>
      </c>
    </row>
    <row r="469" customFormat="false" ht="15" hidden="false" customHeight="false" outlineLevel="0" collapsed="false">
      <c r="A469" s="37" t="s">
        <v>747</v>
      </c>
      <c r="B469" s="37" t="s">
        <v>51</v>
      </c>
      <c r="C469" s="37" t="s">
        <v>211</v>
      </c>
      <c r="D469" s="37" t="s">
        <v>23</v>
      </c>
    </row>
    <row r="470" customFormat="false" ht="15" hidden="false" customHeight="false" outlineLevel="0" collapsed="false">
      <c r="A470" s="37" t="s">
        <v>748</v>
      </c>
      <c r="B470" s="37" t="n">
        <v>941</v>
      </c>
      <c r="C470" s="37" t="s">
        <v>214</v>
      </c>
      <c r="D470" s="37" t="s">
        <v>24</v>
      </c>
    </row>
    <row r="471" customFormat="false" ht="15" hidden="false" customHeight="false" outlineLevel="0" collapsed="false">
      <c r="A471" s="37" t="s">
        <v>749</v>
      </c>
      <c r="B471" s="37" t="n">
        <v>64</v>
      </c>
      <c r="C471" s="37" t="s">
        <v>214</v>
      </c>
      <c r="D471" s="37" t="s">
        <v>355</v>
      </c>
    </row>
    <row r="472" customFormat="false" ht="15" hidden="false" customHeight="false" outlineLevel="0" collapsed="false">
      <c r="A472" s="37" t="s">
        <v>750</v>
      </c>
      <c r="B472" s="37" t="n">
        <v>6.144</v>
      </c>
      <c r="C472" s="37" t="s">
        <v>214</v>
      </c>
      <c r="D472" s="37" t="s">
        <v>26</v>
      </c>
    </row>
    <row r="473" customFormat="false" ht="15" hidden="false" customHeight="false" outlineLevel="0" collapsed="false">
      <c r="A473" s="37" t="s">
        <v>751</v>
      </c>
      <c r="B473" s="37" t="str">
        <f aca="false">IF('Test Shipments'!I40="","",'Test Shipments'!I40)</f>
        <v/>
      </c>
      <c r="C473" s="37" t="s">
        <v>211</v>
      </c>
      <c r="D473" s="37" t="s">
        <v>358</v>
      </c>
    </row>
    <row r="474" customFormat="false" ht="15" hidden="false" customHeight="false" outlineLevel="0" collapsed="false">
      <c r="A474" s="37" t="s">
        <v>752</v>
      </c>
      <c r="B474" s="37" t="str">
        <f aca="false">IF('Test Shipments'!J40="","",'Test Shipments'!J40)</f>
        <v/>
      </c>
      <c r="C474" s="37" t="s">
        <v>214</v>
      </c>
      <c r="D474" s="37" t="s">
        <v>360</v>
      </c>
    </row>
    <row r="475" customFormat="false" ht="15" hidden="false" customHeight="false" outlineLevel="0" collapsed="false">
      <c r="A475" s="37" t="s">
        <v>753</v>
      </c>
      <c r="B475" s="37" t="str">
        <f aca="false">IF('Test Shipments'!K40="","",'Test Shipments'!K40)</f>
        <v/>
      </c>
      <c r="C475" s="37" t="s">
        <v>214</v>
      </c>
      <c r="D475" s="37" t="s">
        <v>362</v>
      </c>
    </row>
    <row r="476" customFormat="false" ht="15" hidden="false" customHeight="false" outlineLevel="0" collapsed="false">
      <c r="A476" s="37" t="s">
        <v>754</v>
      </c>
      <c r="B476" s="37" t="str">
        <f aca="false">IF('Test Shipments'!J40="","not_offered","quoted")</f>
        <v>not_offered</v>
      </c>
      <c r="C476" s="37" t="s">
        <v>211</v>
      </c>
      <c r="D476" s="37" t="s">
        <v>364</v>
      </c>
    </row>
    <row r="477" customFormat="false" ht="15" hidden="false" customHeight="false" outlineLevel="0" collapsed="false">
      <c r="A477" s="37" t="s">
        <v>755</v>
      </c>
      <c r="B477" s="37" t="str">
        <f aca="false">IF('Test Shipments'!L40="","",'Test Shipments'!L40)</f>
        <v/>
      </c>
      <c r="C477" s="37" t="s">
        <v>214</v>
      </c>
      <c r="D477" s="37" t="s">
        <v>366</v>
      </c>
    </row>
    <row r="478" customFormat="false" ht="15" hidden="false" customHeight="false" outlineLevel="0" collapsed="false">
      <c r="A478" s="37" t="s">
        <v>756</v>
      </c>
      <c r="B478" s="37" t="str">
        <f aca="false">IF('Test Shipments'!M40="","",'Test Shipments'!M40)</f>
        <v/>
      </c>
      <c r="C478" s="37" t="s">
        <v>214</v>
      </c>
      <c r="D478" s="37" t="s">
        <v>368</v>
      </c>
    </row>
    <row r="479" customFormat="false" ht="15" hidden="false" customHeight="false" outlineLevel="0" collapsed="false">
      <c r="A479" s="37" t="s">
        <v>757</v>
      </c>
      <c r="B479" s="37" t="str">
        <f aca="false">IF('Test Shipments'!L40="","not_offered","quoted")</f>
        <v>not_offered</v>
      </c>
      <c r="C479" s="37" t="s">
        <v>211</v>
      </c>
      <c r="D479" s="37" t="s">
        <v>370</v>
      </c>
    </row>
    <row r="480" customFormat="false" ht="15" hidden="false" customHeight="false" outlineLevel="0" collapsed="false">
      <c r="A480" s="37" t="s">
        <v>758</v>
      </c>
      <c r="B480" s="37" t="str">
        <f aca="false">IF('Test Shipments'!N40="","",'Test Shipments'!N40)</f>
        <v/>
      </c>
      <c r="C480" s="37" t="s">
        <v>211</v>
      </c>
      <c r="D480" s="37" t="s">
        <v>372</v>
      </c>
    </row>
    <row r="481" customFormat="false" ht="15" hidden="false" customHeight="false" outlineLevel="0" collapsed="false">
      <c r="A481" s="37" t="s">
        <v>759</v>
      </c>
      <c r="B481" s="37" t="str">
        <f aca="false">IF('Test Shipments'!O40="","",'Test Shipments'!O40)</f>
        <v/>
      </c>
      <c r="C481" s="37" t="s">
        <v>214</v>
      </c>
      <c r="D481" s="37" t="s">
        <v>374</v>
      </c>
    </row>
    <row r="482" customFormat="false" ht="15" hidden="false" customHeight="false" outlineLevel="0" collapsed="false">
      <c r="A482" s="37" t="s">
        <v>760</v>
      </c>
      <c r="B482" s="37" t="str">
        <f aca="false">IF('Test Shipments'!P40="","",'Test Shipments'!P40)</f>
        <v/>
      </c>
      <c r="C482" s="37" t="s">
        <v>214</v>
      </c>
      <c r="D482" s="37" t="s">
        <v>376</v>
      </c>
    </row>
    <row r="483" customFormat="false" ht="15" hidden="false" customHeight="false" outlineLevel="0" collapsed="false">
      <c r="A483" s="37" t="s">
        <v>761</v>
      </c>
      <c r="B483" s="37" t="str">
        <f aca="false">IF('Test Shipments'!O40="","not_offered","quoted")</f>
        <v>not_offered</v>
      </c>
      <c r="C483" s="37" t="s">
        <v>211</v>
      </c>
      <c r="D483" s="37" t="s">
        <v>378</v>
      </c>
    </row>
    <row r="484" customFormat="false" ht="15" hidden="false" customHeight="false" outlineLevel="0" collapsed="false">
      <c r="A484" s="37" t="s">
        <v>762</v>
      </c>
      <c r="B484" s="37" t="str">
        <f aca="false">IF('Test Shipments'!Q40="","",'Test Shipments'!Q40)</f>
        <v/>
      </c>
      <c r="C484" s="37" t="s">
        <v>211</v>
      </c>
      <c r="D484" s="37" t="s">
        <v>380</v>
      </c>
    </row>
    <row r="485" customFormat="false" ht="15" hidden="false" customHeight="false" outlineLevel="0" collapsed="false">
      <c r="A485" s="37" t="s">
        <v>763</v>
      </c>
      <c r="B485" s="37" t="s">
        <v>87</v>
      </c>
      <c r="C485" s="37" t="s">
        <v>211</v>
      </c>
      <c r="D485" s="37" t="s">
        <v>20</v>
      </c>
    </row>
    <row r="486" customFormat="false" ht="15" hidden="false" customHeight="false" outlineLevel="0" collapsed="false">
      <c r="A486" s="37" t="s">
        <v>764</v>
      </c>
      <c r="B486" s="37" t="s">
        <v>350</v>
      </c>
      <c r="C486" s="37" t="s">
        <v>211</v>
      </c>
      <c r="D486" s="37" t="s">
        <v>351</v>
      </c>
    </row>
    <row r="487" customFormat="false" ht="15" hidden="false" customHeight="false" outlineLevel="0" collapsed="false">
      <c r="A487" s="37" t="s">
        <v>765</v>
      </c>
      <c r="B487" s="37" t="s">
        <v>37</v>
      </c>
      <c r="C487" s="37" t="s">
        <v>211</v>
      </c>
      <c r="D487" s="37" t="s">
        <v>23</v>
      </c>
    </row>
    <row r="488" customFormat="false" ht="15" hidden="false" customHeight="false" outlineLevel="0" collapsed="false">
      <c r="A488" s="37" t="s">
        <v>766</v>
      </c>
      <c r="B488" s="37" t="n">
        <v>8</v>
      </c>
      <c r="C488" s="37" t="s">
        <v>214</v>
      </c>
      <c r="D488" s="37" t="s">
        <v>24</v>
      </c>
    </row>
    <row r="489" customFormat="false" ht="15" hidden="false" customHeight="false" outlineLevel="0" collapsed="false">
      <c r="A489" s="37" t="s">
        <v>767</v>
      </c>
      <c r="B489" s="37" t="n">
        <v>1</v>
      </c>
      <c r="C489" s="37" t="s">
        <v>214</v>
      </c>
      <c r="D489" s="37" t="s">
        <v>355</v>
      </c>
    </row>
    <row r="490" customFormat="false" ht="15" hidden="false" customHeight="false" outlineLevel="0" collapsed="false">
      <c r="A490" s="37" t="s">
        <v>768</v>
      </c>
      <c r="B490" s="37" t="n">
        <v>0.096</v>
      </c>
      <c r="C490" s="37" t="s">
        <v>214</v>
      </c>
      <c r="D490" s="37" t="s">
        <v>26</v>
      </c>
    </row>
    <row r="491" customFormat="false" ht="15" hidden="false" customHeight="false" outlineLevel="0" collapsed="false">
      <c r="A491" s="37" t="s">
        <v>769</v>
      </c>
      <c r="B491" s="37" t="str">
        <f aca="false">IF('Test Shipments'!I41="","",'Test Shipments'!I41)</f>
        <v/>
      </c>
      <c r="C491" s="37" t="s">
        <v>211</v>
      </c>
      <c r="D491" s="37" t="s">
        <v>358</v>
      </c>
    </row>
    <row r="492" customFormat="false" ht="15" hidden="false" customHeight="false" outlineLevel="0" collapsed="false">
      <c r="A492" s="37" t="s">
        <v>770</v>
      </c>
      <c r="B492" s="37" t="str">
        <f aca="false">IF('Test Shipments'!J41="","",'Test Shipments'!J41)</f>
        <v/>
      </c>
      <c r="C492" s="37" t="s">
        <v>214</v>
      </c>
      <c r="D492" s="37" t="s">
        <v>360</v>
      </c>
    </row>
    <row r="493" customFormat="false" ht="15" hidden="false" customHeight="false" outlineLevel="0" collapsed="false">
      <c r="A493" s="37" t="s">
        <v>771</v>
      </c>
      <c r="B493" s="37" t="str">
        <f aca="false">IF('Test Shipments'!K41="","",'Test Shipments'!K41)</f>
        <v/>
      </c>
      <c r="C493" s="37" t="s">
        <v>214</v>
      </c>
      <c r="D493" s="37" t="s">
        <v>362</v>
      </c>
    </row>
    <row r="494" customFormat="false" ht="15" hidden="false" customHeight="false" outlineLevel="0" collapsed="false">
      <c r="A494" s="37" t="s">
        <v>772</v>
      </c>
      <c r="B494" s="37" t="str">
        <f aca="false">IF('Test Shipments'!J41="","not_offered","quoted")</f>
        <v>not_offered</v>
      </c>
      <c r="C494" s="37" t="s">
        <v>211</v>
      </c>
      <c r="D494" s="37" t="s">
        <v>364</v>
      </c>
    </row>
    <row r="495" customFormat="false" ht="15" hidden="false" customHeight="false" outlineLevel="0" collapsed="false">
      <c r="A495" s="37" t="s">
        <v>773</v>
      </c>
      <c r="B495" s="37" t="str">
        <f aca="false">IF('Test Shipments'!L41="","",'Test Shipments'!L41)</f>
        <v/>
      </c>
      <c r="C495" s="37" t="s">
        <v>214</v>
      </c>
      <c r="D495" s="37" t="s">
        <v>366</v>
      </c>
    </row>
    <row r="496" customFormat="false" ht="15" hidden="false" customHeight="false" outlineLevel="0" collapsed="false">
      <c r="A496" s="37" t="s">
        <v>774</v>
      </c>
      <c r="B496" s="37" t="str">
        <f aca="false">IF('Test Shipments'!M41="","",'Test Shipments'!M41)</f>
        <v/>
      </c>
      <c r="C496" s="37" t="s">
        <v>214</v>
      </c>
      <c r="D496" s="37" t="s">
        <v>368</v>
      </c>
    </row>
    <row r="497" customFormat="false" ht="15" hidden="false" customHeight="false" outlineLevel="0" collapsed="false">
      <c r="A497" s="37" t="s">
        <v>775</v>
      </c>
      <c r="B497" s="37" t="str">
        <f aca="false">IF('Test Shipments'!L41="","not_offered","quoted")</f>
        <v>not_offered</v>
      </c>
      <c r="C497" s="37" t="s">
        <v>211</v>
      </c>
      <c r="D497" s="37" t="s">
        <v>370</v>
      </c>
    </row>
    <row r="498" customFormat="false" ht="15" hidden="false" customHeight="false" outlineLevel="0" collapsed="false">
      <c r="A498" s="37" t="s">
        <v>776</v>
      </c>
      <c r="B498" s="37" t="str">
        <f aca="false">IF('Test Shipments'!N41="","",'Test Shipments'!N41)</f>
        <v/>
      </c>
      <c r="C498" s="37" t="s">
        <v>211</v>
      </c>
      <c r="D498" s="37" t="s">
        <v>372</v>
      </c>
    </row>
    <row r="499" customFormat="false" ht="15" hidden="false" customHeight="false" outlineLevel="0" collapsed="false">
      <c r="A499" s="37" t="s">
        <v>777</v>
      </c>
      <c r="B499" s="37" t="str">
        <f aca="false">IF('Test Shipments'!O41="","",'Test Shipments'!O41)</f>
        <v/>
      </c>
      <c r="C499" s="37" t="s">
        <v>214</v>
      </c>
      <c r="D499" s="37" t="s">
        <v>374</v>
      </c>
    </row>
    <row r="500" customFormat="false" ht="15" hidden="false" customHeight="false" outlineLevel="0" collapsed="false">
      <c r="A500" s="37" t="s">
        <v>778</v>
      </c>
      <c r="B500" s="37" t="str">
        <f aca="false">IF('Test Shipments'!P41="","",'Test Shipments'!P41)</f>
        <v/>
      </c>
      <c r="C500" s="37" t="s">
        <v>214</v>
      </c>
      <c r="D500" s="37" t="s">
        <v>376</v>
      </c>
    </row>
    <row r="501" customFormat="false" ht="15" hidden="false" customHeight="false" outlineLevel="0" collapsed="false">
      <c r="A501" s="37" t="s">
        <v>779</v>
      </c>
      <c r="B501" s="37" t="str">
        <f aca="false">IF('Test Shipments'!O41="","not_offered","quoted")</f>
        <v>not_offered</v>
      </c>
      <c r="C501" s="37" t="s">
        <v>211</v>
      </c>
      <c r="D501" s="37" t="s">
        <v>378</v>
      </c>
    </row>
    <row r="502" customFormat="false" ht="15" hidden="false" customHeight="false" outlineLevel="0" collapsed="false">
      <c r="A502" s="37" t="s">
        <v>780</v>
      </c>
      <c r="B502" s="37" t="str">
        <f aca="false">IF('Test Shipments'!Q41="","",'Test Shipments'!Q41)</f>
        <v/>
      </c>
      <c r="C502" s="37" t="s">
        <v>211</v>
      </c>
      <c r="D502" s="37" t="s">
        <v>380</v>
      </c>
    </row>
    <row r="503" customFormat="false" ht="15" hidden="false" customHeight="false" outlineLevel="0" collapsed="false">
      <c r="A503" s="37" t="s">
        <v>781</v>
      </c>
      <c r="B503" s="37" t="s">
        <v>87</v>
      </c>
      <c r="C503" s="37" t="s">
        <v>211</v>
      </c>
      <c r="D503" s="37" t="s">
        <v>20</v>
      </c>
    </row>
    <row r="504" customFormat="false" ht="15" hidden="false" customHeight="false" outlineLevel="0" collapsed="false">
      <c r="A504" s="37" t="s">
        <v>782</v>
      </c>
      <c r="B504" s="37" t="s">
        <v>383</v>
      </c>
      <c r="C504" s="37" t="s">
        <v>211</v>
      </c>
      <c r="D504" s="37" t="s">
        <v>351</v>
      </c>
    </row>
    <row r="505" customFormat="false" ht="15" hidden="false" customHeight="false" outlineLevel="0" collapsed="false">
      <c r="A505" s="37" t="s">
        <v>783</v>
      </c>
      <c r="B505" s="37" t="s">
        <v>47</v>
      </c>
      <c r="C505" s="37" t="s">
        <v>211</v>
      </c>
      <c r="D505" s="37" t="s">
        <v>23</v>
      </c>
    </row>
    <row r="506" customFormat="false" ht="15" hidden="false" customHeight="false" outlineLevel="0" collapsed="false">
      <c r="A506" s="37" t="s">
        <v>784</v>
      </c>
      <c r="B506" s="37" t="n">
        <v>52</v>
      </c>
      <c r="C506" s="37" t="s">
        <v>214</v>
      </c>
      <c r="D506" s="37" t="s">
        <v>24</v>
      </c>
    </row>
    <row r="507" customFormat="false" ht="15" hidden="false" customHeight="false" outlineLevel="0" collapsed="false">
      <c r="A507" s="37" t="s">
        <v>785</v>
      </c>
      <c r="B507" s="37" t="n">
        <v>4</v>
      </c>
      <c r="C507" s="37" t="s">
        <v>214</v>
      </c>
      <c r="D507" s="37" t="s">
        <v>355</v>
      </c>
    </row>
    <row r="508" customFormat="false" ht="15" hidden="false" customHeight="false" outlineLevel="0" collapsed="false">
      <c r="A508" s="37" t="s">
        <v>786</v>
      </c>
      <c r="B508" s="37" t="n">
        <v>0.384</v>
      </c>
      <c r="C508" s="37" t="s">
        <v>214</v>
      </c>
      <c r="D508" s="37" t="s">
        <v>26</v>
      </c>
    </row>
    <row r="509" customFormat="false" ht="15" hidden="false" customHeight="false" outlineLevel="0" collapsed="false">
      <c r="A509" s="37" t="s">
        <v>787</v>
      </c>
      <c r="B509" s="37" t="str">
        <f aca="false">IF('Test Shipments'!I42="","",'Test Shipments'!I42)</f>
        <v/>
      </c>
      <c r="C509" s="37" t="s">
        <v>211</v>
      </c>
      <c r="D509" s="37" t="s">
        <v>358</v>
      </c>
    </row>
    <row r="510" customFormat="false" ht="15" hidden="false" customHeight="false" outlineLevel="0" collapsed="false">
      <c r="A510" s="37" t="s">
        <v>788</v>
      </c>
      <c r="B510" s="37" t="str">
        <f aca="false">IF('Test Shipments'!J42="","",'Test Shipments'!J42)</f>
        <v/>
      </c>
      <c r="C510" s="37" t="s">
        <v>214</v>
      </c>
      <c r="D510" s="37" t="s">
        <v>360</v>
      </c>
    </row>
    <row r="511" customFormat="false" ht="15" hidden="false" customHeight="false" outlineLevel="0" collapsed="false">
      <c r="A511" s="37" t="s">
        <v>789</v>
      </c>
      <c r="B511" s="37" t="str">
        <f aca="false">IF('Test Shipments'!K42="","",'Test Shipments'!K42)</f>
        <v/>
      </c>
      <c r="C511" s="37" t="s">
        <v>214</v>
      </c>
      <c r="D511" s="37" t="s">
        <v>362</v>
      </c>
    </row>
    <row r="512" customFormat="false" ht="15" hidden="false" customHeight="false" outlineLevel="0" collapsed="false">
      <c r="A512" s="37" t="s">
        <v>790</v>
      </c>
      <c r="B512" s="37" t="str">
        <f aca="false">IF('Test Shipments'!J42="","not_offered","quoted")</f>
        <v>not_offered</v>
      </c>
      <c r="C512" s="37" t="s">
        <v>211</v>
      </c>
      <c r="D512" s="37" t="s">
        <v>364</v>
      </c>
    </row>
    <row r="513" customFormat="false" ht="15" hidden="false" customHeight="false" outlineLevel="0" collapsed="false">
      <c r="A513" s="37" t="s">
        <v>791</v>
      </c>
      <c r="B513" s="37" t="str">
        <f aca="false">IF('Test Shipments'!L42="","",'Test Shipments'!L42)</f>
        <v/>
      </c>
      <c r="C513" s="37" t="s">
        <v>214</v>
      </c>
      <c r="D513" s="37" t="s">
        <v>366</v>
      </c>
    </row>
    <row r="514" customFormat="false" ht="15" hidden="false" customHeight="false" outlineLevel="0" collapsed="false">
      <c r="A514" s="37" t="s">
        <v>792</v>
      </c>
      <c r="B514" s="37" t="str">
        <f aca="false">IF('Test Shipments'!M42="","",'Test Shipments'!M42)</f>
        <v/>
      </c>
      <c r="C514" s="37" t="s">
        <v>214</v>
      </c>
      <c r="D514" s="37" t="s">
        <v>368</v>
      </c>
    </row>
    <row r="515" customFormat="false" ht="15" hidden="false" customHeight="false" outlineLevel="0" collapsed="false">
      <c r="A515" s="37" t="s">
        <v>793</v>
      </c>
      <c r="B515" s="37" t="str">
        <f aca="false">IF('Test Shipments'!L42="","not_offered","quoted")</f>
        <v>not_offered</v>
      </c>
      <c r="C515" s="37" t="s">
        <v>211</v>
      </c>
      <c r="D515" s="37" t="s">
        <v>370</v>
      </c>
    </row>
    <row r="516" customFormat="false" ht="15" hidden="false" customHeight="false" outlineLevel="0" collapsed="false">
      <c r="A516" s="37" t="s">
        <v>794</v>
      </c>
      <c r="B516" s="37" t="str">
        <f aca="false">IF('Test Shipments'!N42="","",'Test Shipments'!N42)</f>
        <v/>
      </c>
      <c r="C516" s="37" t="s">
        <v>211</v>
      </c>
      <c r="D516" s="37" t="s">
        <v>372</v>
      </c>
    </row>
    <row r="517" customFormat="false" ht="15" hidden="false" customHeight="false" outlineLevel="0" collapsed="false">
      <c r="A517" s="37" t="s">
        <v>795</v>
      </c>
      <c r="B517" s="37" t="str">
        <f aca="false">IF('Test Shipments'!O42="","",'Test Shipments'!O42)</f>
        <v/>
      </c>
      <c r="C517" s="37" t="s">
        <v>214</v>
      </c>
      <c r="D517" s="37" t="s">
        <v>374</v>
      </c>
    </row>
    <row r="518" customFormat="false" ht="15" hidden="false" customHeight="false" outlineLevel="0" collapsed="false">
      <c r="A518" s="37" t="s">
        <v>796</v>
      </c>
      <c r="B518" s="37" t="str">
        <f aca="false">IF('Test Shipments'!P42="","",'Test Shipments'!P42)</f>
        <v/>
      </c>
      <c r="C518" s="37" t="s">
        <v>214</v>
      </c>
      <c r="D518" s="37" t="s">
        <v>376</v>
      </c>
    </row>
    <row r="519" customFormat="false" ht="15" hidden="false" customHeight="false" outlineLevel="0" collapsed="false">
      <c r="A519" s="37" t="s">
        <v>797</v>
      </c>
      <c r="B519" s="37" t="str">
        <f aca="false">IF('Test Shipments'!O42="","not_offered","quoted")</f>
        <v>not_offered</v>
      </c>
      <c r="C519" s="37" t="s">
        <v>211</v>
      </c>
      <c r="D519" s="37" t="s">
        <v>378</v>
      </c>
    </row>
    <row r="520" customFormat="false" ht="15" hidden="false" customHeight="false" outlineLevel="0" collapsed="false">
      <c r="A520" s="37" t="s">
        <v>798</v>
      </c>
      <c r="B520" s="37" t="str">
        <f aca="false">IF('Test Shipments'!Q42="","",'Test Shipments'!Q42)</f>
        <v/>
      </c>
      <c r="C520" s="37" t="s">
        <v>211</v>
      </c>
      <c r="D520" s="37" t="s">
        <v>380</v>
      </c>
    </row>
    <row r="521" customFormat="false" ht="15" hidden="false" customHeight="false" outlineLevel="0" collapsed="false">
      <c r="A521" s="37" t="s">
        <v>799</v>
      </c>
      <c r="B521" s="37" t="s">
        <v>87</v>
      </c>
      <c r="C521" s="37" t="s">
        <v>211</v>
      </c>
      <c r="D521" s="37" t="s">
        <v>20</v>
      </c>
    </row>
    <row r="522" customFormat="false" ht="15" hidden="false" customHeight="false" outlineLevel="0" collapsed="false">
      <c r="A522" s="37" t="s">
        <v>800</v>
      </c>
      <c r="B522" s="37" t="s">
        <v>402</v>
      </c>
      <c r="C522" s="37" t="s">
        <v>211</v>
      </c>
      <c r="D522" s="37" t="s">
        <v>351</v>
      </c>
    </row>
    <row r="523" customFormat="false" ht="15" hidden="false" customHeight="false" outlineLevel="0" collapsed="false">
      <c r="A523" s="37" t="s">
        <v>801</v>
      </c>
      <c r="B523" s="37" t="s">
        <v>49</v>
      </c>
      <c r="C523" s="37" t="s">
        <v>211</v>
      </c>
      <c r="D523" s="37" t="s">
        <v>23</v>
      </c>
    </row>
    <row r="524" customFormat="false" ht="15" hidden="false" customHeight="false" outlineLevel="0" collapsed="false">
      <c r="A524" s="37" t="s">
        <v>802</v>
      </c>
      <c r="B524" s="37" t="n">
        <v>261</v>
      </c>
      <c r="C524" s="37" t="s">
        <v>214</v>
      </c>
      <c r="D524" s="37" t="s">
        <v>24</v>
      </c>
    </row>
    <row r="525" customFormat="false" ht="15" hidden="false" customHeight="false" outlineLevel="0" collapsed="false">
      <c r="A525" s="37" t="s">
        <v>803</v>
      </c>
      <c r="B525" s="37" t="n">
        <v>18</v>
      </c>
      <c r="C525" s="37" t="s">
        <v>214</v>
      </c>
      <c r="D525" s="37" t="s">
        <v>355</v>
      </c>
    </row>
    <row r="526" customFormat="false" ht="15" hidden="false" customHeight="false" outlineLevel="0" collapsed="false">
      <c r="A526" s="37" t="s">
        <v>804</v>
      </c>
      <c r="B526" s="37" t="n">
        <v>1.728</v>
      </c>
      <c r="C526" s="37" t="s">
        <v>214</v>
      </c>
      <c r="D526" s="37" t="s">
        <v>26</v>
      </c>
    </row>
    <row r="527" customFormat="false" ht="15" hidden="false" customHeight="false" outlineLevel="0" collapsed="false">
      <c r="A527" s="37" t="s">
        <v>805</v>
      </c>
      <c r="B527" s="37" t="str">
        <f aca="false">IF('Test Shipments'!I43="","",'Test Shipments'!I43)</f>
        <v/>
      </c>
      <c r="C527" s="37" t="s">
        <v>211</v>
      </c>
      <c r="D527" s="37" t="s">
        <v>358</v>
      </c>
    </row>
    <row r="528" customFormat="false" ht="15" hidden="false" customHeight="false" outlineLevel="0" collapsed="false">
      <c r="A528" s="37" t="s">
        <v>806</v>
      </c>
      <c r="B528" s="37" t="str">
        <f aca="false">IF('Test Shipments'!J43="","",'Test Shipments'!J43)</f>
        <v/>
      </c>
      <c r="C528" s="37" t="s">
        <v>214</v>
      </c>
      <c r="D528" s="37" t="s">
        <v>360</v>
      </c>
    </row>
    <row r="529" customFormat="false" ht="15" hidden="false" customHeight="false" outlineLevel="0" collapsed="false">
      <c r="A529" s="37" t="s">
        <v>807</v>
      </c>
      <c r="B529" s="37" t="str">
        <f aca="false">IF('Test Shipments'!K43="","",'Test Shipments'!K43)</f>
        <v/>
      </c>
      <c r="C529" s="37" t="s">
        <v>214</v>
      </c>
      <c r="D529" s="37" t="s">
        <v>362</v>
      </c>
    </row>
    <row r="530" customFormat="false" ht="15" hidden="false" customHeight="false" outlineLevel="0" collapsed="false">
      <c r="A530" s="37" t="s">
        <v>808</v>
      </c>
      <c r="B530" s="37" t="str">
        <f aca="false">IF('Test Shipments'!J43="","not_offered","quoted")</f>
        <v>not_offered</v>
      </c>
      <c r="C530" s="37" t="s">
        <v>211</v>
      </c>
      <c r="D530" s="37" t="s">
        <v>364</v>
      </c>
    </row>
    <row r="531" customFormat="false" ht="15" hidden="false" customHeight="false" outlineLevel="0" collapsed="false">
      <c r="A531" s="37" t="s">
        <v>809</v>
      </c>
      <c r="B531" s="37" t="str">
        <f aca="false">IF('Test Shipments'!L43="","",'Test Shipments'!L43)</f>
        <v/>
      </c>
      <c r="C531" s="37" t="s">
        <v>214</v>
      </c>
      <c r="D531" s="37" t="s">
        <v>366</v>
      </c>
    </row>
    <row r="532" customFormat="false" ht="15" hidden="false" customHeight="false" outlineLevel="0" collapsed="false">
      <c r="A532" s="37" t="s">
        <v>810</v>
      </c>
      <c r="B532" s="37" t="str">
        <f aca="false">IF('Test Shipments'!M43="","",'Test Shipments'!M43)</f>
        <v/>
      </c>
      <c r="C532" s="37" t="s">
        <v>214</v>
      </c>
      <c r="D532" s="37" t="s">
        <v>368</v>
      </c>
    </row>
    <row r="533" customFormat="false" ht="15" hidden="false" customHeight="false" outlineLevel="0" collapsed="false">
      <c r="A533" s="37" t="s">
        <v>811</v>
      </c>
      <c r="B533" s="37" t="str">
        <f aca="false">IF('Test Shipments'!L43="","not_offered","quoted")</f>
        <v>not_offered</v>
      </c>
      <c r="C533" s="37" t="s">
        <v>211</v>
      </c>
      <c r="D533" s="37" t="s">
        <v>370</v>
      </c>
    </row>
    <row r="534" customFormat="false" ht="15" hidden="false" customHeight="false" outlineLevel="0" collapsed="false">
      <c r="A534" s="37" t="s">
        <v>812</v>
      </c>
      <c r="B534" s="37" t="str">
        <f aca="false">IF('Test Shipments'!N43="","",'Test Shipments'!N43)</f>
        <v/>
      </c>
      <c r="C534" s="37" t="s">
        <v>211</v>
      </c>
      <c r="D534" s="37" t="s">
        <v>372</v>
      </c>
    </row>
    <row r="535" customFormat="false" ht="15" hidden="false" customHeight="false" outlineLevel="0" collapsed="false">
      <c r="A535" s="37" t="s">
        <v>813</v>
      </c>
      <c r="B535" s="37" t="str">
        <f aca="false">IF('Test Shipments'!O43="","",'Test Shipments'!O43)</f>
        <v/>
      </c>
      <c r="C535" s="37" t="s">
        <v>214</v>
      </c>
      <c r="D535" s="37" t="s">
        <v>374</v>
      </c>
    </row>
    <row r="536" customFormat="false" ht="15" hidden="false" customHeight="false" outlineLevel="0" collapsed="false">
      <c r="A536" s="37" t="s">
        <v>814</v>
      </c>
      <c r="B536" s="37" t="str">
        <f aca="false">IF('Test Shipments'!P43="","",'Test Shipments'!P43)</f>
        <v/>
      </c>
      <c r="C536" s="37" t="s">
        <v>214</v>
      </c>
      <c r="D536" s="37" t="s">
        <v>376</v>
      </c>
    </row>
    <row r="537" customFormat="false" ht="15" hidden="false" customHeight="false" outlineLevel="0" collapsed="false">
      <c r="A537" s="37" t="s">
        <v>815</v>
      </c>
      <c r="B537" s="37" t="str">
        <f aca="false">IF('Test Shipments'!O43="","not_offered","quoted")</f>
        <v>not_offered</v>
      </c>
      <c r="C537" s="37" t="s">
        <v>211</v>
      </c>
      <c r="D537" s="37" t="s">
        <v>378</v>
      </c>
    </row>
    <row r="538" customFormat="false" ht="15" hidden="false" customHeight="false" outlineLevel="0" collapsed="false">
      <c r="A538" s="37" t="s">
        <v>816</v>
      </c>
      <c r="B538" s="37" t="str">
        <f aca="false">IF('Test Shipments'!Q43="","",'Test Shipments'!Q43)</f>
        <v/>
      </c>
      <c r="C538" s="37" t="s">
        <v>211</v>
      </c>
      <c r="D538" s="37" t="s">
        <v>380</v>
      </c>
    </row>
    <row r="539" customFormat="false" ht="15" hidden="false" customHeight="false" outlineLevel="0" collapsed="false">
      <c r="A539" s="37" t="s">
        <v>817</v>
      </c>
      <c r="B539" s="37" t="s">
        <v>87</v>
      </c>
      <c r="C539" s="37" t="s">
        <v>211</v>
      </c>
      <c r="D539" s="37" t="s">
        <v>20</v>
      </c>
    </row>
    <row r="540" customFormat="false" ht="15" hidden="false" customHeight="false" outlineLevel="0" collapsed="false">
      <c r="A540" s="37" t="s">
        <v>818</v>
      </c>
      <c r="B540" s="37" t="s">
        <v>421</v>
      </c>
      <c r="C540" s="37" t="s">
        <v>211</v>
      </c>
      <c r="D540" s="37" t="s">
        <v>351</v>
      </c>
    </row>
    <row r="541" customFormat="false" ht="15" hidden="false" customHeight="false" outlineLevel="0" collapsed="false">
      <c r="A541" s="37" t="s">
        <v>819</v>
      </c>
      <c r="B541" s="37" t="s">
        <v>51</v>
      </c>
      <c r="C541" s="37" t="s">
        <v>211</v>
      </c>
      <c r="D541" s="37" t="s">
        <v>23</v>
      </c>
    </row>
    <row r="542" customFormat="false" ht="15" hidden="false" customHeight="false" outlineLevel="0" collapsed="false">
      <c r="A542" s="37" t="s">
        <v>820</v>
      </c>
      <c r="B542" s="37" t="n">
        <v>941</v>
      </c>
      <c r="C542" s="37" t="s">
        <v>214</v>
      </c>
      <c r="D542" s="37" t="s">
        <v>24</v>
      </c>
    </row>
    <row r="543" customFormat="false" ht="15" hidden="false" customHeight="false" outlineLevel="0" collapsed="false">
      <c r="A543" s="37" t="s">
        <v>821</v>
      </c>
      <c r="B543" s="37" t="n">
        <v>64</v>
      </c>
      <c r="C543" s="37" t="s">
        <v>214</v>
      </c>
      <c r="D543" s="37" t="s">
        <v>355</v>
      </c>
    </row>
    <row r="544" customFormat="false" ht="15" hidden="false" customHeight="false" outlineLevel="0" collapsed="false">
      <c r="A544" s="37" t="s">
        <v>822</v>
      </c>
      <c r="B544" s="37" t="n">
        <v>6.144</v>
      </c>
      <c r="C544" s="37" t="s">
        <v>214</v>
      </c>
      <c r="D544" s="37" t="s">
        <v>26</v>
      </c>
    </row>
    <row r="545" customFormat="false" ht="15" hidden="false" customHeight="false" outlineLevel="0" collapsed="false">
      <c r="A545" s="37" t="s">
        <v>823</v>
      </c>
      <c r="B545" s="37" t="str">
        <f aca="false">IF('Test Shipments'!I44="","",'Test Shipments'!I44)</f>
        <v/>
      </c>
      <c r="C545" s="37" t="s">
        <v>211</v>
      </c>
      <c r="D545" s="37" t="s">
        <v>358</v>
      </c>
    </row>
    <row r="546" customFormat="false" ht="15" hidden="false" customHeight="false" outlineLevel="0" collapsed="false">
      <c r="A546" s="37" t="s">
        <v>824</v>
      </c>
      <c r="B546" s="37" t="str">
        <f aca="false">IF('Test Shipments'!J44="","",'Test Shipments'!J44)</f>
        <v/>
      </c>
      <c r="C546" s="37" t="s">
        <v>214</v>
      </c>
      <c r="D546" s="37" t="s">
        <v>360</v>
      </c>
    </row>
    <row r="547" customFormat="false" ht="15" hidden="false" customHeight="false" outlineLevel="0" collapsed="false">
      <c r="A547" s="37" t="s">
        <v>825</v>
      </c>
      <c r="B547" s="37" t="str">
        <f aca="false">IF('Test Shipments'!K44="","",'Test Shipments'!K44)</f>
        <v/>
      </c>
      <c r="C547" s="37" t="s">
        <v>214</v>
      </c>
      <c r="D547" s="37" t="s">
        <v>362</v>
      </c>
    </row>
    <row r="548" customFormat="false" ht="15" hidden="false" customHeight="false" outlineLevel="0" collapsed="false">
      <c r="A548" s="37" t="s">
        <v>826</v>
      </c>
      <c r="B548" s="37" t="str">
        <f aca="false">IF('Test Shipments'!J44="","not_offered","quoted")</f>
        <v>not_offered</v>
      </c>
      <c r="C548" s="37" t="s">
        <v>211</v>
      </c>
      <c r="D548" s="37" t="s">
        <v>364</v>
      </c>
    </row>
    <row r="549" customFormat="false" ht="15" hidden="false" customHeight="false" outlineLevel="0" collapsed="false">
      <c r="A549" s="37" t="s">
        <v>827</v>
      </c>
      <c r="B549" s="37" t="str">
        <f aca="false">IF('Test Shipments'!L44="","",'Test Shipments'!L44)</f>
        <v/>
      </c>
      <c r="C549" s="37" t="s">
        <v>214</v>
      </c>
      <c r="D549" s="37" t="s">
        <v>366</v>
      </c>
    </row>
    <row r="550" customFormat="false" ht="15" hidden="false" customHeight="false" outlineLevel="0" collapsed="false">
      <c r="A550" s="37" t="s">
        <v>828</v>
      </c>
      <c r="B550" s="37" t="str">
        <f aca="false">IF('Test Shipments'!M44="","",'Test Shipments'!M44)</f>
        <v/>
      </c>
      <c r="C550" s="37" t="s">
        <v>214</v>
      </c>
      <c r="D550" s="37" t="s">
        <v>368</v>
      </c>
    </row>
    <row r="551" customFormat="false" ht="15" hidden="false" customHeight="false" outlineLevel="0" collapsed="false">
      <c r="A551" s="37" t="s">
        <v>829</v>
      </c>
      <c r="B551" s="37" t="str">
        <f aca="false">IF('Test Shipments'!L44="","not_offered","quoted")</f>
        <v>not_offered</v>
      </c>
      <c r="C551" s="37" t="s">
        <v>211</v>
      </c>
      <c r="D551" s="37" t="s">
        <v>370</v>
      </c>
    </row>
    <row r="552" customFormat="false" ht="15" hidden="false" customHeight="false" outlineLevel="0" collapsed="false">
      <c r="A552" s="37" t="s">
        <v>830</v>
      </c>
      <c r="B552" s="37" t="str">
        <f aca="false">IF('Test Shipments'!N44="","",'Test Shipments'!N44)</f>
        <v/>
      </c>
      <c r="C552" s="37" t="s">
        <v>211</v>
      </c>
      <c r="D552" s="37" t="s">
        <v>372</v>
      </c>
    </row>
    <row r="553" customFormat="false" ht="15" hidden="false" customHeight="false" outlineLevel="0" collapsed="false">
      <c r="A553" s="37" t="s">
        <v>831</v>
      </c>
      <c r="B553" s="37" t="str">
        <f aca="false">IF('Test Shipments'!O44="","",'Test Shipments'!O44)</f>
        <v/>
      </c>
      <c r="C553" s="37" t="s">
        <v>214</v>
      </c>
      <c r="D553" s="37" t="s">
        <v>374</v>
      </c>
    </row>
    <row r="554" customFormat="false" ht="15" hidden="false" customHeight="false" outlineLevel="0" collapsed="false">
      <c r="A554" s="37" t="s">
        <v>832</v>
      </c>
      <c r="B554" s="37" t="str">
        <f aca="false">IF('Test Shipments'!P44="","",'Test Shipments'!P44)</f>
        <v/>
      </c>
      <c r="C554" s="37" t="s">
        <v>214</v>
      </c>
      <c r="D554" s="37" t="s">
        <v>376</v>
      </c>
    </row>
    <row r="555" customFormat="false" ht="15" hidden="false" customHeight="false" outlineLevel="0" collapsed="false">
      <c r="A555" s="37" t="s">
        <v>833</v>
      </c>
      <c r="B555" s="37" t="str">
        <f aca="false">IF('Test Shipments'!O44="","not_offered","quoted")</f>
        <v>not_offered</v>
      </c>
      <c r="C555" s="37" t="s">
        <v>211</v>
      </c>
      <c r="D555" s="37" t="s">
        <v>378</v>
      </c>
    </row>
    <row r="556" customFormat="false" ht="15" hidden="false" customHeight="false" outlineLevel="0" collapsed="false">
      <c r="A556" s="37" t="s">
        <v>834</v>
      </c>
      <c r="B556" s="37" t="str">
        <f aca="false">IF('Test Shipments'!Q44="","",'Test Shipments'!Q44)</f>
        <v/>
      </c>
      <c r="C556" s="37" t="s">
        <v>211</v>
      </c>
      <c r="D556" s="37" t="s">
        <v>380</v>
      </c>
    </row>
    <row r="557" customFormat="false" ht="15" hidden="false" customHeight="false" outlineLevel="0" collapsed="false">
      <c r="A557" s="37" t="s">
        <v>835</v>
      </c>
      <c r="B557" s="37" t="s">
        <v>94</v>
      </c>
      <c r="C557" s="37" t="s">
        <v>211</v>
      </c>
      <c r="D557" s="37" t="s">
        <v>20</v>
      </c>
    </row>
    <row r="558" customFormat="false" ht="15" hidden="false" customHeight="false" outlineLevel="0" collapsed="false">
      <c r="A558" s="37" t="s">
        <v>836</v>
      </c>
      <c r="B558" s="37" t="s">
        <v>350</v>
      </c>
      <c r="C558" s="37" t="s">
        <v>211</v>
      </c>
      <c r="D558" s="37" t="s">
        <v>351</v>
      </c>
    </row>
    <row r="559" customFormat="false" ht="15" hidden="false" customHeight="false" outlineLevel="0" collapsed="false">
      <c r="A559" s="37" t="s">
        <v>837</v>
      </c>
      <c r="B559" s="37" t="s">
        <v>37</v>
      </c>
      <c r="C559" s="37" t="s">
        <v>211</v>
      </c>
      <c r="D559" s="37" t="s">
        <v>23</v>
      </c>
    </row>
    <row r="560" customFormat="false" ht="15" hidden="false" customHeight="false" outlineLevel="0" collapsed="false">
      <c r="A560" s="37" t="s">
        <v>838</v>
      </c>
      <c r="B560" s="37" t="n">
        <v>8</v>
      </c>
      <c r="C560" s="37" t="s">
        <v>214</v>
      </c>
      <c r="D560" s="37" t="s">
        <v>24</v>
      </c>
    </row>
    <row r="561" customFormat="false" ht="15" hidden="false" customHeight="false" outlineLevel="0" collapsed="false">
      <c r="A561" s="37" t="s">
        <v>839</v>
      </c>
      <c r="B561" s="37" t="n">
        <v>1</v>
      </c>
      <c r="C561" s="37" t="s">
        <v>214</v>
      </c>
      <c r="D561" s="37" t="s">
        <v>355</v>
      </c>
    </row>
    <row r="562" customFormat="false" ht="15" hidden="false" customHeight="false" outlineLevel="0" collapsed="false">
      <c r="A562" s="37" t="s">
        <v>840</v>
      </c>
      <c r="B562" s="37" t="n">
        <v>0.096</v>
      </c>
      <c r="C562" s="37" t="s">
        <v>214</v>
      </c>
      <c r="D562" s="37" t="s">
        <v>26</v>
      </c>
    </row>
    <row r="563" customFormat="false" ht="15" hidden="false" customHeight="false" outlineLevel="0" collapsed="false">
      <c r="A563" s="37" t="s">
        <v>841</v>
      </c>
      <c r="B563" s="37" t="str">
        <f aca="false">IF('Test Shipments'!I45="","",'Test Shipments'!I45)</f>
        <v/>
      </c>
      <c r="C563" s="37" t="s">
        <v>211</v>
      </c>
      <c r="D563" s="37" t="s">
        <v>358</v>
      </c>
    </row>
    <row r="564" customFormat="false" ht="15" hidden="false" customHeight="false" outlineLevel="0" collapsed="false">
      <c r="A564" s="37" t="s">
        <v>842</v>
      </c>
      <c r="B564" s="37" t="str">
        <f aca="false">IF('Test Shipments'!J45="","",'Test Shipments'!J45)</f>
        <v/>
      </c>
      <c r="C564" s="37" t="s">
        <v>214</v>
      </c>
      <c r="D564" s="37" t="s">
        <v>360</v>
      </c>
    </row>
    <row r="565" customFormat="false" ht="15" hidden="false" customHeight="false" outlineLevel="0" collapsed="false">
      <c r="A565" s="37" t="s">
        <v>843</v>
      </c>
      <c r="B565" s="37" t="str">
        <f aca="false">IF('Test Shipments'!K45="","",'Test Shipments'!K45)</f>
        <v/>
      </c>
      <c r="C565" s="37" t="s">
        <v>214</v>
      </c>
      <c r="D565" s="37" t="s">
        <v>362</v>
      </c>
    </row>
    <row r="566" customFormat="false" ht="15" hidden="false" customHeight="false" outlineLevel="0" collapsed="false">
      <c r="A566" s="37" t="s">
        <v>844</v>
      </c>
      <c r="B566" s="37" t="str">
        <f aca="false">IF('Test Shipments'!J45="","not_offered","quoted")</f>
        <v>not_offered</v>
      </c>
      <c r="C566" s="37" t="s">
        <v>211</v>
      </c>
      <c r="D566" s="37" t="s">
        <v>364</v>
      </c>
    </row>
    <row r="567" customFormat="false" ht="15" hidden="false" customHeight="false" outlineLevel="0" collapsed="false">
      <c r="A567" s="37" t="s">
        <v>845</v>
      </c>
      <c r="B567" s="37" t="str">
        <f aca="false">IF('Test Shipments'!L45="","",'Test Shipments'!L45)</f>
        <v/>
      </c>
      <c r="C567" s="37" t="s">
        <v>214</v>
      </c>
      <c r="D567" s="37" t="s">
        <v>366</v>
      </c>
    </row>
    <row r="568" customFormat="false" ht="15" hidden="false" customHeight="false" outlineLevel="0" collapsed="false">
      <c r="A568" s="37" t="s">
        <v>846</v>
      </c>
      <c r="B568" s="37" t="str">
        <f aca="false">IF('Test Shipments'!M45="","",'Test Shipments'!M45)</f>
        <v/>
      </c>
      <c r="C568" s="37" t="s">
        <v>214</v>
      </c>
      <c r="D568" s="37" t="s">
        <v>368</v>
      </c>
    </row>
    <row r="569" customFormat="false" ht="15" hidden="false" customHeight="false" outlineLevel="0" collapsed="false">
      <c r="A569" s="37" t="s">
        <v>847</v>
      </c>
      <c r="B569" s="37" t="str">
        <f aca="false">IF('Test Shipments'!L45="","not_offered","quoted")</f>
        <v>not_offered</v>
      </c>
      <c r="C569" s="37" t="s">
        <v>211</v>
      </c>
      <c r="D569" s="37" t="s">
        <v>370</v>
      </c>
    </row>
    <row r="570" customFormat="false" ht="15" hidden="false" customHeight="false" outlineLevel="0" collapsed="false">
      <c r="A570" s="37" t="s">
        <v>848</v>
      </c>
      <c r="B570" s="37" t="str">
        <f aca="false">IF('Test Shipments'!N45="","",'Test Shipments'!N45)</f>
        <v/>
      </c>
      <c r="C570" s="37" t="s">
        <v>211</v>
      </c>
      <c r="D570" s="37" t="s">
        <v>372</v>
      </c>
    </row>
    <row r="571" customFormat="false" ht="15" hidden="false" customHeight="false" outlineLevel="0" collapsed="false">
      <c r="A571" s="37" t="s">
        <v>849</v>
      </c>
      <c r="B571" s="37" t="str">
        <f aca="false">IF('Test Shipments'!O45="","",'Test Shipments'!O45)</f>
        <v/>
      </c>
      <c r="C571" s="37" t="s">
        <v>214</v>
      </c>
      <c r="D571" s="37" t="s">
        <v>374</v>
      </c>
    </row>
    <row r="572" customFormat="false" ht="15" hidden="false" customHeight="false" outlineLevel="0" collapsed="false">
      <c r="A572" s="37" t="s">
        <v>850</v>
      </c>
      <c r="B572" s="37" t="str">
        <f aca="false">IF('Test Shipments'!P45="","",'Test Shipments'!P45)</f>
        <v/>
      </c>
      <c r="C572" s="37" t="s">
        <v>214</v>
      </c>
      <c r="D572" s="37" t="s">
        <v>376</v>
      </c>
    </row>
    <row r="573" customFormat="false" ht="15" hidden="false" customHeight="false" outlineLevel="0" collapsed="false">
      <c r="A573" s="37" t="s">
        <v>851</v>
      </c>
      <c r="B573" s="37" t="str">
        <f aca="false">IF('Test Shipments'!O45="","not_offered","quoted")</f>
        <v>not_offered</v>
      </c>
      <c r="C573" s="37" t="s">
        <v>211</v>
      </c>
      <c r="D573" s="37" t="s">
        <v>378</v>
      </c>
    </row>
    <row r="574" customFormat="false" ht="15" hidden="false" customHeight="false" outlineLevel="0" collapsed="false">
      <c r="A574" s="37" t="s">
        <v>852</v>
      </c>
      <c r="B574" s="37" t="str">
        <f aca="false">IF('Test Shipments'!Q45="","",'Test Shipments'!Q45)</f>
        <v/>
      </c>
      <c r="C574" s="37" t="s">
        <v>211</v>
      </c>
      <c r="D574" s="37" t="s">
        <v>380</v>
      </c>
    </row>
    <row r="575" customFormat="false" ht="15" hidden="false" customHeight="false" outlineLevel="0" collapsed="false">
      <c r="A575" s="37" t="s">
        <v>853</v>
      </c>
      <c r="B575" s="37" t="s">
        <v>94</v>
      </c>
      <c r="C575" s="37" t="s">
        <v>211</v>
      </c>
      <c r="D575" s="37" t="s">
        <v>20</v>
      </c>
    </row>
    <row r="576" customFormat="false" ht="15" hidden="false" customHeight="false" outlineLevel="0" collapsed="false">
      <c r="A576" s="37" t="s">
        <v>854</v>
      </c>
      <c r="B576" s="37" t="s">
        <v>383</v>
      </c>
      <c r="C576" s="37" t="s">
        <v>211</v>
      </c>
      <c r="D576" s="37" t="s">
        <v>351</v>
      </c>
    </row>
    <row r="577" customFormat="false" ht="15" hidden="false" customHeight="false" outlineLevel="0" collapsed="false">
      <c r="A577" s="37" t="s">
        <v>855</v>
      </c>
      <c r="B577" s="37" t="s">
        <v>47</v>
      </c>
      <c r="C577" s="37" t="s">
        <v>211</v>
      </c>
      <c r="D577" s="37" t="s">
        <v>23</v>
      </c>
    </row>
    <row r="578" customFormat="false" ht="15" hidden="false" customHeight="false" outlineLevel="0" collapsed="false">
      <c r="A578" s="37" t="s">
        <v>856</v>
      </c>
      <c r="B578" s="37" t="n">
        <v>52</v>
      </c>
      <c r="C578" s="37" t="s">
        <v>214</v>
      </c>
      <c r="D578" s="37" t="s">
        <v>24</v>
      </c>
    </row>
    <row r="579" customFormat="false" ht="15" hidden="false" customHeight="false" outlineLevel="0" collapsed="false">
      <c r="A579" s="37" t="s">
        <v>857</v>
      </c>
      <c r="B579" s="37" t="n">
        <v>4</v>
      </c>
      <c r="C579" s="37" t="s">
        <v>214</v>
      </c>
      <c r="D579" s="37" t="s">
        <v>355</v>
      </c>
    </row>
    <row r="580" customFormat="false" ht="15" hidden="false" customHeight="false" outlineLevel="0" collapsed="false">
      <c r="A580" s="37" t="s">
        <v>858</v>
      </c>
      <c r="B580" s="37" t="n">
        <v>0.384</v>
      </c>
      <c r="C580" s="37" t="s">
        <v>214</v>
      </c>
      <c r="D580" s="37" t="s">
        <v>26</v>
      </c>
    </row>
    <row r="581" customFormat="false" ht="15" hidden="false" customHeight="false" outlineLevel="0" collapsed="false">
      <c r="A581" s="37" t="s">
        <v>859</v>
      </c>
      <c r="B581" s="37" t="str">
        <f aca="false">IF('Test Shipments'!I46="","",'Test Shipments'!I46)</f>
        <v/>
      </c>
      <c r="C581" s="37" t="s">
        <v>211</v>
      </c>
      <c r="D581" s="37" t="s">
        <v>358</v>
      </c>
    </row>
    <row r="582" customFormat="false" ht="15" hidden="false" customHeight="false" outlineLevel="0" collapsed="false">
      <c r="A582" s="37" t="s">
        <v>860</v>
      </c>
      <c r="B582" s="37" t="str">
        <f aca="false">IF('Test Shipments'!J46="","",'Test Shipments'!J46)</f>
        <v/>
      </c>
      <c r="C582" s="37" t="s">
        <v>214</v>
      </c>
      <c r="D582" s="37" t="s">
        <v>360</v>
      </c>
    </row>
    <row r="583" customFormat="false" ht="15" hidden="false" customHeight="false" outlineLevel="0" collapsed="false">
      <c r="A583" s="37" t="s">
        <v>861</v>
      </c>
      <c r="B583" s="37" t="str">
        <f aca="false">IF('Test Shipments'!K46="","",'Test Shipments'!K46)</f>
        <v/>
      </c>
      <c r="C583" s="37" t="s">
        <v>214</v>
      </c>
      <c r="D583" s="37" t="s">
        <v>362</v>
      </c>
    </row>
    <row r="584" customFormat="false" ht="15" hidden="false" customHeight="false" outlineLevel="0" collapsed="false">
      <c r="A584" s="37" t="s">
        <v>862</v>
      </c>
      <c r="B584" s="37" t="str">
        <f aca="false">IF('Test Shipments'!J46="","not_offered","quoted")</f>
        <v>not_offered</v>
      </c>
      <c r="C584" s="37" t="s">
        <v>211</v>
      </c>
      <c r="D584" s="37" t="s">
        <v>364</v>
      </c>
    </row>
    <row r="585" customFormat="false" ht="15" hidden="false" customHeight="false" outlineLevel="0" collapsed="false">
      <c r="A585" s="37" t="s">
        <v>863</v>
      </c>
      <c r="B585" s="37" t="str">
        <f aca="false">IF('Test Shipments'!L46="","",'Test Shipments'!L46)</f>
        <v/>
      </c>
      <c r="C585" s="37" t="s">
        <v>214</v>
      </c>
      <c r="D585" s="37" t="s">
        <v>366</v>
      </c>
    </row>
    <row r="586" customFormat="false" ht="15" hidden="false" customHeight="false" outlineLevel="0" collapsed="false">
      <c r="A586" s="37" t="s">
        <v>864</v>
      </c>
      <c r="B586" s="37" t="str">
        <f aca="false">IF('Test Shipments'!M46="","",'Test Shipments'!M46)</f>
        <v/>
      </c>
      <c r="C586" s="37" t="s">
        <v>214</v>
      </c>
      <c r="D586" s="37" t="s">
        <v>368</v>
      </c>
    </row>
    <row r="587" customFormat="false" ht="15" hidden="false" customHeight="false" outlineLevel="0" collapsed="false">
      <c r="A587" s="37" t="s">
        <v>865</v>
      </c>
      <c r="B587" s="37" t="str">
        <f aca="false">IF('Test Shipments'!L46="","not_offered","quoted")</f>
        <v>not_offered</v>
      </c>
      <c r="C587" s="37" t="s">
        <v>211</v>
      </c>
      <c r="D587" s="37" t="s">
        <v>370</v>
      </c>
    </row>
    <row r="588" customFormat="false" ht="15" hidden="false" customHeight="false" outlineLevel="0" collapsed="false">
      <c r="A588" s="37" t="s">
        <v>866</v>
      </c>
      <c r="B588" s="37" t="str">
        <f aca="false">IF('Test Shipments'!N46="","",'Test Shipments'!N46)</f>
        <v/>
      </c>
      <c r="C588" s="37" t="s">
        <v>211</v>
      </c>
      <c r="D588" s="37" t="s">
        <v>372</v>
      </c>
    </row>
    <row r="589" customFormat="false" ht="15" hidden="false" customHeight="false" outlineLevel="0" collapsed="false">
      <c r="A589" s="37" t="s">
        <v>867</v>
      </c>
      <c r="B589" s="37" t="str">
        <f aca="false">IF('Test Shipments'!O46="","",'Test Shipments'!O46)</f>
        <v/>
      </c>
      <c r="C589" s="37" t="s">
        <v>214</v>
      </c>
      <c r="D589" s="37" t="s">
        <v>374</v>
      </c>
    </row>
    <row r="590" customFormat="false" ht="15" hidden="false" customHeight="false" outlineLevel="0" collapsed="false">
      <c r="A590" s="37" t="s">
        <v>868</v>
      </c>
      <c r="B590" s="37" t="str">
        <f aca="false">IF('Test Shipments'!P46="","",'Test Shipments'!P46)</f>
        <v/>
      </c>
      <c r="C590" s="37" t="s">
        <v>214</v>
      </c>
      <c r="D590" s="37" t="s">
        <v>376</v>
      </c>
    </row>
    <row r="591" customFormat="false" ht="15" hidden="false" customHeight="false" outlineLevel="0" collapsed="false">
      <c r="A591" s="37" t="s">
        <v>869</v>
      </c>
      <c r="B591" s="37" t="str">
        <f aca="false">IF('Test Shipments'!O46="","not_offered","quoted")</f>
        <v>not_offered</v>
      </c>
      <c r="C591" s="37" t="s">
        <v>211</v>
      </c>
      <c r="D591" s="37" t="s">
        <v>378</v>
      </c>
    </row>
    <row r="592" customFormat="false" ht="15" hidden="false" customHeight="false" outlineLevel="0" collapsed="false">
      <c r="A592" s="37" t="s">
        <v>870</v>
      </c>
      <c r="B592" s="37" t="str">
        <f aca="false">IF('Test Shipments'!Q46="","",'Test Shipments'!Q46)</f>
        <v/>
      </c>
      <c r="C592" s="37" t="s">
        <v>211</v>
      </c>
      <c r="D592" s="37" t="s">
        <v>380</v>
      </c>
    </row>
    <row r="593" customFormat="false" ht="15" hidden="false" customHeight="false" outlineLevel="0" collapsed="false">
      <c r="A593" s="37" t="s">
        <v>871</v>
      </c>
      <c r="B593" s="37" t="s">
        <v>94</v>
      </c>
      <c r="C593" s="37" t="s">
        <v>211</v>
      </c>
      <c r="D593" s="37" t="s">
        <v>20</v>
      </c>
    </row>
    <row r="594" customFormat="false" ht="15" hidden="false" customHeight="false" outlineLevel="0" collapsed="false">
      <c r="A594" s="37" t="s">
        <v>872</v>
      </c>
      <c r="B594" s="37" t="s">
        <v>402</v>
      </c>
      <c r="C594" s="37" t="s">
        <v>211</v>
      </c>
      <c r="D594" s="37" t="s">
        <v>351</v>
      </c>
    </row>
    <row r="595" customFormat="false" ht="15" hidden="false" customHeight="false" outlineLevel="0" collapsed="false">
      <c r="A595" s="37" t="s">
        <v>873</v>
      </c>
      <c r="B595" s="37" t="s">
        <v>49</v>
      </c>
      <c r="C595" s="37" t="s">
        <v>211</v>
      </c>
      <c r="D595" s="37" t="s">
        <v>23</v>
      </c>
    </row>
    <row r="596" customFormat="false" ht="15" hidden="false" customHeight="false" outlineLevel="0" collapsed="false">
      <c r="A596" s="37" t="s">
        <v>874</v>
      </c>
      <c r="B596" s="37" t="n">
        <v>261</v>
      </c>
      <c r="C596" s="37" t="s">
        <v>214</v>
      </c>
      <c r="D596" s="37" t="s">
        <v>24</v>
      </c>
    </row>
    <row r="597" customFormat="false" ht="15" hidden="false" customHeight="false" outlineLevel="0" collapsed="false">
      <c r="A597" s="37" t="s">
        <v>875</v>
      </c>
      <c r="B597" s="37" t="n">
        <v>18</v>
      </c>
      <c r="C597" s="37" t="s">
        <v>214</v>
      </c>
      <c r="D597" s="37" t="s">
        <v>355</v>
      </c>
    </row>
    <row r="598" customFormat="false" ht="15" hidden="false" customHeight="false" outlineLevel="0" collapsed="false">
      <c r="A598" s="37" t="s">
        <v>876</v>
      </c>
      <c r="B598" s="37" t="n">
        <v>1.728</v>
      </c>
      <c r="C598" s="37" t="s">
        <v>214</v>
      </c>
      <c r="D598" s="37" t="s">
        <v>26</v>
      </c>
    </row>
    <row r="599" customFormat="false" ht="15" hidden="false" customHeight="false" outlineLevel="0" collapsed="false">
      <c r="A599" s="37" t="s">
        <v>877</v>
      </c>
      <c r="B599" s="37" t="str">
        <f aca="false">IF('Test Shipments'!I47="","",'Test Shipments'!I47)</f>
        <v/>
      </c>
      <c r="C599" s="37" t="s">
        <v>211</v>
      </c>
      <c r="D599" s="37" t="s">
        <v>358</v>
      </c>
    </row>
    <row r="600" customFormat="false" ht="15" hidden="false" customHeight="false" outlineLevel="0" collapsed="false">
      <c r="A600" s="37" t="s">
        <v>878</v>
      </c>
      <c r="B600" s="37" t="str">
        <f aca="false">IF('Test Shipments'!J47="","",'Test Shipments'!J47)</f>
        <v/>
      </c>
      <c r="C600" s="37" t="s">
        <v>214</v>
      </c>
      <c r="D600" s="37" t="s">
        <v>360</v>
      </c>
    </row>
    <row r="601" customFormat="false" ht="15" hidden="false" customHeight="false" outlineLevel="0" collapsed="false">
      <c r="A601" s="37" t="s">
        <v>879</v>
      </c>
      <c r="B601" s="37" t="str">
        <f aca="false">IF('Test Shipments'!K47="","",'Test Shipments'!K47)</f>
        <v/>
      </c>
      <c r="C601" s="37" t="s">
        <v>214</v>
      </c>
      <c r="D601" s="37" t="s">
        <v>362</v>
      </c>
    </row>
    <row r="602" customFormat="false" ht="15" hidden="false" customHeight="false" outlineLevel="0" collapsed="false">
      <c r="A602" s="37" t="s">
        <v>880</v>
      </c>
      <c r="B602" s="37" t="str">
        <f aca="false">IF('Test Shipments'!J47="","not_offered","quoted")</f>
        <v>not_offered</v>
      </c>
      <c r="C602" s="37" t="s">
        <v>211</v>
      </c>
      <c r="D602" s="37" t="s">
        <v>364</v>
      </c>
    </row>
    <row r="603" customFormat="false" ht="15" hidden="false" customHeight="false" outlineLevel="0" collapsed="false">
      <c r="A603" s="37" t="s">
        <v>881</v>
      </c>
      <c r="B603" s="37" t="str">
        <f aca="false">IF('Test Shipments'!L47="","",'Test Shipments'!L47)</f>
        <v/>
      </c>
      <c r="C603" s="37" t="s">
        <v>214</v>
      </c>
      <c r="D603" s="37" t="s">
        <v>366</v>
      </c>
    </row>
    <row r="604" customFormat="false" ht="15" hidden="false" customHeight="false" outlineLevel="0" collapsed="false">
      <c r="A604" s="37" t="s">
        <v>882</v>
      </c>
      <c r="B604" s="37" t="str">
        <f aca="false">IF('Test Shipments'!M47="","",'Test Shipments'!M47)</f>
        <v/>
      </c>
      <c r="C604" s="37" t="s">
        <v>214</v>
      </c>
      <c r="D604" s="37" t="s">
        <v>368</v>
      </c>
    </row>
    <row r="605" customFormat="false" ht="15" hidden="false" customHeight="false" outlineLevel="0" collapsed="false">
      <c r="A605" s="37" t="s">
        <v>883</v>
      </c>
      <c r="B605" s="37" t="str">
        <f aca="false">IF('Test Shipments'!L47="","not_offered","quoted")</f>
        <v>not_offered</v>
      </c>
      <c r="C605" s="37" t="s">
        <v>211</v>
      </c>
      <c r="D605" s="37" t="s">
        <v>370</v>
      </c>
    </row>
    <row r="606" customFormat="false" ht="15" hidden="false" customHeight="false" outlineLevel="0" collapsed="false">
      <c r="A606" s="37" t="s">
        <v>884</v>
      </c>
      <c r="B606" s="37" t="str">
        <f aca="false">IF('Test Shipments'!N47="","",'Test Shipments'!N47)</f>
        <v/>
      </c>
      <c r="C606" s="37" t="s">
        <v>211</v>
      </c>
      <c r="D606" s="37" t="s">
        <v>372</v>
      </c>
    </row>
    <row r="607" customFormat="false" ht="15" hidden="false" customHeight="false" outlineLevel="0" collapsed="false">
      <c r="A607" s="37" t="s">
        <v>885</v>
      </c>
      <c r="B607" s="37" t="str">
        <f aca="false">IF('Test Shipments'!O47="","",'Test Shipments'!O47)</f>
        <v/>
      </c>
      <c r="C607" s="37" t="s">
        <v>214</v>
      </c>
      <c r="D607" s="37" t="s">
        <v>374</v>
      </c>
    </row>
    <row r="608" customFormat="false" ht="15" hidden="false" customHeight="false" outlineLevel="0" collapsed="false">
      <c r="A608" s="37" t="s">
        <v>886</v>
      </c>
      <c r="B608" s="37" t="str">
        <f aca="false">IF('Test Shipments'!P47="","",'Test Shipments'!P47)</f>
        <v/>
      </c>
      <c r="C608" s="37" t="s">
        <v>214</v>
      </c>
      <c r="D608" s="37" t="s">
        <v>376</v>
      </c>
    </row>
    <row r="609" customFormat="false" ht="15" hidden="false" customHeight="false" outlineLevel="0" collapsed="false">
      <c r="A609" s="37" t="s">
        <v>887</v>
      </c>
      <c r="B609" s="37" t="str">
        <f aca="false">IF('Test Shipments'!O47="","not_offered","quoted")</f>
        <v>not_offered</v>
      </c>
      <c r="C609" s="37" t="s">
        <v>211</v>
      </c>
      <c r="D609" s="37" t="s">
        <v>378</v>
      </c>
    </row>
    <row r="610" customFormat="false" ht="15" hidden="false" customHeight="false" outlineLevel="0" collapsed="false">
      <c r="A610" s="37" t="s">
        <v>888</v>
      </c>
      <c r="B610" s="37" t="str">
        <f aca="false">IF('Test Shipments'!Q47="","",'Test Shipments'!Q47)</f>
        <v/>
      </c>
      <c r="C610" s="37" t="s">
        <v>211</v>
      </c>
      <c r="D610" s="37" t="s">
        <v>380</v>
      </c>
    </row>
    <row r="611" customFormat="false" ht="15" hidden="false" customHeight="false" outlineLevel="0" collapsed="false">
      <c r="A611" s="37" t="s">
        <v>889</v>
      </c>
      <c r="B611" s="37" t="s">
        <v>94</v>
      </c>
      <c r="C611" s="37" t="s">
        <v>211</v>
      </c>
      <c r="D611" s="37" t="s">
        <v>20</v>
      </c>
    </row>
    <row r="612" customFormat="false" ht="15" hidden="false" customHeight="false" outlineLevel="0" collapsed="false">
      <c r="A612" s="37" t="s">
        <v>890</v>
      </c>
      <c r="B612" s="37" t="s">
        <v>421</v>
      </c>
      <c r="C612" s="37" t="s">
        <v>211</v>
      </c>
      <c r="D612" s="37" t="s">
        <v>351</v>
      </c>
    </row>
    <row r="613" customFormat="false" ht="15" hidden="false" customHeight="false" outlineLevel="0" collapsed="false">
      <c r="A613" s="37" t="s">
        <v>891</v>
      </c>
      <c r="B613" s="37" t="s">
        <v>51</v>
      </c>
      <c r="C613" s="37" t="s">
        <v>211</v>
      </c>
      <c r="D613" s="37" t="s">
        <v>23</v>
      </c>
    </row>
    <row r="614" customFormat="false" ht="15" hidden="false" customHeight="false" outlineLevel="0" collapsed="false">
      <c r="A614" s="37" t="s">
        <v>892</v>
      </c>
      <c r="B614" s="37" t="n">
        <v>941</v>
      </c>
      <c r="C614" s="37" t="s">
        <v>214</v>
      </c>
      <c r="D614" s="37" t="s">
        <v>24</v>
      </c>
    </row>
    <row r="615" customFormat="false" ht="15" hidden="false" customHeight="false" outlineLevel="0" collapsed="false">
      <c r="A615" s="37" t="s">
        <v>893</v>
      </c>
      <c r="B615" s="37" t="n">
        <v>64</v>
      </c>
      <c r="C615" s="37" t="s">
        <v>214</v>
      </c>
      <c r="D615" s="37" t="s">
        <v>355</v>
      </c>
    </row>
    <row r="616" customFormat="false" ht="15" hidden="false" customHeight="false" outlineLevel="0" collapsed="false">
      <c r="A616" s="37" t="s">
        <v>894</v>
      </c>
      <c r="B616" s="37" t="n">
        <v>6.144</v>
      </c>
      <c r="C616" s="37" t="s">
        <v>214</v>
      </c>
      <c r="D616" s="37" t="s">
        <v>26</v>
      </c>
    </row>
    <row r="617" customFormat="false" ht="15" hidden="false" customHeight="false" outlineLevel="0" collapsed="false">
      <c r="A617" s="37" t="s">
        <v>895</v>
      </c>
      <c r="B617" s="37" t="str">
        <f aca="false">IF('Test Shipments'!I48="","",'Test Shipments'!I48)</f>
        <v/>
      </c>
      <c r="C617" s="37" t="s">
        <v>211</v>
      </c>
      <c r="D617" s="37" t="s">
        <v>358</v>
      </c>
    </row>
    <row r="618" customFormat="false" ht="15" hidden="false" customHeight="false" outlineLevel="0" collapsed="false">
      <c r="A618" s="37" t="s">
        <v>896</v>
      </c>
      <c r="B618" s="37" t="str">
        <f aca="false">IF('Test Shipments'!J48="","",'Test Shipments'!J48)</f>
        <v/>
      </c>
      <c r="C618" s="37" t="s">
        <v>214</v>
      </c>
      <c r="D618" s="37" t="s">
        <v>360</v>
      </c>
    </row>
    <row r="619" customFormat="false" ht="15" hidden="false" customHeight="false" outlineLevel="0" collapsed="false">
      <c r="A619" s="37" t="s">
        <v>897</v>
      </c>
      <c r="B619" s="37" t="str">
        <f aca="false">IF('Test Shipments'!K48="","",'Test Shipments'!K48)</f>
        <v/>
      </c>
      <c r="C619" s="37" t="s">
        <v>214</v>
      </c>
      <c r="D619" s="37" t="s">
        <v>362</v>
      </c>
    </row>
    <row r="620" customFormat="false" ht="15" hidden="false" customHeight="false" outlineLevel="0" collapsed="false">
      <c r="A620" s="37" t="s">
        <v>898</v>
      </c>
      <c r="B620" s="37" t="str">
        <f aca="false">IF('Test Shipments'!J48="","not_offered","quoted")</f>
        <v>not_offered</v>
      </c>
      <c r="C620" s="37" t="s">
        <v>211</v>
      </c>
      <c r="D620" s="37" t="s">
        <v>364</v>
      </c>
    </row>
    <row r="621" customFormat="false" ht="15" hidden="false" customHeight="false" outlineLevel="0" collapsed="false">
      <c r="A621" s="37" t="s">
        <v>899</v>
      </c>
      <c r="B621" s="37" t="str">
        <f aca="false">IF('Test Shipments'!L48="","",'Test Shipments'!L48)</f>
        <v/>
      </c>
      <c r="C621" s="37" t="s">
        <v>214</v>
      </c>
      <c r="D621" s="37" t="s">
        <v>366</v>
      </c>
    </row>
    <row r="622" customFormat="false" ht="15" hidden="false" customHeight="false" outlineLevel="0" collapsed="false">
      <c r="A622" s="37" t="s">
        <v>900</v>
      </c>
      <c r="B622" s="37" t="str">
        <f aca="false">IF('Test Shipments'!M48="","",'Test Shipments'!M48)</f>
        <v/>
      </c>
      <c r="C622" s="37" t="s">
        <v>214</v>
      </c>
      <c r="D622" s="37" t="s">
        <v>368</v>
      </c>
    </row>
    <row r="623" customFormat="false" ht="15" hidden="false" customHeight="false" outlineLevel="0" collapsed="false">
      <c r="A623" s="37" t="s">
        <v>901</v>
      </c>
      <c r="B623" s="37" t="str">
        <f aca="false">IF('Test Shipments'!L48="","not_offered","quoted")</f>
        <v>not_offered</v>
      </c>
      <c r="C623" s="37" t="s">
        <v>211</v>
      </c>
      <c r="D623" s="37" t="s">
        <v>370</v>
      </c>
    </row>
    <row r="624" customFormat="false" ht="15" hidden="false" customHeight="false" outlineLevel="0" collapsed="false">
      <c r="A624" s="37" t="s">
        <v>902</v>
      </c>
      <c r="B624" s="37" t="str">
        <f aca="false">IF('Test Shipments'!N48="","",'Test Shipments'!N48)</f>
        <v/>
      </c>
      <c r="C624" s="37" t="s">
        <v>211</v>
      </c>
      <c r="D624" s="37" t="s">
        <v>372</v>
      </c>
    </row>
    <row r="625" customFormat="false" ht="15" hidden="false" customHeight="false" outlineLevel="0" collapsed="false">
      <c r="A625" s="37" t="s">
        <v>903</v>
      </c>
      <c r="B625" s="37" t="str">
        <f aca="false">IF('Test Shipments'!O48="","",'Test Shipments'!O48)</f>
        <v/>
      </c>
      <c r="C625" s="37" t="s">
        <v>214</v>
      </c>
      <c r="D625" s="37" t="s">
        <v>374</v>
      </c>
    </row>
    <row r="626" customFormat="false" ht="15" hidden="false" customHeight="false" outlineLevel="0" collapsed="false">
      <c r="A626" s="37" t="s">
        <v>904</v>
      </c>
      <c r="B626" s="37" t="str">
        <f aca="false">IF('Test Shipments'!P48="","",'Test Shipments'!P48)</f>
        <v/>
      </c>
      <c r="C626" s="37" t="s">
        <v>214</v>
      </c>
      <c r="D626" s="37" t="s">
        <v>376</v>
      </c>
    </row>
    <row r="627" customFormat="false" ht="15" hidden="false" customHeight="false" outlineLevel="0" collapsed="false">
      <c r="A627" s="37" t="s">
        <v>905</v>
      </c>
      <c r="B627" s="37" t="str">
        <f aca="false">IF('Test Shipments'!O48="","not_offered","quoted")</f>
        <v>not_offered</v>
      </c>
      <c r="C627" s="37" t="s">
        <v>211</v>
      </c>
      <c r="D627" s="37" t="s">
        <v>378</v>
      </c>
    </row>
    <row r="628" customFormat="false" ht="15" hidden="false" customHeight="false" outlineLevel="0" collapsed="false">
      <c r="A628" s="37" t="s">
        <v>906</v>
      </c>
      <c r="B628" s="37" t="str">
        <f aca="false">IF('Test Shipments'!Q48="","",'Test Shipments'!Q48)</f>
        <v/>
      </c>
      <c r="C628" s="37" t="s">
        <v>211</v>
      </c>
      <c r="D628" s="37" t="s">
        <v>380</v>
      </c>
    </row>
    <row r="629" customFormat="false" ht="15" hidden="false" customHeight="false" outlineLevel="0" collapsed="false">
      <c r="A629" s="37" t="s">
        <v>907</v>
      </c>
      <c r="B629" s="37" t="s">
        <v>101</v>
      </c>
      <c r="C629" s="37" t="s">
        <v>211</v>
      </c>
      <c r="D629" s="37" t="s">
        <v>20</v>
      </c>
    </row>
    <row r="630" customFormat="false" ht="15" hidden="false" customHeight="false" outlineLevel="0" collapsed="false">
      <c r="A630" s="37" t="s">
        <v>908</v>
      </c>
      <c r="B630" s="37" t="s">
        <v>350</v>
      </c>
      <c r="C630" s="37" t="s">
        <v>211</v>
      </c>
      <c r="D630" s="37" t="s">
        <v>351</v>
      </c>
    </row>
    <row r="631" customFormat="false" ht="15" hidden="false" customHeight="false" outlineLevel="0" collapsed="false">
      <c r="A631" s="37" t="s">
        <v>909</v>
      </c>
      <c r="B631" s="37" t="s">
        <v>37</v>
      </c>
      <c r="C631" s="37" t="s">
        <v>211</v>
      </c>
      <c r="D631" s="37" t="s">
        <v>23</v>
      </c>
    </row>
    <row r="632" customFormat="false" ht="15" hidden="false" customHeight="false" outlineLevel="0" collapsed="false">
      <c r="A632" s="37" t="s">
        <v>910</v>
      </c>
      <c r="B632" s="37" t="n">
        <v>8</v>
      </c>
      <c r="C632" s="37" t="s">
        <v>214</v>
      </c>
      <c r="D632" s="37" t="s">
        <v>24</v>
      </c>
    </row>
    <row r="633" customFormat="false" ht="15" hidden="false" customHeight="false" outlineLevel="0" collapsed="false">
      <c r="A633" s="37" t="s">
        <v>911</v>
      </c>
      <c r="B633" s="37" t="n">
        <v>1</v>
      </c>
      <c r="C633" s="37" t="s">
        <v>214</v>
      </c>
      <c r="D633" s="37" t="s">
        <v>355</v>
      </c>
    </row>
    <row r="634" customFormat="false" ht="15" hidden="false" customHeight="false" outlineLevel="0" collapsed="false">
      <c r="A634" s="37" t="s">
        <v>912</v>
      </c>
      <c r="B634" s="37" t="n">
        <v>0.096</v>
      </c>
      <c r="C634" s="37" t="s">
        <v>214</v>
      </c>
      <c r="D634" s="37" t="s">
        <v>26</v>
      </c>
    </row>
    <row r="635" customFormat="false" ht="15" hidden="false" customHeight="false" outlineLevel="0" collapsed="false">
      <c r="A635" s="37" t="s">
        <v>913</v>
      </c>
      <c r="B635" s="37" t="str">
        <f aca="false">IF('Test Shipments'!I49="","",'Test Shipments'!I49)</f>
        <v/>
      </c>
      <c r="C635" s="37" t="s">
        <v>211</v>
      </c>
      <c r="D635" s="37" t="s">
        <v>358</v>
      </c>
    </row>
    <row r="636" customFormat="false" ht="15" hidden="false" customHeight="false" outlineLevel="0" collapsed="false">
      <c r="A636" s="37" t="s">
        <v>914</v>
      </c>
      <c r="B636" s="37" t="str">
        <f aca="false">IF('Test Shipments'!J49="","",'Test Shipments'!J49)</f>
        <v/>
      </c>
      <c r="C636" s="37" t="s">
        <v>214</v>
      </c>
      <c r="D636" s="37" t="s">
        <v>360</v>
      </c>
    </row>
    <row r="637" customFormat="false" ht="15" hidden="false" customHeight="false" outlineLevel="0" collapsed="false">
      <c r="A637" s="37" t="s">
        <v>915</v>
      </c>
      <c r="B637" s="37" t="str">
        <f aca="false">IF('Test Shipments'!K49="","",'Test Shipments'!K49)</f>
        <v/>
      </c>
      <c r="C637" s="37" t="s">
        <v>214</v>
      </c>
      <c r="D637" s="37" t="s">
        <v>362</v>
      </c>
    </row>
    <row r="638" customFormat="false" ht="15" hidden="false" customHeight="false" outlineLevel="0" collapsed="false">
      <c r="A638" s="37" t="s">
        <v>916</v>
      </c>
      <c r="B638" s="37" t="str">
        <f aca="false">IF('Test Shipments'!J49="","not_offered","quoted")</f>
        <v>not_offered</v>
      </c>
      <c r="C638" s="37" t="s">
        <v>211</v>
      </c>
      <c r="D638" s="37" t="s">
        <v>364</v>
      </c>
    </row>
    <row r="639" customFormat="false" ht="15" hidden="false" customHeight="false" outlineLevel="0" collapsed="false">
      <c r="A639" s="37" t="s">
        <v>917</v>
      </c>
      <c r="B639" s="37" t="str">
        <f aca="false">IF('Test Shipments'!L49="","",'Test Shipments'!L49)</f>
        <v/>
      </c>
      <c r="C639" s="37" t="s">
        <v>214</v>
      </c>
      <c r="D639" s="37" t="s">
        <v>366</v>
      </c>
    </row>
    <row r="640" customFormat="false" ht="15" hidden="false" customHeight="false" outlineLevel="0" collapsed="false">
      <c r="A640" s="37" t="s">
        <v>918</v>
      </c>
      <c r="B640" s="37" t="str">
        <f aca="false">IF('Test Shipments'!M49="","",'Test Shipments'!M49)</f>
        <v/>
      </c>
      <c r="C640" s="37" t="s">
        <v>214</v>
      </c>
      <c r="D640" s="37" t="s">
        <v>368</v>
      </c>
    </row>
    <row r="641" customFormat="false" ht="15" hidden="false" customHeight="false" outlineLevel="0" collapsed="false">
      <c r="A641" s="37" t="s">
        <v>919</v>
      </c>
      <c r="B641" s="37" t="str">
        <f aca="false">IF('Test Shipments'!L49="","not_offered","quoted")</f>
        <v>not_offered</v>
      </c>
      <c r="C641" s="37" t="s">
        <v>211</v>
      </c>
      <c r="D641" s="37" t="s">
        <v>370</v>
      </c>
    </row>
    <row r="642" customFormat="false" ht="15" hidden="false" customHeight="false" outlineLevel="0" collapsed="false">
      <c r="A642" s="37" t="s">
        <v>920</v>
      </c>
      <c r="B642" s="37" t="str">
        <f aca="false">IF('Test Shipments'!N49="","",'Test Shipments'!N49)</f>
        <v/>
      </c>
      <c r="C642" s="37" t="s">
        <v>211</v>
      </c>
      <c r="D642" s="37" t="s">
        <v>372</v>
      </c>
    </row>
    <row r="643" customFormat="false" ht="15" hidden="false" customHeight="false" outlineLevel="0" collapsed="false">
      <c r="A643" s="37" t="s">
        <v>921</v>
      </c>
      <c r="B643" s="37" t="str">
        <f aca="false">IF('Test Shipments'!O49="","",'Test Shipments'!O49)</f>
        <v/>
      </c>
      <c r="C643" s="37" t="s">
        <v>214</v>
      </c>
      <c r="D643" s="37" t="s">
        <v>374</v>
      </c>
    </row>
    <row r="644" customFormat="false" ht="15" hidden="false" customHeight="false" outlineLevel="0" collapsed="false">
      <c r="A644" s="37" t="s">
        <v>922</v>
      </c>
      <c r="B644" s="37" t="str">
        <f aca="false">IF('Test Shipments'!P49="","",'Test Shipments'!P49)</f>
        <v/>
      </c>
      <c r="C644" s="37" t="s">
        <v>214</v>
      </c>
      <c r="D644" s="37" t="s">
        <v>376</v>
      </c>
    </row>
    <row r="645" customFormat="false" ht="15" hidden="false" customHeight="false" outlineLevel="0" collapsed="false">
      <c r="A645" s="37" t="s">
        <v>923</v>
      </c>
      <c r="B645" s="37" t="str">
        <f aca="false">IF('Test Shipments'!O49="","not_offered","quoted")</f>
        <v>not_offered</v>
      </c>
      <c r="C645" s="37" t="s">
        <v>211</v>
      </c>
      <c r="D645" s="37" t="s">
        <v>378</v>
      </c>
    </row>
    <row r="646" customFormat="false" ht="15" hidden="false" customHeight="false" outlineLevel="0" collapsed="false">
      <c r="A646" s="37" t="s">
        <v>924</v>
      </c>
      <c r="B646" s="37" t="str">
        <f aca="false">IF('Test Shipments'!Q49="","",'Test Shipments'!Q49)</f>
        <v/>
      </c>
      <c r="C646" s="37" t="s">
        <v>211</v>
      </c>
      <c r="D646" s="37" t="s">
        <v>380</v>
      </c>
    </row>
    <row r="647" customFormat="false" ht="15" hidden="false" customHeight="false" outlineLevel="0" collapsed="false">
      <c r="A647" s="37" t="s">
        <v>925</v>
      </c>
      <c r="B647" s="37" t="s">
        <v>101</v>
      </c>
      <c r="C647" s="37" t="s">
        <v>211</v>
      </c>
      <c r="D647" s="37" t="s">
        <v>20</v>
      </c>
    </row>
    <row r="648" customFormat="false" ht="15" hidden="false" customHeight="false" outlineLevel="0" collapsed="false">
      <c r="A648" s="37" t="s">
        <v>926</v>
      </c>
      <c r="B648" s="37" t="s">
        <v>383</v>
      </c>
      <c r="C648" s="37" t="s">
        <v>211</v>
      </c>
      <c r="D648" s="37" t="s">
        <v>351</v>
      </c>
    </row>
    <row r="649" customFormat="false" ht="15" hidden="false" customHeight="false" outlineLevel="0" collapsed="false">
      <c r="A649" s="37" t="s">
        <v>927</v>
      </c>
      <c r="B649" s="37" t="s">
        <v>47</v>
      </c>
      <c r="C649" s="37" t="s">
        <v>211</v>
      </c>
      <c r="D649" s="37" t="s">
        <v>23</v>
      </c>
    </row>
    <row r="650" customFormat="false" ht="15" hidden="false" customHeight="false" outlineLevel="0" collapsed="false">
      <c r="A650" s="37" t="s">
        <v>928</v>
      </c>
      <c r="B650" s="37" t="n">
        <v>52</v>
      </c>
      <c r="C650" s="37" t="s">
        <v>214</v>
      </c>
      <c r="D650" s="37" t="s">
        <v>24</v>
      </c>
    </row>
    <row r="651" customFormat="false" ht="15" hidden="false" customHeight="false" outlineLevel="0" collapsed="false">
      <c r="A651" s="37" t="s">
        <v>929</v>
      </c>
      <c r="B651" s="37" t="n">
        <v>4</v>
      </c>
      <c r="C651" s="37" t="s">
        <v>214</v>
      </c>
      <c r="D651" s="37" t="s">
        <v>355</v>
      </c>
    </row>
    <row r="652" customFormat="false" ht="15" hidden="false" customHeight="false" outlineLevel="0" collapsed="false">
      <c r="A652" s="37" t="s">
        <v>930</v>
      </c>
      <c r="B652" s="37" t="n">
        <v>0.384</v>
      </c>
      <c r="C652" s="37" t="s">
        <v>214</v>
      </c>
      <c r="D652" s="37" t="s">
        <v>26</v>
      </c>
    </row>
    <row r="653" customFormat="false" ht="15" hidden="false" customHeight="false" outlineLevel="0" collapsed="false">
      <c r="A653" s="37" t="s">
        <v>931</v>
      </c>
      <c r="B653" s="37" t="str">
        <f aca="false">IF('Test Shipments'!I50="","",'Test Shipments'!I50)</f>
        <v/>
      </c>
      <c r="C653" s="37" t="s">
        <v>211</v>
      </c>
      <c r="D653" s="37" t="s">
        <v>358</v>
      </c>
    </row>
    <row r="654" customFormat="false" ht="15" hidden="false" customHeight="false" outlineLevel="0" collapsed="false">
      <c r="A654" s="37" t="s">
        <v>932</v>
      </c>
      <c r="B654" s="37" t="str">
        <f aca="false">IF('Test Shipments'!J50="","",'Test Shipments'!J50)</f>
        <v/>
      </c>
      <c r="C654" s="37" t="s">
        <v>214</v>
      </c>
      <c r="D654" s="37" t="s">
        <v>360</v>
      </c>
    </row>
    <row r="655" customFormat="false" ht="15" hidden="false" customHeight="false" outlineLevel="0" collapsed="false">
      <c r="A655" s="37" t="s">
        <v>933</v>
      </c>
      <c r="B655" s="37" t="str">
        <f aca="false">IF('Test Shipments'!K50="","",'Test Shipments'!K50)</f>
        <v/>
      </c>
      <c r="C655" s="37" t="s">
        <v>214</v>
      </c>
      <c r="D655" s="37" t="s">
        <v>362</v>
      </c>
    </row>
    <row r="656" customFormat="false" ht="15" hidden="false" customHeight="false" outlineLevel="0" collapsed="false">
      <c r="A656" s="37" t="s">
        <v>934</v>
      </c>
      <c r="B656" s="37" t="str">
        <f aca="false">IF('Test Shipments'!J50="","not_offered","quoted")</f>
        <v>not_offered</v>
      </c>
      <c r="C656" s="37" t="s">
        <v>211</v>
      </c>
      <c r="D656" s="37" t="s">
        <v>364</v>
      </c>
    </row>
    <row r="657" customFormat="false" ht="15" hidden="false" customHeight="false" outlineLevel="0" collapsed="false">
      <c r="A657" s="37" t="s">
        <v>935</v>
      </c>
      <c r="B657" s="37" t="str">
        <f aca="false">IF('Test Shipments'!L50="","",'Test Shipments'!L50)</f>
        <v/>
      </c>
      <c r="C657" s="37" t="s">
        <v>214</v>
      </c>
      <c r="D657" s="37" t="s">
        <v>366</v>
      </c>
    </row>
    <row r="658" customFormat="false" ht="15" hidden="false" customHeight="false" outlineLevel="0" collapsed="false">
      <c r="A658" s="37" t="s">
        <v>936</v>
      </c>
      <c r="B658" s="37" t="str">
        <f aca="false">IF('Test Shipments'!M50="","",'Test Shipments'!M50)</f>
        <v/>
      </c>
      <c r="C658" s="37" t="s">
        <v>214</v>
      </c>
      <c r="D658" s="37" t="s">
        <v>368</v>
      </c>
    </row>
    <row r="659" customFormat="false" ht="15" hidden="false" customHeight="false" outlineLevel="0" collapsed="false">
      <c r="A659" s="37" t="s">
        <v>937</v>
      </c>
      <c r="B659" s="37" t="str">
        <f aca="false">IF('Test Shipments'!L50="","not_offered","quoted")</f>
        <v>not_offered</v>
      </c>
      <c r="C659" s="37" t="s">
        <v>211</v>
      </c>
      <c r="D659" s="37" t="s">
        <v>370</v>
      </c>
    </row>
    <row r="660" customFormat="false" ht="15" hidden="false" customHeight="false" outlineLevel="0" collapsed="false">
      <c r="A660" s="37" t="s">
        <v>938</v>
      </c>
      <c r="B660" s="37" t="str">
        <f aca="false">IF('Test Shipments'!N50="","",'Test Shipments'!N50)</f>
        <v/>
      </c>
      <c r="C660" s="37" t="s">
        <v>211</v>
      </c>
      <c r="D660" s="37" t="s">
        <v>372</v>
      </c>
    </row>
    <row r="661" customFormat="false" ht="15" hidden="false" customHeight="false" outlineLevel="0" collapsed="false">
      <c r="A661" s="37" t="s">
        <v>939</v>
      </c>
      <c r="B661" s="37" t="str">
        <f aca="false">IF('Test Shipments'!O50="","",'Test Shipments'!O50)</f>
        <v/>
      </c>
      <c r="C661" s="37" t="s">
        <v>214</v>
      </c>
      <c r="D661" s="37" t="s">
        <v>374</v>
      </c>
    </row>
    <row r="662" customFormat="false" ht="15" hidden="false" customHeight="false" outlineLevel="0" collapsed="false">
      <c r="A662" s="37" t="s">
        <v>940</v>
      </c>
      <c r="B662" s="37" t="str">
        <f aca="false">IF('Test Shipments'!P50="","",'Test Shipments'!P50)</f>
        <v/>
      </c>
      <c r="C662" s="37" t="s">
        <v>214</v>
      </c>
      <c r="D662" s="37" t="s">
        <v>376</v>
      </c>
    </row>
    <row r="663" customFormat="false" ht="15" hidden="false" customHeight="false" outlineLevel="0" collapsed="false">
      <c r="A663" s="37" t="s">
        <v>941</v>
      </c>
      <c r="B663" s="37" t="str">
        <f aca="false">IF('Test Shipments'!O50="","not_offered","quoted")</f>
        <v>not_offered</v>
      </c>
      <c r="C663" s="37" t="s">
        <v>211</v>
      </c>
      <c r="D663" s="37" t="s">
        <v>378</v>
      </c>
    </row>
    <row r="664" customFormat="false" ht="15" hidden="false" customHeight="false" outlineLevel="0" collapsed="false">
      <c r="A664" s="37" t="s">
        <v>942</v>
      </c>
      <c r="B664" s="37" t="str">
        <f aca="false">IF('Test Shipments'!Q50="","",'Test Shipments'!Q50)</f>
        <v/>
      </c>
      <c r="C664" s="37" t="s">
        <v>211</v>
      </c>
      <c r="D664" s="37" t="s">
        <v>380</v>
      </c>
    </row>
    <row r="665" customFormat="false" ht="15" hidden="false" customHeight="false" outlineLevel="0" collapsed="false">
      <c r="A665" s="37" t="s">
        <v>943</v>
      </c>
      <c r="B665" s="37" t="s">
        <v>101</v>
      </c>
      <c r="C665" s="37" t="s">
        <v>211</v>
      </c>
      <c r="D665" s="37" t="s">
        <v>20</v>
      </c>
    </row>
    <row r="666" customFormat="false" ht="15" hidden="false" customHeight="false" outlineLevel="0" collapsed="false">
      <c r="A666" s="37" t="s">
        <v>944</v>
      </c>
      <c r="B666" s="37" t="s">
        <v>402</v>
      </c>
      <c r="C666" s="37" t="s">
        <v>211</v>
      </c>
      <c r="D666" s="37" t="s">
        <v>351</v>
      </c>
    </row>
    <row r="667" customFormat="false" ht="15" hidden="false" customHeight="false" outlineLevel="0" collapsed="false">
      <c r="A667" s="37" t="s">
        <v>945</v>
      </c>
      <c r="B667" s="37" t="s">
        <v>49</v>
      </c>
      <c r="C667" s="37" t="s">
        <v>211</v>
      </c>
      <c r="D667" s="37" t="s">
        <v>23</v>
      </c>
    </row>
    <row r="668" customFormat="false" ht="15" hidden="false" customHeight="false" outlineLevel="0" collapsed="false">
      <c r="A668" s="37" t="s">
        <v>946</v>
      </c>
      <c r="B668" s="37" t="n">
        <v>261</v>
      </c>
      <c r="C668" s="37" t="s">
        <v>214</v>
      </c>
      <c r="D668" s="37" t="s">
        <v>24</v>
      </c>
    </row>
    <row r="669" customFormat="false" ht="15" hidden="false" customHeight="false" outlineLevel="0" collapsed="false">
      <c r="A669" s="37" t="s">
        <v>947</v>
      </c>
      <c r="B669" s="37" t="n">
        <v>18</v>
      </c>
      <c r="C669" s="37" t="s">
        <v>214</v>
      </c>
      <c r="D669" s="37" t="s">
        <v>355</v>
      </c>
    </row>
    <row r="670" customFormat="false" ht="15" hidden="false" customHeight="false" outlineLevel="0" collapsed="false">
      <c r="A670" s="37" t="s">
        <v>948</v>
      </c>
      <c r="B670" s="37" t="n">
        <v>1.728</v>
      </c>
      <c r="C670" s="37" t="s">
        <v>214</v>
      </c>
      <c r="D670" s="37" t="s">
        <v>26</v>
      </c>
    </row>
    <row r="671" customFormat="false" ht="15" hidden="false" customHeight="false" outlineLevel="0" collapsed="false">
      <c r="A671" s="37" t="s">
        <v>949</v>
      </c>
      <c r="B671" s="37" t="str">
        <f aca="false">IF('Test Shipments'!I51="","",'Test Shipments'!I51)</f>
        <v/>
      </c>
      <c r="C671" s="37" t="s">
        <v>211</v>
      </c>
      <c r="D671" s="37" t="s">
        <v>358</v>
      </c>
    </row>
    <row r="672" customFormat="false" ht="15" hidden="false" customHeight="false" outlineLevel="0" collapsed="false">
      <c r="A672" s="37" t="s">
        <v>950</v>
      </c>
      <c r="B672" s="37" t="str">
        <f aca="false">IF('Test Shipments'!J51="","",'Test Shipments'!J51)</f>
        <v/>
      </c>
      <c r="C672" s="37" t="s">
        <v>214</v>
      </c>
      <c r="D672" s="37" t="s">
        <v>360</v>
      </c>
    </row>
    <row r="673" customFormat="false" ht="15" hidden="false" customHeight="false" outlineLevel="0" collapsed="false">
      <c r="A673" s="37" t="s">
        <v>951</v>
      </c>
      <c r="B673" s="37" t="str">
        <f aca="false">IF('Test Shipments'!K51="","",'Test Shipments'!K51)</f>
        <v/>
      </c>
      <c r="C673" s="37" t="s">
        <v>214</v>
      </c>
      <c r="D673" s="37" t="s">
        <v>362</v>
      </c>
    </row>
    <row r="674" customFormat="false" ht="15" hidden="false" customHeight="false" outlineLevel="0" collapsed="false">
      <c r="A674" s="37" t="s">
        <v>952</v>
      </c>
      <c r="B674" s="37" t="str">
        <f aca="false">IF('Test Shipments'!J51="","not_offered","quoted")</f>
        <v>not_offered</v>
      </c>
      <c r="C674" s="37" t="s">
        <v>211</v>
      </c>
      <c r="D674" s="37" t="s">
        <v>364</v>
      </c>
    </row>
    <row r="675" customFormat="false" ht="15" hidden="false" customHeight="false" outlineLevel="0" collapsed="false">
      <c r="A675" s="37" t="s">
        <v>953</v>
      </c>
      <c r="B675" s="37" t="str">
        <f aca="false">IF('Test Shipments'!L51="","",'Test Shipments'!L51)</f>
        <v/>
      </c>
      <c r="C675" s="37" t="s">
        <v>214</v>
      </c>
      <c r="D675" s="37" t="s">
        <v>366</v>
      </c>
    </row>
    <row r="676" customFormat="false" ht="15" hidden="false" customHeight="false" outlineLevel="0" collapsed="false">
      <c r="A676" s="37" t="s">
        <v>954</v>
      </c>
      <c r="B676" s="37" t="str">
        <f aca="false">IF('Test Shipments'!M51="","",'Test Shipments'!M51)</f>
        <v/>
      </c>
      <c r="C676" s="37" t="s">
        <v>214</v>
      </c>
      <c r="D676" s="37" t="s">
        <v>368</v>
      </c>
    </row>
    <row r="677" customFormat="false" ht="15" hidden="false" customHeight="false" outlineLevel="0" collapsed="false">
      <c r="A677" s="37" t="s">
        <v>955</v>
      </c>
      <c r="B677" s="37" t="str">
        <f aca="false">IF('Test Shipments'!L51="","not_offered","quoted")</f>
        <v>not_offered</v>
      </c>
      <c r="C677" s="37" t="s">
        <v>211</v>
      </c>
      <c r="D677" s="37" t="s">
        <v>370</v>
      </c>
    </row>
    <row r="678" customFormat="false" ht="15" hidden="false" customHeight="false" outlineLevel="0" collapsed="false">
      <c r="A678" s="37" t="s">
        <v>956</v>
      </c>
      <c r="B678" s="37" t="str">
        <f aca="false">IF('Test Shipments'!N51="","",'Test Shipments'!N51)</f>
        <v/>
      </c>
      <c r="C678" s="37" t="s">
        <v>211</v>
      </c>
      <c r="D678" s="37" t="s">
        <v>372</v>
      </c>
    </row>
    <row r="679" customFormat="false" ht="15" hidden="false" customHeight="false" outlineLevel="0" collapsed="false">
      <c r="A679" s="37" t="s">
        <v>957</v>
      </c>
      <c r="B679" s="37" t="str">
        <f aca="false">IF('Test Shipments'!O51="","",'Test Shipments'!O51)</f>
        <v/>
      </c>
      <c r="C679" s="37" t="s">
        <v>214</v>
      </c>
      <c r="D679" s="37" t="s">
        <v>374</v>
      </c>
    </row>
    <row r="680" customFormat="false" ht="15" hidden="false" customHeight="false" outlineLevel="0" collapsed="false">
      <c r="A680" s="37" t="s">
        <v>958</v>
      </c>
      <c r="B680" s="37" t="str">
        <f aca="false">IF('Test Shipments'!P51="","",'Test Shipments'!P51)</f>
        <v/>
      </c>
      <c r="C680" s="37" t="s">
        <v>214</v>
      </c>
      <c r="D680" s="37" t="s">
        <v>376</v>
      </c>
    </row>
    <row r="681" customFormat="false" ht="15" hidden="false" customHeight="false" outlineLevel="0" collapsed="false">
      <c r="A681" s="37" t="s">
        <v>959</v>
      </c>
      <c r="B681" s="37" t="str">
        <f aca="false">IF('Test Shipments'!O51="","not_offered","quoted")</f>
        <v>not_offered</v>
      </c>
      <c r="C681" s="37" t="s">
        <v>211</v>
      </c>
      <c r="D681" s="37" t="s">
        <v>378</v>
      </c>
    </row>
    <row r="682" customFormat="false" ht="15" hidden="false" customHeight="false" outlineLevel="0" collapsed="false">
      <c r="A682" s="37" t="s">
        <v>960</v>
      </c>
      <c r="B682" s="37" t="str">
        <f aca="false">IF('Test Shipments'!Q51="","",'Test Shipments'!Q51)</f>
        <v/>
      </c>
      <c r="C682" s="37" t="s">
        <v>211</v>
      </c>
      <c r="D682" s="37" t="s">
        <v>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2026-10-31T14:12:07Z</dcterms:created>
  <dc:creator>openpyxl</dc:creator>
  <dc:description/>
  <dc:language>en-US</dc:language>
  <cp:lastModifiedBy/>
  <dcterms:modified xsi:type="dcterms:W3CDTF">2026-10-31T14:12:07Z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