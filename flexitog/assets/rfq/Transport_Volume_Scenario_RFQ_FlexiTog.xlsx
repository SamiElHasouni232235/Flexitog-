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vider Profile" sheetId="2" state="visible" r:id="rId2"/>
    <sheet xmlns:r="http://schemas.openxmlformats.org/officeDocument/2006/relationships" name="Volumes" sheetId="3" state="visible" r:id="rId3"/>
    <sheet xmlns:r="http://schemas.openxmlformats.org/officeDocument/2006/relationships" name="Timeline Rules" sheetId="4" state="visible" r:id="rId4"/>
    <sheet xmlns:r="http://schemas.openxmlformats.org/officeDocument/2006/relationships" name="Schedule A" sheetId="5" state="visible" r:id="rId5"/>
    <sheet xmlns:r="http://schemas.openxmlformats.org/officeDocument/2006/relationships" name="Schedule B" sheetId="6" state="visible" r:id="rId6"/>
    <sheet xmlns:r="http://schemas.openxmlformats.org/officeDocument/2006/relationships" name="Timeline Summary" sheetId="7" state="visible" r:id="rId7"/>
    <sheet xmlns:r="http://schemas.openxmlformats.org/officeDocument/2006/relationships" name="Rate Card" sheetId="8" state="visible" r:id="rId8"/>
    <sheet xmlns:r="http://schemas.openxmlformats.org/officeDocument/2006/relationships" name="Cost Overview" sheetId="9" state="visible" r:id="rId9"/>
    <sheet xmlns:r="http://schemas.openxmlformats.org/officeDocument/2006/relationships" name="Reliability &amp; Quality" sheetId="10" state="visible" r:id="rId10"/>
    <sheet xmlns:r="http://schemas.openxmlformats.org/officeDocument/2006/relationships" name="Optional Regional Stock" sheetId="11" state="visible" r:id="rId11"/>
    <sheet xmlns:r="http://schemas.openxmlformats.org/officeDocument/2006/relationships" name="Export" sheetId="12" state="hidden" r:id="rId12"/>
  </sheets>
  <definedNames>
    <definedName name="LR_Lane">'Timeline Rules'!$A$6:$A$14</definedName>
    <definedName name="LR_Code">'Timeline Rules'!$D$6:$D$14</definedName>
    <definedName name="LR_Target">'Timeline Rules'!$E$6:$E$14</definedName>
    <definedName name="DH_Table">'Timeline Rules'!$A$41:$I$57</definedName>
    <definedName name="DH_Head">'Timeline Rules'!$A$40:$I$40</definedName>
    <definedName name="RC_Lane">'Rate Card'!$A$5:$A$49</definedName>
    <definedName name="RC_Band">'Rate Card'!$C$5:$C$49</definedName>
    <definedName name="RC_Transit">'Rate Card'!$H$5:$H$49</definedName>
    <definedName name="SA_Lane">'Schedule A'!$B$5:$B$145</definedName>
    <definedName name="SA_Date">'Schedule A'!$J$5:$J$145</definedName>
    <definedName name="SA_Week">'Schedule A'!$K$5:$K$145</definedName>
    <definedName name="SA_Chg">'Schedule A'!$H$5:$H$145</definedName>
    <definedName name="SA_Kg">'Schedule A'!$F$5:$F$145</definedName>
    <definedName name="SA_Meet">'Schedule A'!$R$5:$R$145</definedName>
    <definedName name="SA_Late">'Schedule A'!$S$5:$S$145</definedName>
    <definedName name="SA_Exp">'Schedule A'!$Q$5:$Q$145</definedName>
    <definedName name="SB_Lane">'Schedule B'!$B$5:$B$333</definedName>
    <definedName name="SB_Date">'Schedule B'!$J$5:$J$333</definedName>
    <definedName name="SB_Week">'Schedule B'!$K$5:$K$333</definedName>
    <definedName name="SB_Chg">'Schedule B'!$H$5:$H$333</definedName>
    <definedName name="SB_Kg">'Schedule B'!$F$5:$F$333</definedName>
    <definedName name="SB_Meet">'Schedule B'!$R$5:$R$333</definedName>
    <definedName name="SB_Late">'Schedule B'!$S$5:$S$333</definedName>
    <definedName name="SB_Exp">'Schedule B'!$Q$5:$Q$333</definedName>
    <definedName name="RS_Lane">'Optional Regional Stock'!$A$14:$A$22</definedName>
    <definedName name="RS_Flag">'Optional Regional Stock'!$I$14:$I$22</definedName>
    <definedName name="RS_Transit">'Optional Regional Stock'!$K$14:$K$22</definedName>
    <definedName name="RS_TotA">'Optional Regional Stock'!$D$44</definedName>
    <definedName name="RS_TotB">'Optional Regional Stock'!$E$44</definedName>
    <definedName name="RS_Loc">'Optional Regional Stock'!$J$14:$J$22</definedName>
    <definedName name="RS_Rate">'Optional Regional Stock'!$L$14:$L$22</definedName>
    <definedName name="RC_CostPS">'Rate Card'!$P$5:$P$49</definedName>
    <definedName name="RC_Disc">'Rate Card'!$N$5:$N$49</definedName>
    <definedName name="SA_From">'Schedule A'!$U$5:$U$145</definedName>
    <definedName name="SA_Cost">'Schedule A'!$Y$5:$Y$145</definedName>
    <definedName name="SA_M3">'Schedule A'!$G$5:$G$145</definedName>
    <definedName name="SB_From">'Schedule B'!$U$5:$U$333</definedName>
    <definedName name="SB_Cost">'Schedule B'!$Y$5:$Y$333</definedName>
    <definedName name="SB_M3">'Schedule B'!$G$5:$G$333</definedName>
    <definedName name="PP_provider_id">'Provider Profile'!$B$6</definedName>
    <definedName name="PP_name">'Provider Profile'!$B$7</definedName>
    <definedName name="PP_website">'Provider Profile'!$B$8</definedName>
    <definedName name="PP_contact_name">'Provider Profile'!$B$9</definedName>
    <definedName name="PP_contact_phone">'Provider Profile'!$B$10</definedName>
    <definedName name="PP_contact_email">'Provider Profile'!$B$11</definedName>
    <definedName name="PP_hq_country">'Provider Profile'!$B$12</definedName>
    <definedName name="PP_quote_reference">'Provider Profile'!$B$13</definedName>
    <definedName name="PP_quote_valid_until">'Provider Profile'!$B$14</definedName>
    <definedName name="PP_response_date">'Provider Profile'!$B$15</definedName>
    <definedName name="PP_currency">'Provider Profile'!$B$16</definedName>
    <definedName name="EXPORT_TABLE">Export!$A$1:$D$737</definedName>
    <definedName name="_xlnm._FilterDatabase" localSheetId="4" hidden="1">'Schedule A'!$A$4:$Y$145</definedName>
    <definedName name="_xlnm._FilterDatabase" localSheetId="5" hidden="1">'Schedule B'!$A$4:$Y$333</definedName>
  </definedNames>
  <calcPr calcId="124519" fullCalcOnLoad="1"/>
</workbook>
</file>

<file path=xl/styles.xml><?xml version="1.0" encoding="utf-8"?>
<styleSheet xmlns="http://schemas.openxmlformats.org/spreadsheetml/2006/main">
  <numFmts count="11">
    <numFmt numFmtId="164" formatCode="#,##0.0"/>
    <numFmt numFmtId="165" formatCode="0.0"/>
    <numFmt numFmtId="166" formatCode="€ #,##0.00;(€ #,##0.00);&quot;-&quot;"/>
    <numFmt numFmtId="167" formatCode="0.0%;-0.0%;&quot;-&quot;"/>
    <numFmt numFmtId="168" formatCode="€ #,##0;(€ #,##0);&quot;-&quot;"/>
    <numFmt numFmtId="169" formatCode="mmm yyyy"/>
    <numFmt numFmtId="170" formatCode="ddd dd-mm-yyyy"/>
    <numFmt numFmtId="171" formatCode="dd-mm-yyyy"/>
    <numFmt numFmtId="172" formatCode="0.000"/>
    <numFmt numFmtId="173" formatCode="0;-0;&quot;-&quot;"/>
    <numFmt numFmtId="174" formatCode="0.0%"/>
  </numFmts>
  <fonts count="8">
    <font>
      <name val="Calibri"/>
      <family val="2"/>
      <color theme="1"/>
      <sz val="11"/>
      <scheme val="minor"/>
    </font>
    <font>
      <name val="Arial"/>
      <b val="1"/>
      <color rgb="001F3864"/>
      <sz val="16"/>
    </font>
    <font>
      <name val="Arial"/>
      <i val="1"/>
      <color rgb="00595959"/>
      <sz val="9"/>
    </font>
    <font>
      <name val="Arial"/>
      <b val="1"/>
      <sz val="10"/>
    </font>
    <font>
      <name val="Arial"/>
      <color rgb="000000FF"/>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FFFF00"/>
      </patternFill>
    </fill>
    <fill>
      <patternFill patternType="solid">
        <fgColor rgb="001F3864"/>
      </patternFill>
    </fill>
    <fill>
      <patternFill patternType="solid">
        <fgColor rgb="00F2F2F2"/>
      </patternFill>
    </fill>
    <fill>
      <patternFill patternType="solid">
        <fgColor rgb="00BF9000"/>
      </patternFill>
    </fill>
    <fill>
      <patternFill patternType="solid">
        <fgColor rgb="00D9D9D9"/>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1F3864"/>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5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1" applyAlignment="1" pivotButton="0" quotePrefix="0" xfId="0">
      <alignment vertical="center"/>
    </xf>
    <xf numFmtId="0" fontId="4" fillId="2" borderId="1" applyAlignment="1" pivotButton="0" quotePrefix="0" xfId="0">
      <alignment vertical="center"/>
    </xf>
    <xf numFmtId="0" fontId="3" fillId="0" borderId="1" applyAlignment="1" pivotButton="0" quotePrefix="0" xfId="0">
      <alignment vertical="top" wrapText="1"/>
    </xf>
    <xf numFmtId="0" fontId="5" fillId="0" borderId="1" applyAlignment="1" pivotButton="0" quotePrefix="0" xfId="0">
      <alignment vertical="top" wrapText="1"/>
    </xf>
    <xf numFmtId="0" fontId="3" fillId="0" borderId="0" applyAlignment="1" pivotButton="0" quotePrefix="0" xfId="0">
      <alignment vertical="center"/>
    </xf>
    <xf numFmtId="0" fontId="5" fillId="2" borderId="1" applyAlignment="1" pivotButton="0" quotePrefix="0" xfId="0">
      <alignment vertical="center"/>
    </xf>
    <xf numFmtId="0" fontId="6" fillId="0" borderId="0" applyAlignment="1" pivotButton="0" quotePrefix="0" xfId="0">
      <alignment vertical="center"/>
    </xf>
    <xf numFmtId="0" fontId="7" fillId="3" borderId="1" applyAlignment="1" pivotButton="0" quotePrefix="0" xfId="0">
      <alignment horizontal="center" vertical="center" wrapText="1"/>
    </xf>
    <xf numFmtId="0" fontId="5" fillId="0" borderId="1" applyAlignment="1" pivotButton="0" quotePrefix="0" xfId="0">
      <alignment vertical="center"/>
    </xf>
    <xf numFmtId="3" fontId="5" fillId="0" borderId="1" applyAlignment="1" pivotButton="0" quotePrefix="0" xfId="0">
      <alignment vertical="center"/>
    </xf>
    <xf numFmtId="164" fontId="5" fillId="0" borderId="1" applyAlignment="1" pivotButton="0" quotePrefix="0" xfId="0">
      <alignment vertical="center"/>
    </xf>
    <xf numFmtId="0" fontId="3" fillId="4" borderId="1" applyAlignment="1" pivotButton="0" quotePrefix="0" xfId="0">
      <alignment vertical="center"/>
    </xf>
    <xf numFmtId="0" fontId="5" fillId="4" borderId="1" applyAlignment="1" pivotButton="0" quotePrefix="0" xfId="0">
      <alignment vertical="center"/>
    </xf>
    <xf numFmtId="3" fontId="3" fillId="4" borderId="1" applyAlignment="1" pivotButton="0" quotePrefix="0" xfId="0">
      <alignment vertical="center"/>
    </xf>
    <xf numFmtId="164" fontId="3" fillId="4" borderId="1" applyAlignment="1" pivotButton="0" quotePrefix="0" xfId="0">
      <alignment vertical="center"/>
    </xf>
    <xf numFmtId="0" fontId="7" fillId="5" borderId="1" applyAlignment="1" pivotButton="0" quotePrefix="0" xfId="0">
      <alignment horizontal="center" vertical="center" wrapText="1"/>
    </xf>
    <xf numFmtId="165" fontId="4" fillId="2" borderId="1" applyAlignment="1" pivotButton="0" quotePrefix="0" xfId="0">
      <alignment vertical="center"/>
    </xf>
    <xf numFmtId="166" fontId="4" fillId="2" borderId="1" applyAlignment="1" pivotButton="0" quotePrefix="0" xfId="0">
      <alignment vertical="center"/>
    </xf>
    <xf numFmtId="167" fontId="4" fillId="2" borderId="1" applyAlignment="1" pivotButton="0" quotePrefix="0" xfId="0">
      <alignment vertical="center"/>
    </xf>
    <xf numFmtId="166" fontId="5" fillId="0" borderId="1" applyAlignment="1" pivotButton="0" quotePrefix="0" xfId="0">
      <alignment vertical="center"/>
    </xf>
    <xf numFmtId="168" fontId="5" fillId="0" borderId="1" applyAlignment="1" pivotButton="0" quotePrefix="0" xfId="0">
      <alignment vertical="center"/>
    </xf>
    <xf numFmtId="0" fontId="3" fillId="0" borderId="2" applyAlignment="1" pivotButton="0" quotePrefix="0" xfId="0">
      <alignment vertical="center"/>
    </xf>
    <xf numFmtId="0" fontId="5" fillId="0" borderId="2" applyAlignment="1" pivotButton="0" quotePrefix="0" xfId="0">
      <alignment vertical="center"/>
    </xf>
    <xf numFmtId="3" fontId="5" fillId="0" borderId="2" applyAlignment="1" pivotButton="0" quotePrefix="0" xfId="0">
      <alignment vertical="center"/>
    </xf>
    <xf numFmtId="0" fontId="4" fillId="2" borderId="2" applyAlignment="1" pivotButton="0" quotePrefix="0" xfId="0">
      <alignment vertical="center"/>
    </xf>
    <xf numFmtId="165" fontId="4" fillId="2" borderId="2" applyAlignment="1" pivotButton="0" quotePrefix="0" xfId="0">
      <alignment vertical="center"/>
    </xf>
    <xf numFmtId="166" fontId="4" fillId="2" borderId="2" applyAlignment="1" pivotButton="0" quotePrefix="0" xfId="0">
      <alignment vertical="center"/>
    </xf>
    <xf numFmtId="167" fontId="4" fillId="2" borderId="2" applyAlignment="1" pivotButton="0" quotePrefix="0" xfId="0">
      <alignment vertical="center"/>
    </xf>
    <xf numFmtId="166" fontId="5" fillId="0" borderId="2" applyAlignment="1" pivotButton="0" quotePrefix="0" xfId="0">
      <alignment vertical="center"/>
    </xf>
    <xf numFmtId="168" fontId="5" fillId="0" borderId="2" applyAlignment="1" pivotButton="0" quotePrefix="0" xfId="0">
      <alignment vertical="center"/>
    </xf>
    <xf numFmtId="168" fontId="3" fillId="4" borderId="1" applyAlignment="1" pivotButton="0" quotePrefix="0" xfId="0">
      <alignment vertical="center"/>
    </xf>
    <xf numFmtId="165" fontId="5" fillId="0" borderId="1" applyAlignment="1" pivotButton="0" quotePrefix="0" xfId="0">
      <alignment vertical="center"/>
    </xf>
    <xf numFmtId="1" fontId="5" fillId="0" borderId="1" applyAlignment="1" pivotButton="0" quotePrefix="0" xfId="0">
      <alignment vertical="center"/>
    </xf>
    <xf numFmtId="166" fontId="3" fillId="4" borderId="1" applyAlignment="1" pivotButton="0" quotePrefix="0" xfId="0">
      <alignment vertical="center"/>
    </xf>
    <xf numFmtId="1" fontId="3" fillId="4" borderId="1" applyAlignment="1" pivotButton="0" quotePrefix="0" xfId="0">
      <alignment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4" fillId="2" borderId="1" applyAlignment="1" pivotButton="0" quotePrefix="0" xfId="0">
      <alignment vertical="top" wrapText="1"/>
    </xf>
    <xf numFmtId="1" fontId="4" fillId="2" borderId="1" applyAlignment="1" pivotButton="0" quotePrefix="0" xfId="0">
      <alignment vertical="center"/>
    </xf>
    <xf numFmtId="0" fontId="2" fillId="0" borderId="1" applyAlignment="1" pivotButton="0" quotePrefix="0" xfId="0">
      <alignment vertical="center"/>
    </xf>
    <xf numFmtId="0" fontId="3" fillId="0" borderId="0" applyAlignment="1" pivotButton="0" quotePrefix="0" xfId="0">
      <alignment vertical="center"/>
    </xf>
    <xf numFmtId="0" fontId="5" fillId="2" borderId="1" applyAlignment="1" pivotButton="0" quotePrefix="0" xfId="0">
      <alignment vertical="center"/>
    </xf>
    <xf numFmtId="3" fontId="5" fillId="4" borderId="1"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6" fillId="0" borderId="0" applyAlignment="1" pivotButton="0" quotePrefix="0" xfId="0">
      <alignment vertical="center"/>
    </xf>
    <xf numFmtId="0" fontId="3" fillId="0" borderId="1" applyAlignment="1" pivotButton="0" quotePrefix="0" xfId="0">
      <alignment vertical="center"/>
    </xf>
    <xf numFmtId="0" fontId="5" fillId="0" borderId="1" applyAlignment="1" pivotButton="0" quotePrefix="0" xfId="0">
      <alignment vertical="center"/>
    </xf>
    <xf numFmtId="0" fontId="5" fillId="0" borderId="1" applyAlignment="1" pivotButton="0" quotePrefix="0" xfId="0">
      <alignment horizontal="center" vertical="center"/>
    </xf>
    <xf numFmtId="1" fontId="5" fillId="0" borderId="1" applyAlignment="1" pivotButton="0" quotePrefix="0" xfId="0">
      <alignment horizontal="center" vertical="center"/>
    </xf>
    <xf numFmtId="169" fontId="3" fillId="0" borderId="1" applyAlignment="1" pivotButton="0" quotePrefix="0" xfId="0">
      <alignment vertical="center"/>
    </xf>
    <xf numFmtId="2" fontId="5" fillId="0" borderId="1" applyAlignment="1" pivotButton="0" quotePrefix="0" xfId="0">
      <alignment horizontal="center" vertical="center"/>
    </xf>
    <xf numFmtId="0" fontId="0" fillId="0" borderId="1" pivotButton="0" quotePrefix="0" xfId="0"/>
    <xf numFmtId="0" fontId="3" fillId="4" borderId="1" applyAlignment="1" pivotButton="0" quotePrefix="0" xfId="0">
      <alignment vertical="center"/>
    </xf>
    <xf numFmtId="2" fontId="3" fillId="4" borderId="1" applyAlignment="1" pivotButton="0" quotePrefix="0" xfId="0">
      <alignment horizontal="center" vertical="center"/>
    </xf>
    <xf numFmtId="0" fontId="5" fillId="4" borderId="1" applyAlignment="1" pivotButton="0" quotePrefix="0" xfId="0">
      <alignment vertical="center"/>
    </xf>
    <xf numFmtId="170" fontId="5" fillId="0" borderId="1" applyAlignment="1" pivotButton="0" quotePrefix="0" xfId="0">
      <alignment vertical="center"/>
    </xf>
    <xf numFmtId="171" fontId="5" fillId="0" borderId="1" applyAlignment="1" pivotButton="0" quotePrefix="0" xfId="0">
      <alignment horizontal="center" vertical="center"/>
    </xf>
    <xf numFmtId="164" fontId="5" fillId="0" borderId="1" applyAlignment="1" pivotButton="0" quotePrefix="0" xfId="0">
      <alignment vertical="center"/>
    </xf>
    <xf numFmtId="172" fontId="5" fillId="0" borderId="1" applyAlignment="1" pivotButton="0" quotePrefix="0" xfId="0">
      <alignment vertical="center"/>
    </xf>
    <xf numFmtId="3" fontId="5" fillId="0" borderId="1" applyAlignment="1" pivotButton="0" quotePrefix="0" xfId="0">
      <alignment vertical="center"/>
    </xf>
    <xf numFmtId="171" fontId="5" fillId="0" borderId="1" applyAlignment="1" pivotButton="0" quotePrefix="0" xfId="0">
      <alignment vertical="center"/>
    </xf>
    <xf numFmtId="165" fontId="5" fillId="0" borderId="1" applyAlignment="1" pivotButton="0" quotePrefix="0" xfId="0">
      <alignment horizontal="center" vertical="center"/>
    </xf>
    <xf numFmtId="170" fontId="4" fillId="2" borderId="1" applyAlignment="1" pivotButton="0" quotePrefix="0" xfId="0">
      <alignment vertical="center"/>
    </xf>
    <xf numFmtId="0" fontId="3" fillId="0" borderId="1" applyAlignment="1" pivotButton="0" quotePrefix="0" xfId="0">
      <alignment horizontal="center" vertical="center"/>
    </xf>
    <xf numFmtId="0" fontId="4" fillId="2" borderId="1" applyAlignment="1" pivotButton="0" quotePrefix="0" xfId="0">
      <alignment vertical="center"/>
    </xf>
    <xf numFmtId="3" fontId="3" fillId="4" borderId="1" applyAlignment="1" pivotButton="0" quotePrefix="0" xfId="0">
      <alignment vertical="center"/>
    </xf>
    <xf numFmtId="164" fontId="3" fillId="4" borderId="1" applyAlignment="1" pivotButton="0" quotePrefix="0" xfId="0">
      <alignment vertical="center"/>
    </xf>
    <xf numFmtId="173" fontId="5" fillId="0" borderId="1" applyAlignment="1" pivotButton="0" quotePrefix="0" xfId="0">
      <alignment horizontal="center" vertical="center"/>
    </xf>
    <xf numFmtId="3" fontId="3" fillId="0" borderId="1" applyAlignment="1" pivotButton="0" quotePrefix="0" xfId="0">
      <alignment horizontal="center" vertical="center"/>
    </xf>
    <xf numFmtId="3" fontId="3" fillId="4" borderId="1" applyAlignment="1" pivotButton="0" quotePrefix="0" xfId="0">
      <alignment horizontal="center" vertical="center"/>
    </xf>
    <xf numFmtId="3" fontId="5" fillId="0" borderId="1" applyAlignment="1" pivotButton="0" quotePrefix="0" xfId="0">
      <alignment horizontal="center" vertical="center"/>
    </xf>
    <xf numFmtId="9" fontId="3" fillId="0" borderId="1" applyAlignment="1" pivotButton="0" quotePrefix="0" xfId="0">
      <alignment horizontal="center" vertical="center"/>
    </xf>
    <xf numFmtId="9" fontId="3" fillId="4" borderId="1" applyAlignment="1" pivotButton="0" quotePrefix="0" xfId="0">
      <alignment horizontal="center" vertical="center"/>
    </xf>
    <xf numFmtId="165" fontId="3" fillId="4" borderId="1" applyAlignment="1" pivotButton="0" quotePrefix="0" xfId="0">
      <alignment horizontal="center" vertical="center"/>
    </xf>
    <xf numFmtId="171" fontId="3" fillId="0" borderId="1" applyAlignment="1" pivotButton="0" quotePrefix="0" xfId="0">
      <alignment vertical="center"/>
    </xf>
    <xf numFmtId="0" fontId="3" fillId="0" borderId="0" applyAlignment="1" pivotButton="0" quotePrefix="0" xfId="0">
      <alignment vertical="center"/>
    </xf>
    <xf numFmtId="0" fontId="5" fillId="2" borderId="1" applyAlignment="1" pivotButton="0" quotePrefix="0" xfId="0">
      <alignment vertical="center"/>
    </xf>
    <xf numFmtId="169" fontId="3" fillId="0" borderId="1" applyAlignment="1" pivotButton="0" quotePrefix="0" xfId="0">
      <alignment vertical="center"/>
    </xf>
    <xf numFmtId="0" fontId="0" fillId="0" borderId="5" pivotButton="0" quotePrefix="0" xfId="0"/>
    <xf numFmtId="0" fontId="0" fillId="0" borderId="6" pivotButton="0" quotePrefix="0" xfId="0"/>
    <xf numFmtId="170" fontId="5" fillId="0" borderId="1" applyAlignment="1" pivotButton="0" quotePrefix="0" xfId="0">
      <alignment vertical="center"/>
    </xf>
    <xf numFmtId="171" fontId="5" fillId="0" borderId="1" applyAlignment="1" pivotButton="0" quotePrefix="0" xfId="0">
      <alignment horizontal="center" vertical="center"/>
    </xf>
    <xf numFmtId="172" fontId="5" fillId="0" borderId="1" applyAlignment="1" pivotButton="0" quotePrefix="0" xfId="0">
      <alignment vertical="center"/>
    </xf>
    <xf numFmtId="171" fontId="5" fillId="0" borderId="1" applyAlignment="1" pivotButton="0" quotePrefix="0" xfId="0">
      <alignment vertical="center"/>
    </xf>
    <xf numFmtId="170" fontId="4" fillId="2" borderId="1" applyAlignment="1" pivotButton="0" quotePrefix="0" xfId="0">
      <alignment vertical="center"/>
    </xf>
    <xf numFmtId="0" fontId="5" fillId="0" borderId="1" applyAlignment="1" pivotButton="0" quotePrefix="0" xfId="0">
      <alignment horizontal="center" vertical="center"/>
    </xf>
    <xf numFmtId="0" fontId="5" fillId="4" borderId="1" applyAlignment="1" pivotButton="0" quotePrefix="0" xfId="0">
      <alignment vertical="center"/>
    </xf>
    <xf numFmtId="173" fontId="5" fillId="0" borderId="1" applyAlignment="1" pivotButton="0" quotePrefix="0" xfId="0">
      <alignment horizontal="center" vertical="center"/>
    </xf>
    <xf numFmtId="171" fontId="3" fillId="0" borderId="1" applyAlignment="1" pivotButton="0" quotePrefix="0" xfId="0">
      <alignment vertical="center"/>
    </xf>
    <xf numFmtId="0" fontId="6" fillId="0" borderId="0" applyAlignment="1" pivotButton="0" quotePrefix="0" xfId="0">
      <alignment vertical="center"/>
    </xf>
    <xf numFmtId="168" fontId="5" fillId="0" borderId="1" applyAlignment="1" pivotButton="0" quotePrefix="0" xfId="0">
      <alignment vertical="center"/>
    </xf>
    <xf numFmtId="0" fontId="3" fillId="0" borderId="1" applyAlignment="1" pivotButton="0" quotePrefix="0" xfId="0">
      <alignment vertical="center"/>
    </xf>
    <xf numFmtId="0" fontId="3" fillId="4" borderId="1" applyAlignment="1" pivotButton="0" quotePrefix="0" xfId="0">
      <alignment vertical="center"/>
    </xf>
    <xf numFmtId="168" fontId="3" fillId="4" borderId="1"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3" fillId="0" borderId="1" applyAlignment="1" pivotButton="0" quotePrefix="0" xfId="0">
      <alignment horizontal="center" vertical="center"/>
    </xf>
    <xf numFmtId="0" fontId="5" fillId="0" borderId="1" applyAlignment="1" pivotButton="0" quotePrefix="0" xfId="0">
      <alignment vertical="center"/>
    </xf>
    <xf numFmtId="3" fontId="5" fillId="0" borderId="1" applyAlignment="1" pivotButton="0" quotePrefix="0" xfId="0">
      <alignment vertical="center"/>
    </xf>
    <xf numFmtId="164" fontId="5" fillId="0" borderId="1" applyAlignment="1" pivotButton="0" quotePrefix="0" xfId="0">
      <alignment vertical="center"/>
    </xf>
    <xf numFmtId="0" fontId="4" fillId="2" borderId="1" applyAlignment="1" pivotButton="0" quotePrefix="0" xfId="0">
      <alignment horizontal="center" vertical="center"/>
    </xf>
    <xf numFmtId="165" fontId="4" fillId="2" borderId="1" applyAlignment="1" pivotButton="0" quotePrefix="0" xfId="0">
      <alignment horizontal="center" vertical="center"/>
    </xf>
    <xf numFmtId="166" fontId="4" fillId="2" borderId="1" applyAlignment="1" pivotButton="0" quotePrefix="0" xfId="0">
      <alignment vertical="center"/>
    </xf>
    <xf numFmtId="3" fontId="3" fillId="4" borderId="1" applyAlignment="1" pivotButton="0" quotePrefix="0" xfId="0">
      <alignment vertical="center"/>
    </xf>
    <xf numFmtId="164" fontId="3" fillId="4" borderId="1" applyAlignment="1" pivotButton="0" quotePrefix="0" xfId="0">
      <alignment vertical="center"/>
    </xf>
    <xf numFmtId="0" fontId="3" fillId="4" borderId="1" applyAlignment="1" pivotButton="0" quotePrefix="0" xfId="0">
      <alignment horizontal="center" vertical="center"/>
    </xf>
    <xf numFmtId="0" fontId="2" fillId="0" borderId="1" applyAlignment="1" pivotButton="0" quotePrefix="0" xfId="0">
      <alignment vertical="center"/>
    </xf>
    <xf numFmtId="0" fontId="5" fillId="0" borderId="0" applyAlignment="1" pivotButton="0" quotePrefix="0" xfId="0">
      <alignment vertical="center"/>
    </xf>
    <xf numFmtId="0" fontId="5" fillId="0" borderId="1" applyAlignment="1" pivotButton="0" quotePrefix="0" xfId="0">
      <alignment horizontal="center" vertical="center"/>
    </xf>
    <xf numFmtId="0" fontId="4" fillId="2" borderId="1" applyAlignment="1" pivotButton="0" quotePrefix="0" xfId="0">
      <alignment horizontal="center" vertical="center"/>
    </xf>
    <xf numFmtId="165" fontId="4" fillId="2" borderId="1" applyAlignment="1" pivotButton="0" quotePrefix="0" xfId="0">
      <alignment horizontal="center" vertical="center"/>
    </xf>
    <xf numFmtId="166" fontId="4" fillId="2" borderId="1" applyAlignment="1" pivotButton="0" quotePrefix="0" xfId="0">
      <alignment vertical="center"/>
    </xf>
    <xf numFmtId="166" fontId="5" fillId="0" borderId="1" applyAlignment="1" pivotButton="0" quotePrefix="0" xfId="0">
      <alignment vertical="center"/>
    </xf>
    <xf numFmtId="0" fontId="3" fillId="4" borderId="1" applyAlignment="1" pivotButton="0" quotePrefix="0" xfId="0">
      <alignment horizontal="center" vertical="center"/>
    </xf>
    <xf numFmtId="0" fontId="5" fillId="4" borderId="1" applyAlignment="1" pivotButton="0" quotePrefix="0" xfId="0">
      <alignment vertical="center"/>
    </xf>
    <xf numFmtId="168" fontId="3" fillId="4" borderId="1" applyAlignment="1" pivotButton="0" quotePrefix="0" xfId="0">
      <alignment vertical="center"/>
    </xf>
    <xf numFmtId="3" fontId="3" fillId="4" borderId="1" applyAlignment="1" pivotButton="0" quotePrefix="0" xfId="0">
      <alignment horizontal="center" vertical="center"/>
    </xf>
    <xf numFmtId="168" fontId="5" fillId="0" borderId="1" applyAlignment="1" pivotButton="0" quotePrefix="0" xfId="0">
      <alignment vertical="center"/>
    </xf>
    <xf numFmtId="3" fontId="5" fillId="0" borderId="1" applyAlignment="1" pivotButton="0" quotePrefix="0" xfId="0">
      <alignment vertical="center"/>
    </xf>
    <xf numFmtId="164" fontId="5" fillId="0" borderId="1" applyAlignment="1" pivotButton="0" quotePrefix="0" xfId="0">
      <alignment vertical="center"/>
    </xf>
    <xf numFmtId="3" fontId="3" fillId="4" borderId="1" applyAlignment="1" pivotButton="0" quotePrefix="0" xfId="0">
      <alignment vertical="center"/>
    </xf>
    <xf numFmtId="164" fontId="3" fillId="4" borderId="1" applyAlignment="1" pivotButton="0" quotePrefix="0" xfId="0">
      <alignment vertical="center"/>
    </xf>
    <xf numFmtId="0" fontId="2" fillId="0" borderId="0" pivotButton="0" quotePrefix="0" xfId="0"/>
    <xf numFmtId="0" fontId="4" fillId="2" borderId="1" applyAlignment="1" applyProtection="1" pivotButton="0" quotePrefix="0" xfId="0">
      <alignment vertical="center"/>
      <protection locked="0" hidden="0"/>
    </xf>
    <xf numFmtId="0" fontId="5" fillId="2" borderId="1" applyAlignment="1" applyProtection="1" pivotButton="0" quotePrefix="0" xfId="0">
      <alignment vertical="center"/>
      <protection locked="0" hidden="0"/>
    </xf>
    <xf numFmtId="0" fontId="1" fillId="0" borderId="0" applyAlignment="1" pivotButton="0" quotePrefix="0" xfId="0">
      <alignment vertical="center"/>
    </xf>
    <xf numFmtId="0" fontId="2" fillId="0" borderId="0" applyAlignment="1" pivotButton="0" quotePrefix="0" xfId="0">
      <alignment vertical="center"/>
    </xf>
    <xf numFmtId="0" fontId="6" fillId="0" borderId="0" applyAlignment="1" pivotButton="0" quotePrefix="0" xfId="0">
      <alignment vertical="center"/>
    </xf>
    <xf numFmtId="0" fontId="3" fillId="0" borderId="1" applyAlignment="1" pivotButton="0" quotePrefix="0" xfId="0">
      <alignment vertical="center"/>
    </xf>
    <xf numFmtId="0" fontId="5" fillId="6" borderId="1" applyAlignment="1" pivotButton="0" quotePrefix="0" xfId="0">
      <alignment vertical="center"/>
    </xf>
    <xf numFmtId="0" fontId="2" fillId="0" borderId="1" applyAlignment="1" pivotButton="0" quotePrefix="0" xfId="0">
      <alignment vertical="center"/>
    </xf>
    <xf numFmtId="0" fontId="4" fillId="2" borderId="1" applyAlignment="1" applyProtection="1" pivotButton="0" quotePrefix="0" xfId="0">
      <alignment vertical="center"/>
      <protection locked="0" hidden="0"/>
    </xf>
    <xf numFmtId="171" fontId="4" fillId="2" borderId="1" applyAlignment="1" applyProtection="1" pivotButton="0" quotePrefix="0" xfId="0">
      <alignment vertical="center"/>
      <protection locked="0" hidden="0"/>
    </xf>
    <xf numFmtId="0" fontId="3" fillId="6" borderId="1" applyAlignment="1" pivotButton="0" quotePrefix="0" xfId="0">
      <alignment vertical="center"/>
    </xf>
    <xf numFmtId="0" fontId="4" fillId="2" borderId="1" applyAlignment="1" applyProtection="1" pivotButton="0" quotePrefix="0" xfId="0">
      <alignment horizontal="center" vertical="center"/>
      <protection locked="0" hidden="0"/>
    </xf>
    <xf numFmtId="0" fontId="5" fillId="0" borderId="1" applyAlignment="1" pivotButton="0" quotePrefix="0" xfId="0">
      <alignment vertical="center"/>
    </xf>
    <xf numFmtId="170" fontId="4" fillId="2" borderId="1" applyAlignment="1" applyProtection="1" pivotButton="0" quotePrefix="0" xfId="0">
      <alignment vertical="center"/>
      <protection locked="0" hidden="0"/>
    </xf>
    <xf numFmtId="0" fontId="4" fillId="2" borderId="1" applyAlignment="1" applyProtection="1" pivotButton="0" quotePrefix="0" xfId="0">
      <alignment horizontal="center" vertical="center"/>
      <protection locked="0" hidden="0"/>
    </xf>
    <xf numFmtId="165" fontId="4" fillId="2" borderId="1" applyAlignment="1" applyProtection="1" pivotButton="0" quotePrefix="0" xfId="0">
      <alignment horizontal="center" vertical="center"/>
      <protection locked="0" hidden="0"/>
    </xf>
    <xf numFmtId="166" fontId="4" fillId="2" borderId="1" applyAlignment="1" applyProtection="1" pivotButton="0" quotePrefix="0" xfId="0">
      <alignment vertical="center"/>
      <protection locked="0" hidden="0"/>
    </xf>
    <xf numFmtId="165" fontId="4" fillId="2" borderId="1" applyAlignment="1" applyProtection="1" pivotButton="0" quotePrefix="0" xfId="0">
      <alignment vertical="center"/>
      <protection locked="0" hidden="0"/>
    </xf>
    <xf numFmtId="167" fontId="4" fillId="2" borderId="1" applyAlignment="1" applyProtection="1" pivotButton="0" quotePrefix="0" xfId="0">
      <alignment vertical="center"/>
      <protection locked="0" hidden="0"/>
    </xf>
    <xf numFmtId="165" fontId="4" fillId="2" borderId="1" applyAlignment="1" applyProtection="1" pivotButton="0" quotePrefix="0" xfId="0">
      <alignment horizontal="center" vertical="center"/>
      <protection locked="0" hidden="0"/>
    </xf>
    <xf numFmtId="0" fontId="4" fillId="2" borderId="2" applyAlignment="1" applyProtection="1" pivotButton="0" quotePrefix="0" xfId="0">
      <alignment vertical="center"/>
      <protection locked="0" hidden="0"/>
    </xf>
    <xf numFmtId="165" fontId="4" fillId="2" borderId="2" applyAlignment="1" applyProtection="1" pivotButton="0" quotePrefix="0" xfId="0">
      <alignment vertical="center"/>
      <protection locked="0" hidden="0"/>
    </xf>
    <xf numFmtId="166" fontId="4" fillId="2" borderId="2" applyAlignment="1" applyProtection="1" pivotButton="0" quotePrefix="0" xfId="0">
      <alignment vertical="center"/>
      <protection locked="0" hidden="0"/>
    </xf>
    <xf numFmtId="167" fontId="4" fillId="2" borderId="2" applyAlignment="1" applyProtection="1" pivotButton="0" quotePrefix="0" xfId="0">
      <alignment vertical="center"/>
      <protection locked="0" hidden="0"/>
    </xf>
    <xf numFmtId="0" fontId="5" fillId="4" borderId="1" applyAlignment="1" pivotButton="0" quotePrefix="0" xfId="0">
      <alignment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174" fontId="4" fillId="2" borderId="1" applyAlignment="1" applyProtection="1" pivotButton="0" quotePrefix="0" xfId="0">
      <alignment horizontal="center" vertical="center"/>
      <protection locked="0" hidden="0"/>
    </xf>
    <xf numFmtId="0" fontId="4" fillId="2" borderId="1" applyAlignment="1" applyProtection="1" pivotButton="0" quotePrefix="0" xfId="0">
      <alignment vertical="top" wrapText="1"/>
      <protection locked="0" hidden="0"/>
    </xf>
    <xf numFmtId="164" fontId="4" fillId="2" borderId="1" applyAlignment="1" applyProtection="1" pivotButton="0" quotePrefix="0" xfId="0">
      <alignment horizontal="center" vertical="center"/>
      <protection locked="0" hidden="0"/>
    </xf>
    <xf numFmtId="0" fontId="7" fillId="3" borderId="0" pivotButton="0" quotePrefix="0" xfId="0"/>
    <xf numFmtId="0" fontId="5" fillId="0" borderId="0" applyAlignment="1" pivotButton="0" quotePrefix="0" xfId="0">
      <alignment vertical="center"/>
    </xf>
  </cellXfs>
  <cellStyles count="1">
    <cellStyle name="Normal" xfId="0" builtinId="0" hidden="0"/>
  </cellStyles>
  <dxfs count="3">
    <dxf>
      <font>
        <color rgb="00A6A6A6"/>
      </font>
    </dxf>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Shipments per week</a:t>
            </a:r>
          </a:p>
        </rich>
      </tx>
    </title>
    <plotArea>
      <barChart>
        <barDir val="col"/>
        <grouping val="clustered"/>
        <ser>
          <idx val="0"/>
          <order val="0"/>
          <tx>
            <strRef>
              <f>'Timeline Summary'!B48</f>
            </strRef>
          </tx>
          <spPr>
            <a:solidFill xmlns:a="http://schemas.openxmlformats.org/drawingml/2006/main">
              <a:srgbClr val="9DC3E6"/>
            </a:solidFill>
            <a:ln xmlns:a="http://schemas.openxmlformats.org/drawingml/2006/main">
              <a:prstDash val="solid"/>
            </a:ln>
          </spPr>
          <cat>
            <numRef>
              <f>'Timeline Summary'!$A$49:$A$101</f>
            </numRef>
          </cat>
          <val>
            <numRef>
              <f>'Timeline Summary'!$B$49:$B$101</f>
            </numRef>
          </val>
        </ser>
        <ser>
          <idx val="1"/>
          <order val="1"/>
          <tx>
            <strRef>
              <f>'Timeline Summary'!D48</f>
            </strRef>
          </tx>
          <spPr>
            <a:solidFill xmlns:a="http://schemas.openxmlformats.org/drawingml/2006/main">
              <a:srgbClr val="1F4E79"/>
            </a:solidFill>
            <a:ln xmlns:a="http://schemas.openxmlformats.org/drawingml/2006/main">
              <a:prstDash val="solid"/>
            </a:ln>
          </spPr>
          <cat>
            <numRef>
              <f>'Timeline Summary'!$A$49:$A$101</f>
            </numRef>
          </cat>
          <val>
            <numRef>
              <f>'Timeline Summary'!$D$49:$D$101</f>
            </numRef>
          </val>
        </ser>
        <gapWidth val="150"/>
        <axId val="10"/>
        <axId val="100"/>
      </barChart>
      <catAx>
        <axId val="10"/>
        <scaling>
          <orientation val="minMax"/>
        </scaling>
        <delete val="0"/>
        <axPos val="l"/>
        <numFmt formatCode="dd-mm" sourceLinked="0"/>
        <majorTickMark val="none"/>
        <minorTickMark val="none"/>
        <crossAx val="100"/>
        <lblOffset val="100"/>
      </catAx>
      <valAx>
        <axId val="100"/>
        <scaling>
          <orientation val="minMax"/>
        </scaling>
        <delete val="0"/>
        <axPos val="l"/>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Annual transport cost per lane (EUR)</a:t>
            </a:r>
          </a:p>
        </rich>
      </tx>
    </title>
    <plotArea>
      <barChart>
        <barDir val="col"/>
        <grouping val="clustered"/>
        <ser>
          <idx val="0"/>
          <order val="0"/>
          <tx>
            <strRef>
              <f>'Cost Overview'!E4</f>
            </strRef>
          </tx>
          <spPr>
            <a:solidFill xmlns:a="http://schemas.openxmlformats.org/drawingml/2006/main">
              <a:srgbClr val="9DC3E6"/>
            </a:solidFill>
            <a:ln xmlns:a="http://schemas.openxmlformats.org/drawingml/2006/main">
              <a:prstDash val="solid"/>
            </a:ln>
          </spPr>
          <cat>
            <numRef>
              <f>'Cost Overview'!$B$5:$B$13</f>
            </numRef>
          </cat>
          <val>
            <numRef>
              <f>'Cost Overview'!$E$5:$E$13</f>
            </numRef>
          </val>
        </ser>
        <ser>
          <idx val="1"/>
          <order val="1"/>
          <tx>
            <strRef>
              <f>'Cost Overview'!J4</f>
            </strRef>
          </tx>
          <spPr>
            <a:solidFill xmlns:a="http://schemas.openxmlformats.org/drawingml/2006/main">
              <a:srgbClr val="1F4E79"/>
            </a:solidFill>
            <a:ln xmlns:a="http://schemas.openxmlformats.org/drawingml/2006/main">
              <a:prstDash val="solid"/>
            </a:ln>
          </spPr>
          <cat>
            <numRef>
              <f>'Cost Overview'!$B$5:$B$13</f>
            </numRef>
          </cat>
          <val>
            <numRef>
              <f>'Cost Overview'!$J$5:$J$13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2</col>
      <colOff>5724525</colOff>
      <row>0</row>
      <rowOff>38100</rowOff>
    </from>
    <ext cx="1619250" cy="866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6</col>
      <colOff>0</colOff>
      <row>46</row>
      <rowOff>0</rowOff>
    </from>
    <ext cx="93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16</row>
      <rowOff>0</rowOff>
    </from>
    <ext cx="79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3864"/>
    <outlinePr summaryBelow="1" summaryRight="1"/>
    <pageSetUpPr fitToPage="1"/>
  </sheetPr>
  <dimension ref="A1:C23"/>
  <sheetViews>
    <sheetView showGridLines="0" workbookViewId="0">
      <selection activeCell="A1" sqref="A1"/>
    </sheetView>
  </sheetViews>
  <sheetFormatPr baseColWidth="8" defaultRowHeight="15"/>
  <cols>
    <col width="3" customWidth="1" min="1" max="1"/>
    <col width="28" customWidth="1" min="2" max="2"/>
    <col width="110" customWidth="1" min="3" max="3"/>
  </cols>
  <sheetData>
    <row r="1" ht="48" customHeight="1">
      <c r="B1" s="99" t="inlineStr">
        <is>
          <t>Transport Volume Scenario: Request for Quotation</t>
        </is>
      </c>
    </row>
    <row r="2" ht="24" customHeight="1">
      <c r="B2" s="98" t="inlineStr">
        <is>
          <t>FlexiTog EU B.V., Helmond, the Netherlands. Confidential. Shared for quotation purposes only, not for onward distribution.</t>
        </is>
      </c>
    </row>
    <row r="3"/>
    <row r="4">
      <c r="B4" s="95" t="inlineStr">
        <is>
          <t>Contact name and e-mail</t>
        </is>
      </c>
      <c r="C4" s="127" t="inlineStr">
        <is>
          <t>[fill in before sending]</t>
        </is>
      </c>
    </row>
    <row r="5">
      <c r="B5" s="95" t="inlineStr">
        <is>
          <t>Issue date</t>
        </is>
      </c>
      <c r="C5" s="127" t="inlineStr">
        <is>
          <t>[fill in before sending]</t>
        </is>
      </c>
    </row>
    <row r="6">
      <c r="B6" s="95" t="inlineStr">
        <is>
          <t>Response deadline</t>
        </is>
      </c>
      <c r="C6" s="127" t="inlineStr">
        <is>
          <t>[fill in before sending]</t>
        </is>
      </c>
    </row>
    <row r="7">
      <c r="B7" s="95" t="inlineStr">
        <is>
          <t>Rate validity requested</t>
        </is>
      </c>
      <c r="C7" s="127" t="inlineStr">
        <is>
          <t>[fill in before sending]</t>
        </is>
      </c>
    </row>
    <row r="8"/>
    <row r="9" ht="30" customHeight="1">
      <c r="B9" s="5" t="inlineStr">
        <is>
          <t>Purpose</t>
        </is>
      </c>
      <c r="C9" s="6" t="inlineStr">
        <is>
          <t>FlexiTog EU requests rates and service information for shipments to nine destination countries, from its warehouse in Helmond or from a regional hub you propose. Your answers are compared on cost, reliability and quality.</t>
        </is>
      </c>
    </row>
    <row r="10" ht="62" customHeight="1">
      <c r="B10" s="5" t="inlineStr">
        <is>
          <t>Origin</t>
        </is>
      </c>
      <c r="C10" s="6" t="inlineStr">
        <is>
          <t>Two possible origins. Default: the FlexiTog EU B.V. warehouse in Helmond, the Netherlands, with collection on working days. Alternative: your own hub or warehouse in the region, if you propose one. FlexiTog then stocks products there and directs supplier deliveries to it, and you deliver to the consignees from there (see Regional stock option). Pickup address and cut-off times are confirmed after selection.</t>
        </is>
      </c>
    </row>
    <row r="11" ht="45" customHeight="1">
      <c r="B11" s="5" t="inlineStr">
        <is>
          <t>Destinations</t>
        </is>
      </c>
      <c r="C11" s="6" t="inlineStr">
        <is>
          <t>Nine lanes: Saudi Arabia, United Arab Emirates, Kuwait, Qatar, Türkiye, Morocco, Algeria, Egypt, Tunisia. Deliveries go to business addresses. Main delivery cities per lane are on the Volumes sheet. Deliveries to other cities in the same country follow your standard zone or remote-area pricing.</t>
        </is>
      </c>
    </row>
    <row r="12" ht="45" customHeight="1">
      <c r="B12" s="5" t="inlineStr">
        <is>
          <t>Goods</t>
        </is>
      </c>
      <c r="C12" s="6" t="inlineStr">
        <is>
          <t>Cold-store workwear (jackets, trousers, coveralls, baselayers), gloves, footwear, headwear and small accessories in cartons. Occasional crated stainless steel cabinets of around 70 kg. Non-dangerous goods, no temperature control, stackable.</t>
        </is>
      </c>
    </row>
    <row r="13" ht="45" customHeight="1">
      <c r="B13" s="5" t="inlineStr">
        <is>
          <t>Incoterm</t>
        </is>
      </c>
      <c r="C13" s="6" t="inlineStr">
        <is>
          <t>DAP, named consignee address (Incoterms 2020). FlexiTog EU pays transport to the door and export clearance in the Netherlands. The consignee clears import and pays import duty and VAT. Please state whether you offer import brokerage on the consignee's account and a DDP option per country.</t>
        </is>
      </c>
    </row>
    <row r="14" ht="62" customHeight="1">
      <c r="B14" s="5" t="inlineStr">
        <is>
          <t>Service requirement</t>
        </is>
      </c>
      <c r="C14" s="6" t="inlineStr">
        <is>
          <t>Target door-to-door delivery after collection, in destination working days: GCC (Saudi Arabia, UAE, Kuwait, Qatar) 48 hours, next day preferred. Türkiye and Morocco 3 days. Tunisia and Egypt 4 days. Algeria 5 days. Please state your realistic transit time per lane and weight band. If a target needs local stock, please also complete the Optional Regional Stock sheet.</t>
        </is>
      </c>
    </row>
    <row r="15" ht="30" customHeight="1">
      <c r="B15" s="5" t="inlineStr">
        <is>
          <t>Volume scenarios</t>
        </is>
      </c>
      <c r="C15" s="6" t="inlineStr">
        <is>
          <t>Two annual volume levels, Scenario A and Scenario B. Please quote both. Volumes are estimates for quotation and do not form a volume commitment.</t>
        </is>
      </c>
    </row>
    <row r="16" ht="30" customHeight="1">
      <c r="B16" s="5" t="inlineStr">
        <is>
          <t>Volume basis</t>
        </is>
      </c>
      <c r="C16" s="6" t="inlineStr">
        <is>
          <t>One order equals one shipment. Weights and volumes are estimates. Chargeable kg uses the 1:6000 volumetric divisor. The peak month carries 1.5 times the average month.</t>
        </is>
      </c>
    </row>
    <row r="17" ht="92" customHeight="1">
      <c r="B17" s="5" t="inlineStr">
        <is>
          <t>What to return</t>
        </is>
      </c>
      <c r="C17" s="6" t="inlineStr">
        <is>
          <t>1. Provider Profile: company details, provider type, services, coverage per country and certifications.
2. Rate Card: yellow cells for every lane and weight band you serve, including normal and worst-case transit days.
3. Reliability &amp; Quality: answers in the fixed format of column E.
4. Optional Regional Stock and the optional origin columns in the schedules, if you propose another origin.
Please return this file in .xlsx format without renaming, moving or adding sheets. Only yellow cells are editable.</t>
        </is>
      </c>
    </row>
    <row r="18" ht="45" customHeight="1">
      <c r="B18" s="5" t="inlineStr">
        <is>
          <t>Pricing rules</t>
        </is>
      </c>
      <c r="C18" s="6" t="inlineStr">
        <is>
          <t>All prices in EUR, excluding VAT. Rate per chargeable kg, minimum charge per shipment, fuel surcharge as a percentage of freight, and fixed fees per shipment. List every surcharge outside the Rate Card under question C2 of the Reliability &amp; Quality sheet.</t>
        </is>
      </c>
    </row>
    <row r="19" ht="45" customHeight="1">
      <c r="B19" s="5" t="inlineStr">
        <is>
          <t>Shipment schedules</t>
        </is>
      </c>
      <c r="C19" s="6" t="inlineStr">
        <is>
          <t>Schedule A and Schedule B list every shipment of the year: lane, delivery city, weight band, kg, m3, cartons, order release date, planned pickup and target delivery date. Dates are indicative and follow the monthly profile on the Timeline Rules sheet.</t>
        </is>
      </c>
    </row>
    <row r="20" ht="45" customHeight="1">
      <c r="B20" s="5" t="inlineStr">
        <is>
          <t>Timeline check</t>
        </is>
      </c>
      <c r="C20" s="6" t="inlineStr">
        <is>
          <t>Your transit days on the Rate Card turn into an expected delivery date per shipment, counted in destination working days. The Timeline Summary shows per lane how many shipments meet the target. Overwrite an expected date in the yellow column of a schedule where your network differs from the standard transit time.</t>
        </is>
      </c>
    </row>
    <row r="21" ht="76" customHeight="1">
      <c r="B21" s="5" t="inlineStr">
        <is>
          <t>Origin options</t>
        </is>
      </c>
      <c r="C21" s="6" t="inlineStr">
        <is>
          <t>Helmond is the default origin, not a fixed one. Where shipping from another place is possible or better, please propose it: your own hub or warehouse in the region (W1 to W3), a supplier, or another hub. Set whole lanes on the Optional Regional Stock sheet, or single shipments in the yellow origin columns of the schedules, with your transit days and cost from that origin. FlexiTog then directs supplier deliveries to the right place. The schedules, Timeline Summary and Cost Overview follow the origin you choose.</t>
        </is>
      </c>
    </row>
    <row r="22">
      <c r="B22" s="79" t="n"/>
      <c r="C22" s="101" t="n"/>
    </row>
    <row r="23">
      <c r="B23" s="79" t="inlineStr">
        <is>
          <t>Legend</t>
        </is>
      </c>
      <c r="C23" s="128" t="inlineStr">
        <is>
          <t>Yellow cells: your input. White cells: FlexiTog EU data or calculations, please leave unchanged.</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BF9000"/>
    <outlinePr summaryBelow="1" summaryRight="1"/>
    <pageSetUpPr fitToPage="1"/>
  </sheetPr>
  <dimension ref="A1:G71"/>
  <sheetViews>
    <sheetView showGridLines="0" workbookViewId="0">
      <selection activeCell="A1" sqref="A1"/>
    </sheetView>
  </sheetViews>
  <sheetFormatPr baseColWidth="8" defaultRowHeight="15"/>
  <cols>
    <col width="40" customWidth="1" min="1" max="1"/>
    <col width="28" customWidth="1" min="2" max="2"/>
    <col width="34" customWidth="1" min="3" max="3"/>
    <col width="18" customWidth="1" min="4" max="4"/>
    <col width="28" customWidth="1" min="5" max="5"/>
    <col width="14" customWidth="1" min="6" max="6"/>
    <col width="12" customWidth="1" min="7" max="7"/>
  </cols>
  <sheetData>
    <row r="1">
      <c r="A1" s="129" t="inlineStr">
        <is>
          <t>Provider profile</t>
        </is>
      </c>
    </row>
    <row r="2">
      <c r="A2" s="130" t="inlineStr">
        <is>
          <t>Please complete every yellow cell. Your company details, provider type, services, coverage per country and certifications.</t>
        </is>
      </c>
    </row>
    <row r="3"/>
    <row r="4">
      <c r="A4" s="131" t="inlineStr">
        <is>
          <t>1. Company details</t>
        </is>
      </c>
    </row>
    <row r="5" ht="36" customHeight="1">
      <c r="A5" s="10" t="inlineStr">
        <is>
          <t>Field</t>
        </is>
      </c>
      <c r="B5" s="18" t="inlineStr">
        <is>
          <t>Your answer</t>
        </is>
      </c>
      <c r="C5" s="10" t="inlineStr">
        <is>
          <t>Note</t>
        </is>
      </c>
    </row>
    <row r="6">
      <c r="A6" s="132" t="inlineStr">
        <is>
          <t>Provider ID (filled in by FlexiTog)</t>
        </is>
      </c>
      <c r="B6" s="133" t="n"/>
      <c r="C6" s="134" t="inlineStr">
        <is>
          <t>Do not change</t>
        </is>
      </c>
    </row>
    <row r="7">
      <c r="A7" s="132" t="inlineStr">
        <is>
          <t>Company name</t>
        </is>
      </c>
      <c r="B7" s="135" t="n"/>
      <c r="C7" s="134" t="inlineStr">
        <is>
          <t>Required</t>
        </is>
      </c>
    </row>
    <row r="8">
      <c r="A8" s="132" t="inlineStr">
        <is>
          <t>Website</t>
        </is>
      </c>
      <c r="B8" s="135" t="n"/>
      <c r="C8" s="134" t="inlineStr"/>
    </row>
    <row r="9">
      <c r="A9" s="132" t="inlineStr">
        <is>
          <t>Contact person</t>
        </is>
      </c>
      <c r="B9" s="135" t="n"/>
      <c r="C9" s="134" t="inlineStr">
        <is>
          <t>Person responsible for this quote</t>
        </is>
      </c>
    </row>
    <row r="10">
      <c r="A10" s="132" t="inlineStr">
        <is>
          <t>Contact phone</t>
        </is>
      </c>
      <c r="B10" s="135" t="n"/>
      <c r="C10" s="134" t="inlineStr">
        <is>
          <t>Include country code</t>
        </is>
      </c>
    </row>
    <row r="11">
      <c r="A11" s="132" t="inlineStr">
        <is>
          <t>Contact e-mail</t>
        </is>
      </c>
      <c r="B11" s="135" t="n"/>
      <c r="C11" s="134" t="inlineStr"/>
    </row>
    <row r="12">
      <c r="A12" s="132" t="inlineStr">
        <is>
          <t>Head office country</t>
        </is>
      </c>
      <c r="B12" s="135" t="n"/>
      <c r="C12" s="134" t="inlineStr"/>
    </row>
    <row r="13">
      <c r="A13" s="132" t="inlineStr">
        <is>
          <t>Your quote reference</t>
        </is>
      </c>
      <c r="B13" s="135" t="n"/>
      <c r="C13" s="134" t="inlineStr"/>
    </row>
    <row r="14">
      <c r="A14" s="132" t="inlineStr">
        <is>
          <t>Quote valid until</t>
        </is>
      </c>
      <c r="B14" s="136" t="n"/>
      <c r="C14" s="134" t="inlineStr">
        <is>
          <t>Date</t>
        </is>
      </c>
    </row>
    <row r="15">
      <c r="A15" s="132" t="inlineStr">
        <is>
          <t>Response date</t>
        </is>
      </c>
      <c r="B15" s="136" t="n"/>
      <c r="C15" s="134" t="inlineStr">
        <is>
          <t>Date</t>
        </is>
      </c>
    </row>
    <row r="16">
      <c r="A16" s="132" t="inlineStr">
        <is>
          <t>Quote currency</t>
        </is>
      </c>
      <c r="B16" s="137" t="inlineStr">
        <is>
          <t>EUR</t>
        </is>
      </c>
      <c r="C16" s="134" t="inlineStr">
        <is>
          <t>EUR, fixed</t>
        </is>
      </c>
    </row>
    <row r="17"/>
    <row r="18"/>
    <row r="19">
      <c r="A19" s="131" t="inlineStr">
        <is>
          <t>2. Provider type (all that apply)</t>
        </is>
      </c>
    </row>
    <row r="20" ht="36" customHeight="1">
      <c r="A20" s="10" t="inlineStr">
        <is>
          <t>Type</t>
        </is>
      </c>
      <c r="B20" s="18" t="inlineStr">
        <is>
          <t>Yes / No</t>
        </is>
      </c>
      <c r="C20" s="10" t="inlineStr">
        <is>
          <t>Note</t>
        </is>
      </c>
    </row>
    <row r="21">
      <c r="A21" s="132" t="inlineStr">
        <is>
          <t>Freight forwarder</t>
        </is>
      </c>
      <c r="B21" s="138" t="n"/>
      <c r="C21" s="134" t="inlineStr"/>
    </row>
    <row r="22">
      <c r="A22" s="132" t="inlineStr">
        <is>
          <t>3PL / contract logistics</t>
        </is>
      </c>
      <c r="B22" s="138" t="n"/>
      <c r="C22" s="134" t="inlineStr"/>
    </row>
    <row r="23">
      <c r="A23" s="132" t="inlineStr">
        <is>
          <t>Carrier (own fleet)</t>
        </is>
      </c>
      <c r="B23" s="138" t="n"/>
      <c r="C23" s="134" t="inlineStr"/>
    </row>
    <row r="24">
      <c r="A24" s="132" t="inlineStr">
        <is>
          <t>Courier / express</t>
        </is>
      </c>
      <c r="B24" s="138" t="n"/>
      <c r="C24" s="134" t="inlineStr"/>
    </row>
    <row r="25">
      <c r="A25" s="132" t="inlineStr">
        <is>
          <t>Customs broker</t>
        </is>
      </c>
      <c r="B25" s="138" t="n"/>
      <c r="C25" s="134" t="inlineStr"/>
    </row>
    <row r="26">
      <c r="A26" s="132" t="inlineStr">
        <is>
          <t>Distributor</t>
        </is>
      </c>
      <c r="B26" s="138" t="n"/>
      <c r="C26" s="134" t="inlineStr"/>
    </row>
    <row r="27">
      <c r="A27" s="132" t="inlineStr">
        <is>
          <t>4PL / lead logistics provider</t>
        </is>
      </c>
      <c r="B27" s="138" t="n"/>
      <c r="C27" s="134" t="inlineStr"/>
    </row>
    <row r="28"/>
    <row r="29">
      <c r="A29" s="131" t="inlineStr">
        <is>
          <t>3. Services offered</t>
        </is>
      </c>
    </row>
    <row r="30" ht="36" customHeight="1">
      <c r="A30" s="10" t="inlineStr">
        <is>
          <t>Service</t>
        </is>
      </c>
      <c r="B30" s="18" t="inlineStr">
        <is>
          <t>Yes / No</t>
        </is>
      </c>
      <c r="C30" s="10" t="inlineStr">
        <is>
          <t>Note</t>
        </is>
      </c>
    </row>
    <row r="31">
      <c r="A31" s="132" t="inlineStr">
        <is>
          <t>Road FTL</t>
        </is>
      </c>
      <c r="B31" s="138" t="n"/>
      <c r="C31" s="134" t="inlineStr"/>
    </row>
    <row r="32">
      <c r="A32" s="132" t="inlineStr">
        <is>
          <t>Road groupage (LTL)</t>
        </is>
      </c>
      <c r="B32" s="138" t="n"/>
      <c r="C32" s="134" t="inlineStr"/>
    </row>
    <row r="33">
      <c r="A33" s="132" t="inlineStr">
        <is>
          <t>Sea FCL</t>
        </is>
      </c>
      <c r="B33" s="138" t="n"/>
      <c r="C33" s="134" t="inlineStr"/>
    </row>
    <row r="34">
      <c r="A34" s="132" t="inlineStr">
        <is>
          <t>Sea LCL</t>
        </is>
      </c>
      <c r="B34" s="138" t="n"/>
      <c r="C34" s="134" t="inlineStr"/>
    </row>
    <row r="35">
      <c r="A35" s="132" t="inlineStr">
        <is>
          <t>Air freight</t>
        </is>
      </c>
      <c r="B35" s="138" t="n"/>
      <c r="C35" s="134" t="inlineStr"/>
    </row>
    <row r="36">
      <c r="A36" s="132" t="inlineStr">
        <is>
          <t>Express / courier</t>
        </is>
      </c>
      <c r="B36" s="138" t="n"/>
      <c r="C36" s="134" t="inlineStr"/>
    </row>
    <row r="37">
      <c r="A37" s="132" t="inlineStr">
        <is>
          <t>Export customs clearance (NL)</t>
        </is>
      </c>
      <c r="B37" s="138" t="n"/>
      <c r="C37" s="134" t="inlineStr"/>
    </row>
    <row r="38">
      <c r="A38" s="132" t="inlineStr">
        <is>
          <t>Import customs brokerage</t>
        </is>
      </c>
      <c r="B38" s="138" t="n"/>
      <c r="C38" s="134" t="inlineStr"/>
    </row>
    <row r="39">
      <c r="A39" s="132" t="inlineStr">
        <is>
          <t>DDP service</t>
        </is>
      </c>
      <c r="B39" s="138" t="n"/>
      <c r="C39" s="134" t="inlineStr"/>
    </row>
    <row r="40">
      <c r="A40" s="132" t="inlineStr">
        <is>
          <t>Warehousing</t>
        </is>
      </c>
      <c r="B40" s="138" t="n"/>
      <c r="C40" s="134" t="inlineStr"/>
    </row>
    <row r="41">
      <c r="A41" s="132" t="inlineStr">
        <is>
          <t>Cross-docking</t>
        </is>
      </c>
      <c r="B41" s="138" t="n"/>
      <c r="C41" s="134" t="inlineStr"/>
    </row>
    <row r="42">
      <c r="A42" s="132" t="inlineStr">
        <is>
          <t>Last-mile delivery</t>
        </is>
      </c>
      <c r="B42" s="138" t="n"/>
      <c r="C42" s="134" t="inlineStr"/>
    </row>
    <row r="43">
      <c r="A43" s="132" t="inlineStr">
        <is>
          <t>Returns handling</t>
        </is>
      </c>
      <c r="B43" s="138" t="n"/>
      <c r="C43" s="134" t="inlineStr"/>
    </row>
    <row r="44">
      <c r="A44" s="132" t="inlineStr">
        <is>
          <t>Value-added services (labelling, kitting)</t>
        </is>
      </c>
      <c r="B44" s="138" t="n"/>
      <c r="C44" s="134" t="inlineStr"/>
    </row>
    <row r="45">
      <c r="A45" s="132" t="inlineStr">
        <is>
          <t>Track and trace portal</t>
        </is>
      </c>
      <c r="B45" s="138" t="n"/>
      <c r="C45" s="134" t="inlineStr"/>
    </row>
    <row r="46">
      <c r="A46" s="132" t="inlineStr">
        <is>
          <t>API / EDI integration</t>
        </is>
      </c>
      <c r="B46" s="138" t="n"/>
      <c r="C46" s="134" t="inlineStr"/>
    </row>
    <row r="47">
      <c r="A47" s="132" t="inlineStr">
        <is>
          <t>e-POD</t>
        </is>
      </c>
      <c r="B47" s="138" t="n"/>
      <c r="C47" s="134" t="inlineStr"/>
    </row>
    <row r="48">
      <c r="A48" s="132" t="inlineStr">
        <is>
          <t>Cargo insurance</t>
        </is>
      </c>
      <c r="B48" s="138" t="n"/>
      <c r="C48" s="134" t="inlineStr"/>
    </row>
    <row r="49">
      <c r="A49" s="132" t="inlineStr">
        <is>
          <t>CO2e reporting</t>
        </is>
      </c>
      <c r="B49" s="138" t="n"/>
      <c r="C49" s="134" t="inlineStr"/>
    </row>
    <row r="50"/>
    <row r="51">
      <c r="A51" s="131" t="inlineStr">
        <is>
          <t>4. Coverage per destination</t>
        </is>
      </c>
    </row>
    <row r="52" ht="44" customHeight="1">
      <c r="A52" s="10" t="inlineStr">
        <is>
          <t>Lane</t>
        </is>
      </c>
      <c r="B52" s="10" t="inlineStr">
        <is>
          <t>Country</t>
        </is>
      </c>
      <c r="C52" s="10" t="inlineStr">
        <is>
          <t>Region</t>
        </is>
      </c>
      <c r="D52" s="18" t="inlineStr">
        <is>
          <t>Presence</t>
        </is>
      </c>
      <c r="E52" s="18" t="inlineStr">
        <is>
          <t>Agent or partner name</t>
        </is>
      </c>
      <c r="F52" s="18" t="inlineStr">
        <is>
          <t>Import brokerage offered</t>
        </is>
      </c>
      <c r="G52" s="18" t="inlineStr">
        <is>
          <t>DDP offered</t>
        </is>
      </c>
    </row>
    <row r="53">
      <c r="A53" s="132" t="inlineStr">
        <is>
          <t>L01</t>
        </is>
      </c>
      <c r="B53" s="139" t="inlineStr">
        <is>
          <t>Saudi Arabia</t>
        </is>
      </c>
      <c r="C53" s="139" t="inlineStr">
        <is>
          <t>Gulf/GCC</t>
        </is>
      </c>
      <c r="D53" s="135" t="n"/>
      <c r="E53" s="135" t="n"/>
      <c r="F53" s="138" t="n"/>
      <c r="G53" s="138" t="n"/>
    </row>
    <row r="54">
      <c r="A54" s="132" t="inlineStr">
        <is>
          <t>L02</t>
        </is>
      </c>
      <c r="B54" s="139" t="inlineStr">
        <is>
          <t>United Arab Emirates</t>
        </is>
      </c>
      <c r="C54" s="139" t="inlineStr">
        <is>
          <t>Gulf/GCC</t>
        </is>
      </c>
      <c r="D54" s="135" t="n"/>
      <c r="E54" s="135" t="n"/>
      <c r="F54" s="138" t="n"/>
      <c r="G54" s="138" t="n"/>
    </row>
    <row r="55">
      <c r="A55" s="132" t="inlineStr">
        <is>
          <t>L03</t>
        </is>
      </c>
      <c r="B55" s="139" t="inlineStr">
        <is>
          <t>Kuwait</t>
        </is>
      </c>
      <c r="C55" s="139" t="inlineStr">
        <is>
          <t>Gulf/GCC</t>
        </is>
      </c>
      <c r="D55" s="135" t="n"/>
      <c r="E55" s="135" t="n"/>
      <c r="F55" s="138" t="n"/>
      <c r="G55" s="138" t="n"/>
    </row>
    <row r="56">
      <c r="A56" s="132" t="inlineStr">
        <is>
          <t>L04</t>
        </is>
      </c>
      <c r="B56" s="139" t="inlineStr">
        <is>
          <t>Qatar</t>
        </is>
      </c>
      <c r="C56" s="139" t="inlineStr">
        <is>
          <t>Gulf/GCC</t>
        </is>
      </c>
      <c r="D56" s="135" t="n"/>
      <c r="E56" s="135" t="n"/>
      <c r="F56" s="138" t="n"/>
      <c r="G56" s="138" t="n"/>
    </row>
    <row r="57">
      <c r="A57" s="132" t="inlineStr">
        <is>
          <t>L05</t>
        </is>
      </c>
      <c r="B57" s="139" t="inlineStr">
        <is>
          <t>Türkiye</t>
        </is>
      </c>
      <c r="C57" s="139" t="inlineStr">
        <is>
          <t>Türkiye</t>
        </is>
      </c>
      <c r="D57" s="135" t="n"/>
      <c r="E57" s="135" t="n"/>
      <c r="F57" s="138" t="n"/>
      <c r="G57" s="138" t="n"/>
    </row>
    <row r="58">
      <c r="A58" s="132" t="inlineStr">
        <is>
          <t>L06</t>
        </is>
      </c>
      <c r="B58" s="139" t="inlineStr">
        <is>
          <t>Morocco</t>
        </is>
      </c>
      <c r="C58" s="139" t="inlineStr">
        <is>
          <t>North Africa</t>
        </is>
      </c>
      <c r="D58" s="135" t="n"/>
      <c r="E58" s="135" t="n"/>
      <c r="F58" s="138" t="n"/>
      <c r="G58" s="138" t="n"/>
    </row>
    <row r="59">
      <c r="A59" s="132" t="inlineStr">
        <is>
          <t>L07</t>
        </is>
      </c>
      <c r="B59" s="139" t="inlineStr">
        <is>
          <t>Algeria</t>
        </is>
      </c>
      <c r="C59" s="139" t="inlineStr">
        <is>
          <t>North Africa</t>
        </is>
      </c>
      <c r="D59" s="135" t="n"/>
      <c r="E59" s="135" t="n"/>
      <c r="F59" s="138" t="n"/>
      <c r="G59" s="138" t="n"/>
    </row>
    <row r="60">
      <c r="A60" s="132" t="inlineStr">
        <is>
          <t>L08</t>
        </is>
      </c>
      <c r="B60" s="139" t="inlineStr">
        <is>
          <t>Egypt</t>
        </is>
      </c>
      <c r="C60" s="139" t="inlineStr">
        <is>
          <t>North Africa</t>
        </is>
      </c>
      <c r="D60" s="135" t="n"/>
      <c r="E60" s="135" t="n"/>
      <c r="F60" s="138" t="n"/>
      <c r="G60" s="138" t="n"/>
    </row>
    <row r="61">
      <c r="A61" s="132" t="inlineStr">
        <is>
          <t>L09</t>
        </is>
      </c>
      <c r="B61" s="139" t="inlineStr">
        <is>
          <t>Tunisia</t>
        </is>
      </c>
      <c r="C61" s="139" t="inlineStr">
        <is>
          <t>North Africa</t>
        </is>
      </c>
      <c r="D61" s="135" t="n"/>
      <c r="E61" s="135" t="n"/>
      <c r="F61" s="138" t="n"/>
      <c r="G61" s="138" t="n"/>
    </row>
    <row r="62"/>
    <row r="63">
      <c r="A63" s="131" t="inlineStr">
        <is>
          <t>5. Certifications</t>
        </is>
      </c>
    </row>
    <row r="64" ht="36" customHeight="1">
      <c r="A64" s="10" t="inlineStr">
        <is>
          <t>Certification</t>
        </is>
      </c>
      <c r="B64" s="18" t="inlineStr">
        <is>
          <t>Yes / No</t>
        </is>
      </c>
      <c r="C64" s="10" t="inlineStr">
        <is>
          <t>Note</t>
        </is>
      </c>
    </row>
    <row r="65">
      <c r="A65" s="132" t="inlineStr">
        <is>
          <t>ISO 9001</t>
        </is>
      </c>
      <c r="B65" s="138" t="n"/>
      <c r="C65" s="134" t="inlineStr"/>
    </row>
    <row r="66">
      <c r="A66" s="132" t="inlineStr">
        <is>
          <t>ISO 14001</t>
        </is>
      </c>
      <c r="B66" s="138" t="n"/>
      <c r="C66" s="134" t="inlineStr"/>
    </row>
    <row r="67">
      <c r="A67" s="132" t="inlineStr">
        <is>
          <t>ISO 45001</t>
        </is>
      </c>
      <c r="B67" s="138" t="n"/>
      <c r="C67" s="134" t="inlineStr"/>
    </row>
    <row r="68">
      <c r="A68" s="132" t="inlineStr">
        <is>
          <t>AEO (authorised economic operator)</t>
        </is>
      </c>
      <c r="B68" s="138" t="n"/>
      <c r="C68" s="134" t="inlineStr"/>
    </row>
    <row r="69">
      <c r="A69" s="132" t="inlineStr">
        <is>
          <t>TAPA</t>
        </is>
      </c>
      <c r="B69" s="138" t="n"/>
      <c r="C69" s="134" t="inlineStr"/>
    </row>
    <row r="70">
      <c r="A70" s="132" t="inlineStr">
        <is>
          <t>IATA cargo agent</t>
        </is>
      </c>
      <c r="B70" s="138" t="n"/>
      <c r="C70" s="134" t="inlineStr"/>
    </row>
    <row r="71">
      <c r="A71" s="132" t="inlineStr">
        <is>
          <t>Other certifications</t>
        </is>
      </c>
      <c r="B71" s="135" t="n"/>
      <c r="C71" s="134" t="inlineStr"/>
    </row>
  </sheetData>
  <sheetProtection selectLockedCells="0" selectUnlockedCells="0" sheet="1" objects="0" insertRows="1" insertHyperlinks="1" autoFilter="0" scenarios="0" formatColumns="0" deleteColumns="1" insertColumns="1" pivotTables="1" deleteRows="1" formatCells="1" formatRows="0" sort="0"/>
  <dataValidations count="4">
    <dataValidation sqref="B21 B22 B23 B24 B25 B26 B27 B31 B32 B33 B34 B35 B36 B37 B38 B39 B40 B41 B42 B43 B44 B45 B46 B47 B48 B49 B65 B66 B67 B68 B69 B70 F53 F54 F55 F56 F57 F58 F59 F60 F61 G53 G54 G55 G56 G57 G58 G59 G60 G61" showDropDown="0" showInputMessage="0" showErrorMessage="0" allowBlank="1" type="list">
      <formula1>"Yes,No"</formula1>
    </dataValidation>
    <dataValidation sqref="B14" showDropDown="0" showInputMessage="0" showErrorMessage="0" allowBlank="1" type="date" operator="greaterThan">
      <formula1>DATE(2026,1,1)</formula1>
    </dataValidation>
    <dataValidation sqref="B15" showDropDown="0" showInputMessage="0" showErrorMessage="0" allowBlank="1" type="date" operator="greaterThan">
      <formula1>DATE(2026,1,1)</formula1>
    </dataValidation>
    <dataValidation sqref="D53 D54 D55 D56 D57 D58 D59 D60 D61" showDropDown="0" showInputMessage="0" showErrorMessage="0" allowBlank="1" type="list">
      <formula1>"Own entity,Agent,Partner network,Not served"</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2E75B6"/>
    <outlinePr summaryBelow="1" summaryRight="1"/>
    <pageSetUpPr fitToPage="1"/>
  </sheetPr>
  <dimension ref="A1:L52"/>
  <sheetViews>
    <sheetView showGridLines="0" workbookViewId="0">
      <selection activeCell="A1" sqref="A1"/>
    </sheetView>
  </sheetViews>
  <sheetFormatPr baseColWidth="8" defaultRowHeight="15"/>
  <cols>
    <col width="8" customWidth="1" min="1" max="1"/>
    <col width="22" customWidth="1" min="2" max="2"/>
    <col width="24" customWidth="1" min="3" max="3"/>
    <col width="12" customWidth="1" min="4" max="4"/>
    <col width="11" customWidth="1" min="5" max="5"/>
    <col width="9" customWidth="1" min="6" max="6"/>
    <col width="12" customWidth="1" min="7" max="7"/>
    <col width="12" customWidth="1" min="8" max="8"/>
    <col width="12" customWidth="1" min="9" max="9"/>
    <col width="12" customWidth="1" min="10" max="10"/>
    <col width="12" customWidth="1" min="11" max="11"/>
    <col width="12" customWidth="1" min="12" max="12"/>
  </cols>
  <sheetData>
    <row r="1">
      <c r="A1" s="99" t="inlineStr">
        <is>
          <t>Annual volumes per lane</t>
        </is>
      </c>
    </row>
    <row r="2">
      <c r="A2" s="98" t="inlineStr">
        <is>
          <t>Default origin: Helmond, NL. Lanes you choose to serve from your own regional hub use that hub as origin (Optional Regional Stock sheet). Estimates for quotation, not a volume commitment. Shipment-level dates are on the Schedule sheets.</t>
        </is>
      </c>
    </row>
    <row r="3"/>
    <row r="4">
      <c r="A4" s="93" t="inlineStr">
        <is>
          <t>Scenario A</t>
        </is>
      </c>
    </row>
    <row r="5" ht="44" customHeight="1">
      <c r="A5" s="10" t="inlineStr">
        <is>
          <t>Lane</t>
        </is>
      </c>
      <c r="B5" s="10" t="inlineStr">
        <is>
          <t>Destination country</t>
        </is>
      </c>
      <c r="C5" s="10" t="inlineStr">
        <is>
          <t>Main delivery cities</t>
        </is>
      </c>
      <c r="D5" s="10" t="inlineStr">
        <is>
          <t>Annual shipments</t>
        </is>
      </c>
      <c r="E5" s="10" t="inlineStr">
        <is>
          <t>Gross kg</t>
        </is>
      </c>
      <c r="F5" s="10" t="inlineStr">
        <is>
          <t>m3</t>
        </is>
      </c>
      <c r="G5" s="10" t="inlineStr">
        <is>
          <t>Chargeable kg</t>
        </is>
      </c>
      <c r="H5" s="10" t="inlineStr">
        <is>
          <t>Avg kg per shipment</t>
        </is>
      </c>
      <c r="I5" s="10" t="inlineStr">
        <is>
          <t>Peak month shipments</t>
        </is>
      </c>
    </row>
    <row r="6">
      <c r="A6" s="95" t="inlineStr">
        <is>
          <t>L01</t>
        </is>
      </c>
      <c r="B6" s="101" t="inlineStr">
        <is>
          <t>Saudi Arabia</t>
        </is>
      </c>
      <c r="C6" s="101" t="inlineStr">
        <is>
          <t>Jeddah, Riyadh</t>
        </is>
      </c>
      <c r="D6" s="122" t="n">
        <v>50</v>
      </c>
      <c r="E6" s="122" t="n">
        <v>15486</v>
      </c>
      <c r="F6" s="123" t="n">
        <v>100.3</v>
      </c>
      <c r="G6" s="122" t="n">
        <v>16716</v>
      </c>
      <c r="H6" s="122" t="n">
        <v>310</v>
      </c>
      <c r="I6" s="122">
        <f>'Timeline Summary'!P6</f>
        <v/>
      </c>
    </row>
    <row r="7">
      <c r="A7" s="95" t="inlineStr">
        <is>
          <t>L02</t>
        </is>
      </c>
      <c r="B7" s="101" t="inlineStr">
        <is>
          <t>United Arab Emirates</t>
        </is>
      </c>
      <c r="C7" s="101" t="inlineStr">
        <is>
          <t>Dubai</t>
        </is>
      </c>
      <c r="D7" s="122" t="n">
        <v>36</v>
      </c>
      <c r="E7" s="122" t="n">
        <v>1293</v>
      </c>
      <c r="F7" s="123" t="n">
        <v>8.4</v>
      </c>
      <c r="G7" s="122" t="n">
        <v>1395</v>
      </c>
      <c r="H7" s="122" t="n">
        <v>36</v>
      </c>
      <c r="I7" s="122">
        <f>'Timeline Summary'!P7</f>
        <v/>
      </c>
    </row>
    <row r="8">
      <c r="A8" s="95" t="inlineStr">
        <is>
          <t>L03</t>
        </is>
      </c>
      <c r="B8" s="101" t="inlineStr">
        <is>
          <t>Kuwait</t>
        </is>
      </c>
      <c r="C8" s="101" t="inlineStr">
        <is>
          <t>Kuwait City</t>
        </is>
      </c>
      <c r="D8" s="122" t="n">
        <v>12</v>
      </c>
      <c r="E8" s="122" t="n">
        <v>3983</v>
      </c>
      <c r="F8" s="123" t="n">
        <v>25.8</v>
      </c>
      <c r="G8" s="122" t="n">
        <v>4300</v>
      </c>
      <c r="H8" s="122" t="n">
        <v>332</v>
      </c>
      <c r="I8" s="122">
        <f>'Timeline Summary'!P8</f>
        <v/>
      </c>
    </row>
    <row r="9">
      <c r="A9" s="95" t="inlineStr">
        <is>
          <t>L04</t>
        </is>
      </c>
      <c r="B9" s="101" t="inlineStr">
        <is>
          <t>Qatar</t>
        </is>
      </c>
      <c r="C9" s="101" t="inlineStr">
        <is>
          <t>Doha</t>
        </is>
      </c>
      <c r="D9" s="122" t="n">
        <v>10</v>
      </c>
      <c r="E9" s="122" t="n">
        <v>343</v>
      </c>
      <c r="F9" s="123" t="n">
        <v>2.2</v>
      </c>
      <c r="G9" s="122" t="n">
        <v>371</v>
      </c>
      <c r="H9" s="122" t="n">
        <v>34</v>
      </c>
      <c r="I9" s="122">
        <f>'Timeline Summary'!P9</f>
        <v/>
      </c>
    </row>
    <row r="10">
      <c r="A10" s="95" t="inlineStr">
        <is>
          <t>L05</t>
        </is>
      </c>
      <c r="B10" s="101" t="inlineStr">
        <is>
          <t>Türkiye</t>
        </is>
      </c>
      <c r="C10" s="101" t="inlineStr">
        <is>
          <t>Istanbul</t>
        </is>
      </c>
      <c r="D10" s="122" t="n">
        <v>16</v>
      </c>
      <c r="E10" s="122" t="n">
        <v>1819</v>
      </c>
      <c r="F10" s="123" t="n">
        <v>11.8</v>
      </c>
      <c r="G10" s="122" t="n">
        <v>1963</v>
      </c>
      <c r="H10" s="122" t="n">
        <v>114</v>
      </c>
      <c r="I10" s="122">
        <f>'Timeline Summary'!P10</f>
        <v/>
      </c>
    </row>
    <row r="11">
      <c r="A11" s="95" t="inlineStr">
        <is>
          <t>L06</t>
        </is>
      </c>
      <c r="B11" s="101" t="inlineStr">
        <is>
          <t>Morocco</t>
        </is>
      </c>
      <c r="C11" s="101" t="inlineStr">
        <is>
          <t>Casablanca area, Rabat</t>
        </is>
      </c>
      <c r="D11" s="122" t="n">
        <v>6</v>
      </c>
      <c r="E11" s="122" t="n">
        <v>1278</v>
      </c>
      <c r="F11" s="123" t="n">
        <v>8.300000000000001</v>
      </c>
      <c r="G11" s="122" t="n">
        <v>1379</v>
      </c>
      <c r="H11" s="122" t="n">
        <v>213</v>
      </c>
      <c r="I11" s="122">
        <f>'Timeline Summary'!P11</f>
        <v/>
      </c>
    </row>
    <row r="12">
      <c r="A12" s="95" t="inlineStr">
        <is>
          <t>L07</t>
        </is>
      </c>
      <c r="B12" s="101" t="inlineStr">
        <is>
          <t>Algeria</t>
        </is>
      </c>
      <c r="C12" s="101" t="inlineStr">
        <is>
          <t>Algiers</t>
        </is>
      </c>
      <c r="D12" s="122" t="n">
        <v>4</v>
      </c>
      <c r="E12" s="122" t="n">
        <v>328</v>
      </c>
      <c r="F12" s="123" t="n">
        <v>2.1</v>
      </c>
      <c r="G12" s="122" t="n">
        <v>354</v>
      </c>
      <c r="H12" s="122" t="n">
        <v>82</v>
      </c>
      <c r="I12" s="122">
        <f>'Timeline Summary'!P12</f>
        <v/>
      </c>
    </row>
    <row r="13">
      <c r="A13" s="95" t="inlineStr">
        <is>
          <t>L08</t>
        </is>
      </c>
      <c r="B13" s="101" t="inlineStr">
        <is>
          <t>Egypt</t>
        </is>
      </c>
      <c r="C13" s="101" t="inlineStr">
        <is>
          <t>Cairo area</t>
        </is>
      </c>
      <c r="D13" s="122" t="n">
        <v>6</v>
      </c>
      <c r="E13" s="122" t="n">
        <v>1278</v>
      </c>
      <c r="F13" s="123" t="n">
        <v>8.300000000000001</v>
      </c>
      <c r="G13" s="122" t="n">
        <v>1379</v>
      </c>
      <c r="H13" s="122" t="n">
        <v>213</v>
      </c>
      <c r="I13" s="122">
        <f>'Timeline Summary'!P13</f>
        <v/>
      </c>
    </row>
    <row r="14">
      <c r="A14" s="95" t="inlineStr">
        <is>
          <t>L09</t>
        </is>
      </c>
      <c r="B14" s="101" t="inlineStr">
        <is>
          <t>Tunisia</t>
        </is>
      </c>
      <c r="C14" s="101" t="inlineStr">
        <is>
          <t>Sousse</t>
        </is>
      </c>
      <c r="D14" s="122" t="n">
        <v>1</v>
      </c>
      <c r="E14" s="122" t="n">
        <v>8</v>
      </c>
      <c r="F14" s="123" t="n">
        <v>0.1</v>
      </c>
      <c r="G14" s="122" t="n">
        <v>8</v>
      </c>
      <c r="H14" s="122" t="n">
        <v>8</v>
      </c>
      <c r="I14" s="122">
        <f>'Timeline Summary'!P14</f>
        <v/>
      </c>
    </row>
    <row r="15">
      <c r="A15" s="96" t="inlineStr">
        <is>
          <t>Total</t>
        </is>
      </c>
      <c r="B15" s="118" t="inlineStr"/>
      <c r="C15" s="118" t="inlineStr"/>
      <c r="D15" s="124">
        <f>SUM(D6:D14)</f>
        <v/>
      </c>
      <c r="E15" s="124">
        <f>SUM(E6:E14)</f>
        <v/>
      </c>
      <c r="F15" s="125">
        <f>SUM(F6:F14)</f>
        <v/>
      </c>
      <c r="G15" s="124">
        <f>SUM(G6:G14)</f>
        <v/>
      </c>
      <c r="H15" s="124">
        <f>IFERROR(E15/D15,0)</f>
        <v/>
      </c>
      <c r="I15" s="45">
        <f>'Timeline Summary'!P15</f>
        <v/>
      </c>
    </row>
    <row r="16"/>
    <row r="17"/>
    <row r="18">
      <c r="A18" s="93" t="inlineStr">
        <is>
          <t>Scenario B</t>
        </is>
      </c>
    </row>
    <row r="19" ht="44" customHeight="1">
      <c r="A19" s="10" t="inlineStr">
        <is>
          <t>Lane</t>
        </is>
      </c>
      <c r="B19" s="10" t="inlineStr">
        <is>
          <t>Destination country</t>
        </is>
      </c>
      <c r="C19" s="10" t="inlineStr">
        <is>
          <t>Main delivery cities</t>
        </is>
      </c>
      <c r="D19" s="10" t="inlineStr">
        <is>
          <t>Annual shipments</t>
        </is>
      </c>
      <c r="E19" s="10" t="inlineStr">
        <is>
          <t>Gross kg</t>
        </is>
      </c>
      <c r="F19" s="10" t="inlineStr">
        <is>
          <t>m3</t>
        </is>
      </c>
      <c r="G19" s="10" t="inlineStr">
        <is>
          <t>Chargeable kg</t>
        </is>
      </c>
      <c r="H19" s="10" t="inlineStr">
        <is>
          <t>Avg kg per shipment</t>
        </is>
      </c>
      <c r="I19" s="10" t="inlineStr">
        <is>
          <t>Peak month shipments</t>
        </is>
      </c>
    </row>
    <row r="20">
      <c r="A20" s="95" t="inlineStr">
        <is>
          <t>L01</t>
        </is>
      </c>
      <c r="B20" s="101" t="inlineStr">
        <is>
          <t>Saudi Arabia</t>
        </is>
      </c>
      <c r="C20" s="101" t="inlineStr">
        <is>
          <t>Jeddah, Riyadh</t>
        </is>
      </c>
      <c r="D20" s="122" t="n">
        <v>117</v>
      </c>
      <c r="E20" s="122" t="n">
        <v>37169</v>
      </c>
      <c r="F20" s="123" t="n">
        <v>240.7</v>
      </c>
      <c r="G20" s="122" t="n">
        <v>40121</v>
      </c>
      <c r="H20" s="122" t="n">
        <v>318</v>
      </c>
      <c r="I20" s="122">
        <f>'Timeline Summary'!P20</f>
        <v/>
      </c>
    </row>
    <row r="21">
      <c r="A21" s="95" t="inlineStr">
        <is>
          <t>L02</t>
        </is>
      </c>
      <c r="B21" s="101" t="inlineStr">
        <is>
          <t>United Arab Emirates</t>
        </is>
      </c>
      <c r="C21" s="101" t="inlineStr">
        <is>
          <t>Dubai</t>
        </is>
      </c>
      <c r="D21" s="122" t="n">
        <v>84</v>
      </c>
      <c r="E21" s="122" t="n">
        <v>2932</v>
      </c>
      <c r="F21" s="123" t="n">
        <v>19</v>
      </c>
      <c r="G21" s="122" t="n">
        <v>3165</v>
      </c>
      <c r="H21" s="122" t="n">
        <v>35</v>
      </c>
      <c r="I21" s="122">
        <f>'Timeline Summary'!P21</f>
        <v/>
      </c>
    </row>
    <row r="22">
      <c r="A22" s="95" t="inlineStr">
        <is>
          <t>L03</t>
        </is>
      </c>
      <c r="B22" s="101" t="inlineStr">
        <is>
          <t>Kuwait</t>
        </is>
      </c>
      <c r="C22" s="101" t="inlineStr">
        <is>
          <t>Kuwait City</t>
        </is>
      </c>
      <c r="D22" s="122" t="n">
        <v>29</v>
      </c>
      <c r="E22" s="122" t="n">
        <v>9698</v>
      </c>
      <c r="F22" s="123" t="n">
        <v>62.8</v>
      </c>
      <c r="G22" s="122" t="n">
        <v>10468</v>
      </c>
      <c r="H22" s="122" t="n">
        <v>334</v>
      </c>
      <c r="I22" s="122">
        <f>'Timeline Summary'!P22</f>
        <v/>
      </c>
    </row>
    <row r="23">
      <c r="A23" s="95" t="inlineStr">
        <is>
          <t>L04</t>
        </is>
      </c>
      <c r="B23" s="101" t="inlineStr">
        <is>
          <t>Qatar</t>
        </is>
      </c>
      <c r="C23" s="101" t="inlineStr">
        <is>
          <t>Doha</t>
        </is>
      </c>
      <c r="D23" s="122" t="n">
        <v>23</v>
      </c>
      <c r="E23" s="122" t="n">
        <v>798</v>
      </c>
      <c r="F23" s="123" t="n">
        <v>5.2</v>
      </c>
      <c r="G23" s="122" t="n">
        <v>862</v>
      </c>
      <c r="H23" s="122" t="n">
        <v>35</v>
      </c>
      <c r="I23" s="122">
        <f>'Timeline Summary'!P23</f>
        <v/>
      </c>
    </row>
    <row r="24">
      <c r="A24" s="95" t="inlineStr">
        <is>
          <t>L05</t>
        </is>
      </c>
      <c r="B24" s="101" t="inlineStr">
        <is>
          <t>Türkiye</t>
        </is>
      </c>
      <c r="C24" s="101" t="inlineStr">
        <is>
          <t>Istanbul</t>
        </is>
      </c>
      <c r="D24" s="122" t="n">
        <v>37</v>
      </c>
      <c r="E24" s="122" t="n">
        <v>4226</v>
      </c>
      <c r="F24" s="123" t="n">
        <v>27.4</v>
      </c>
      <c r="G24" s="122" t="n">
        <v>4562</v>
      </c>
      <c r="H24" s="122" t="n">
        <v>114</v>
      </c>
      <c r="I24" s="122">
        <f>'Timeline Summary'!P24</f>
        <v/>
      </c>
    </row>
    <row r="25">
      <c r="A25" s="95" t="inlineStr">
        <is>
          <t>L06</t>
        </is>
      </c>
      <c r="B25" s="101" t="inlineStr">
        <is>
          <t>Morocco</t>
        </is>
      </c>
      <c r="C25" s="101" t="inlineStr">
        <is>
          <t>Casablanca area, Rabat</t>
        </is>
      </c>
      <c r="D25" s="122" t="n">
        <v>13</v>
      </c>
      <c r="E25" s="122" t="n">
        <v>1882</v>
      </c>
      <c r="F25" s="123" t="n">
        <v>12.2</v>
      </c>
      <c r="G25" s="122" t="n">
        <v>2032</v>
      </c>
      <c r="H25" s="122" t="n">
        <v>145</v>
      </c>
      <c r="I25" s="122">
        <f>'Timeline Summary'!P25</f>
        <v/>
      </c>
    </row>
    <row r="26">
      <c r="A26" s="95" t="inlineStr">
        <is>
          <t>L07</t>
        </is>
      </c>
      <c r="B26" s="101" t="inlineStr">
        <is>
          <t>Algeria</t>
        </is>
      </c>
      <c r="C26" s="101" t="inlineStr">
        <is>
          <t>Algiers</t>
        </is>
      </c>
      <c r="D26" s="122" t="n">
        <v>9</v>
      </c>
      <c r="E26" s="122" t="n">
        <v>1554</v>
      </c>
      <c r="F26" s="123" t="n">
        <v>10.1</v>
      </c>
      <c r="G26" s="122" t="n">
        <v>1677</v>
      </c>
      <c r="H26" s="122" t="n">
        <v>173</v>
      </c>
      <c r="I26" s="122">
        <f>'Timeline Summary'!P26</f>
        <v/>
      </c>
    </row>
    <row r="27">
      <c r="A27" s="95" t="inlineStr">
        <is>
          <t>L08</t>
        </is>
      </c>
      <c r="B27" s="101" t="inlineStr">
        <is>
          <t>Egypt</t>
        </is>
      </c>
      <c r="C27" s="101" t="inlineStr">
        <is>
          <t>Cairo area</t>
        </is>
      </c>
      <c r="D27" s="122" t="n">
        <v>13</v>
      </c>
      <c r="E27" s="122" t="n">
        <v>1882</v>
      </c>
      <c r="F27" s="123" t="n">
        <v>12.2</v>
      </c>
      <c r="G27" s="122" t="n">
        <v>2032</v>
      </c>
      <c r="H27" s="122" t="n">
        <v>145</v>
      </c>
      <c r="I27" s="122">
        <f>'Timeline Summary'!P27</f>
        <v/>
      </c>
    </row>
    <row r="28">
      <c r="A28" s="95" t="inlineStr">
        <is>
          <t>L09</t>
        </is>
      </c>
      <c r="B28" s="101" t="inlineStr">
        <is>
          <t>Tunisia</t>
        </is>
      </c>
      <c r="C28" s="101" t="inlineStr">
        <is>
          <t>Sousse</t>
        </is>
      </c>
      <c r="D28" s="122" t="n">
        <v>4</v>
      </c>
      <c r="E28" s="122" t="n">
        <v>328</v>
      </c>
      <c r="F28" s="123" t="n">
        <v>2.1</v>
      </c>
      <c r="G28" s="122" t="n">
        <v>354</v>
      </c>
      <c r="H28" s="122" t="n">
        <v>82</v>
      </c>
      <c r="I28" s="122">
        <f>'Timeline Summary'!P28</f>
        <v/>
      </c>
    </row>
    <row r="29">
      <c r="A29" s="96" t="inlineStr">
        <is>
          <t>Total</t>
        </is>
      </c>
      <c r="B29" s="118" t="inlineStr"/>
      <c r="C29" s="118" t="inlineStr"/>
      <c r="D29" s="124">
        <f>SUM(D20:D28)</f>
        <v/>
      </c>
      <c r="E29" s="124">
        <f>SUM(E20:E28)</f>
        <v/>
      </c>
      <c r="F29" s="125">
        <f>SUM(F20:F28)</f>
        <v/>
      </c>
      <c r="G29" s="124">
        <f>SUM(G20:G28)</f>
        <v/>
      </c>
      <c r="H29" s="124">
        <f>IFERROR(E29/D29,0)</f>
        <v/>
      </c>
      <c r="I29" s="45">
        <f>'Timeline Summary'!P29</f>
        <v/>
      </c>
    </row>
    <row r="30"/>
    <row r="31"/>
    <row r="32">
      <c r="A32" s="93" t="inlineStr">
        <is>
          <t>Annual shipments per weight band</t>
        </is>
      </c>
    </row>
    <row r="33" ht="56" customHeight="1">
      <c r="A33" s="10" t="inlineStr">
        <is>
          <t>Lane</t>
        </is>
      </c>
      <c r="B33" s="10" t="inlineStr">
        <is>
          <t>Destination country</t>
        </is>
      </c>
      <c r="C33" s="10" t="inlineStr">
        <is>
          <t>Scenario A 
B1  0 to 30 kg</t>
        </is>
      </c>
      <c r="D33" s="10" t="inlineStr">
        <is>
          <t>Scenario A 
B2  30 to 100 kg</t>
        </is>
      </c>
      <c r="E33" s="10" t="inlineStr">
        <is>
          <t>Scenario A 
B3  100 to 500 kg</t>
        </is>
      </c>
      <c r="F33" s="10" t="inlineStr">
        <is>
          <t>Scenario A 
B4  500 to 2,000 kg</t>
        </is>
      </c>
      <c r="G33" s="10" t="inlineStr">
        <is>
          <t>Scenario A 
B5  over 2,000 kg</t>
        </is>
      </c>
      <c r="H33" s="10" t="inlineStr">
        <is>
          <t>Scenario B 
B1  0 to 30 kg</t>
        </is>
      </c>
      <c r="I33" s="10" t="inlineStr">
        <is>
          <t>Scenario B 
B2  30 to 100 kg</t>
        </is>
      </c>
      <c r="J33" s="10" t="inlineStr">
        <is>
          <t>Scenario B 
B3  100 to 500 kg</t>
        </is>
      </c>
      <c r="K33" s="10" t="inlineStr">
        <is>
          <t>Scenario B 
B4  500 to 2,000 kg</t>
        </is>
      </c>
      <c r="L33" s="10" t="inlineStr">
        <is>
          <t>Scenario B 
B5  over 2,000 kg</t>
        </is>
      </c>
    </row>
    <row r="34">
      <c r="A34" s="95" t="inlineStr">
        <is>
          <t>L01</t>
        </is>
      </c>
      <c r="B34" s="101" t="inlineStr">
        <is>
          <t>Saudi Arabia</t>
        </is>
      </c>
      <c r="C34" s="122" t="n">
        <v>22</v>
      </c>
      <c r="D34" s="122" t="n">
        <v>8</v>
      </c>
      <c r="E34" s="122" t="n">
        <v>10</v>
      </c>
      <c r="F34" s="122" t="n">
        <v>8</v>
      </c>
      <c r="G34" s="122" t="n">
        <v>2</v>
      </c>
      <c r="H34" s="122" t="n">
        <v>51</v>
      </c>
      <c r="I34" s="122" t="n">
        <v>19</v>
      </c>
      <c r="J34" s="122" t="n">
        <v>23</v>
      </c>
      <c r="K34" s="122" t="n">
        <v>19</v>
      </c>
      <c r="L34" s="122" t="n">
        <v>5</v>
      </c>
    </row>
    <row r="35">
      <c r="A35" s="95" t="inlineStr">
        <is>
          <t>L02</t>
        </is>
      </c>
      <c r="B35" s="101" t="inlineStr">
        <is>
          <t>United Arab Emirates</t>
        </is>
      </c>
      <c r="C35" s="122" t="n">
        <v>32</v>
      </c>
      <c r="D35" s="122" t="n">
        <v>0</v>
      </c>
      <c r="E35" s="122" t="n">
        <v>4</v>
      </c>
      <c r="F35" s="122" t="n">
        <v>0</v>
      </c>
      <c r="G35" s="122" t="n">
        <v>0</v>
      </c>
      <c r="H35" s="122" t="n">
        <v>75</v>
      </c>
      <c r="I35" s="122" t="n">
        <v>0</v>
      </c>
      <c r="J35" s="122" t="n">
        <v>9</v>
      </c>
      <c r="K35" s="122" t="n">
        <v>0</v>
      </c>
      <c r="L35" s="122" t="n">
        <v>0</v>
      </c>
    </row>
    <row r="36">
      <c r="A36" s="95" t="inlineStr">
        <is>
          <t>L03</t>
        </is>
      </c>
      <c r="B36" s="101" t="inlineStr">
        <is>
          <t>Kuwait</t>
        </is>
      </c>
      <c r="C36" s="122" t="n">
        <v>2</v>
      </c>
      <c r="D36" s="122" t="n">
        <v>0</v>
      </c>
      <c r="E36" s="122" t="n">
        <v>8</v>
      </c>
      <c r="F36" s="122" t="n">
        <v>2</v>
      </c>
      <c r="G36" s="122" t="n">
        <v>0</v>
      </c>
      <c r="H36" s="122" t="n">
        <v>5</v>
      </c>
      <c r="I36" s="122" t="n">
        <v>0</v>
      </c>
      <c r="J36" s="122" t="n">
        <v>19</v>
      </c>
      <c r="K36" s="122" t="n">
        <v>5</v>
      </c>
      <c r="L36" s="122" t="n">
        <v>0</v>
      </c>
    </row>
    <row r="37">
      <c r="A37" s="95" t="inlineStr">
        <is>
          <t>L04</t>
        </is>
      </c>
      <c r="B37" s="101" t="inlineStr">
        <is>
          <t>Qatar</t>
        </is>
      </c>
      <c r="C37" s="122" t="n">
        <v>4</v>
      </c>
      <c r="D37" s="122" t="n">
        <v>6</v>
      </c>
      <c r="E37" s="122" t="n">
        <v>0</v>
      </c>
      <c r="F37" s="122" t="n">
        <v>0</v>
      </c>
      <c r="G37" s="122" t="n">
        <v>0</v>
      </c>
      <c r="H37" s="122" t="n">
        <v>9</v>
      </c>
      <c r="I37" s="122" t="n">
        <v>14</v>
      </c>
      <c r="J37" s="122" t="n">
        <v>0</v>
      </c>
      <c r="K37" s="122" t="n">
        <v>0</v>
      </c>
      <c r="L37" s="122" t="n">
        <v>0</v>
      </c>
    </row>
    <row r="38">
      <c r="A38" s="95" t="inlineStr">
        <is>
          <t>L05</t>
        </is>
      </c>
      <c r="B38" s="101" t="inlineStr">
        <is>
          <t>Türkiye</t>
        </is>
      </c>
      <c r="C38" s="122" t="n">
        <v>6</v>
      </c>
      <c r="D38" s="122" t="n">
        <v>4</v>
      </c>
      <c r="E38" s="122" t="n">
        <v>6</v>
      </c>
      <c r="F38" s="122" t="n">
        <v>0</v>
      </c>
      <c r="G38" s="122" t="n">
        <v>0</v>
      </c>
      <c r="H38" s="122" t="n">
        <v>14</v>
      </c>
      <c r="I38" s="122" t="n">
        <v>9</v>
      </c>
      <c r="J38" s="122" t="n">
        <v>14</v>
      </c>
      <c r="K38" s="122" t="n">
        <v>0</v>
      </c>
      <c r="L38" s="122" t="n">
        <v>0</v>
      </c>
    </row>
    <row r="39">
      <c r="A39" s="95" t="inlineStr">
        <is>
          <t>L06</t>
        </is>
      </c>
      <c r="B39" s="101" t="inlineStr">
        <is>
          <t>Morocco</t>
        </is>
      </c>
      <c r="C39" s="122" t="n">
        <v>3</v>
      </c>
      <c r="D39" s="122" t="n">
        <v>1</v>
      </c>
      <c r="E39" s="122" t="n">
        <v>1</v>
      </c>
      <c r="F39" s="122" t="n">
        <v>1</v>
      </c>
      <c r="G39" s="122" t="n">
        <v>0</v>
      </c>
      <c r="H39" s="122" t="n">
        <v>7</v>
      </c>
      <c r="I39" s="122" t="n">
        <v>2</v>
      </c>
      <c r="J39" s="122" t="n">
        <v>3</v>
      </c>
      <c r="K39" s="122" t="n">
        <v>1</v>
      </c>
      <c r="L39" s="122" t="n">
        <v>0</v>
      </c>
    </row>
    <row r="40">
      <c r="A40" s="95" t="inlineStr">
        <is>
          <t>L07</t>
        </is>
      </c>
      <c r="B40" s="101" t="inlineStr">
        <is>
          <t>Algeria</t>
        </is>
      </c>
      <c r="C40" s="122" t="n">
        <v>2</v>
      </c>
      <c r="D40" s="122" t="n">
        <v>1</v>
      </c>
      <c r="E40" s="122" t="n">
        <v>1</v>
      </c>
      <c r="F40" s="122" t="n">
        <v>0</v>
      </c>
      <c r="G40" s="122" t="n">
        <v>0</v>
      </c>
      <c r="H40" s="122" t="n">
        <v>5</v>
      </c>
      <c r="I40" s="122" t="n">
        <v>1</v>
      </c>
      <c r="J40" s="122" t="n">
        <v>2</v>
      </c>
      <c r="K40" s="122" t="n">
        <v>1</v>
      </c>
      <c r="L40" s="122" t="n">
        <v>0</v>
      </c>
    </row>
    <row r="41">
      <c r="A41" s="95" t="inlineStr">
        <is>
          <t>L08</t>
        </is>
      </c>
      <c r="B41" s="101" t="inlineStr">
        <is>
          <t>Egypt</t>
        </is>
      </c>
      <c r="C41" s="122" t="n">
        <v>3</v>
      </c>
      <c r="D41" s="122" t="n">
        <v>1</v>
      </c>
      <c r="E41" s="122" t="n">
        <v>1</v>
      </c>
      <c r="F41" s="122" t="n">
        <v>1</v>
      </c>
      <c r="G41" s="122" t="n">
        <v>0</v>
      </c>
      <c r="H41" s="122" t="n">
        <v>7</v>
      </c>
      <c r="I41" s="122" t="n">
        <v>2</v>
      </c>
      <c r="J41" s="122" t="n">
        <v>3</v>
      </c>
      <c r="K41" s="122" t="n">
        <v>1</v>
      </c>
      <c r="L41" s="122" t="n">
        <v>0</v>
      </c>
    </row>
    <row r="42">
      <c r="A42" s="95" t="inlineStr">
        <is>
          <t>L09</t>
        </is>
      </c>
      <c r="B42" s="101" t="inlineStr">
        <is>
          <t>Tunisia</t>
        </is>
      </c>
      <c r="C42" s="122" t="n">
        <v>1</v>
      </c>
      <c r="D42" s="122" t="n">
        <v>0</v>
      </c>
      <c r="E42" s="122" t="n">
        <v>0</v>
      </c>
      <c r="F42" s="122" t="n">
        <v>0</v>
      </c>
      <c r="G42" s="122" t="n">
        <v>0</v>
      </c>
      <c r="H42" s="122" t="n">
        <v>2</v>
      </c>
      <c r="I42" s="122" t="n">
        <v>1</v>
      </c>
      <c r="J42" s="122" t="n">
        <v>1</v>
      </c>
      <c r="K42" s="122" t="n">
        <v>0</v>
      </c>
      <c r="L42" s="122" t="n">
        <v>0</v>
      </c>
    </row>
    <row r="43">
      <c r="A43" s="96" t="inlineStr">
        <is>
          <t>Total</t>
        </is>
      </c>
      <c r="B43" s="118" t="inlineStr"/>
      <c r="C43" s="124">
        <f>SUM(C34:C42)</f>
        <v/>
      </c>
      <c r="D43" s="124">
        <f>SUM(D34:D42)</f>
        <v/>
      </c>
      <c r="E43" s="124">
        <f>SUM(E34:E42)</f>
        <v/>
      </c>
      <c r="F43" s="124">
        <f>SUM(F34:F42)</f>
        <v/>
      </c>
      <c r="G43" s="124">
        <f>SUM(G34:G42)</f>
        <v/>
      </c>
      <c r="H43" s="124">
        <f>SUM(H34:H42)</f>
        <v/>
      </c>
      <c r="I43" s="124">
        <f>SUM(I34:I42)</f>
        <v/>
      </c>
      <c r="J43" s="124">
        <f>SUM(J34:J42)</f>
        <v/>
      </c>
      <c r="K43" s="124">
        <f>SUM(K34:K42)</f>
        <v/>
      </c>
      <c r="L43" s="124">
        <f>SUM(L34:L42)</f>
        <v/>
      </c>
    </row>
    <row r="44"/>
    <row r="45"/>
    <row r="46">
      <c r="A46" s="93" t="inlineStr">
        <is>
          <t>Average shipment size per weight band</t>
        </is>
      </c>
    </row>
    <row r="47" ht="44" customHeight="1">
      <c r="A47" s="10" t="inlineStr">
        <is>
          <t>Weight band</t>
        </is>
      </c>
      <c r="B47" s="10" t="inlineStr">
        <is>
          <t>Avg gross kg per shipment</t>
        </is>
      </c>
      <c r="C47" s="10" t="inlineStr">
        <is>
          <t>Avg chargeable kg per shipment</t>
        </is>
      </c>
      <c r="D47" s="10" t="inlineStr">
        <is>
          <t>Expected mode</t>
        </is>
      </c>
    </row>
    <row r="48">
      <c r="A48" s="95" t="inlineStr">
        <is>
          <t>B1  0 to 30 kg</t>
        </is>
      </c>
      <c r="B48" s="122" t="n">
        <v>8</v>
      </c>
      <c r="C48" s="122" t="n">
        <v>8</v>
      </c>
      <c r="D48" s="101" t="inlineStr">
        <is>
          <t>Express parcel</t>
        </is>
      </c>
    </row>
    <row r="49">
      <c r="A49" s="95" t="inlineStr">
        <is>
          <t>B2  30 to 100 kg</t>
        </is>
      </c>
      <c r="B49" s="122" t="n">
        <v>52</v>
      </c>
      <c r="C49" s="122" t="n">
        <v>56</v>
      </c>
      <c r="D49" s="101" t="inlineStr">
        <is>
          <t>Express heavy or air</t>
        </is>
      </c>
    </row>
    <row r="50">
      <c r="A50" s="95" t="inlineStr">
        <is>
          <t>B3  100 to 500 kg</t>
        </is>
      </c>
      <c r="B50" s="122" t="n">
        <v>261</v>
      </c>
      <c r="C50" s="122" t="n">
        <v>281</v>
      </c>
      <c r="D50" s="101" t="inlineStr">
        <is>
          <t>Air freight</t>
        </is>
      </c>
    </row>
    <row r="51">
      <c r="A51" s="95" t="inlineStr">
        <is>
          <t>B4  500 to 2,000 kg</t>
        </is>
      </c>
      <c r="B51" s="122" t="n">
        <v>941</v>
      </c>
      <c r="C51" s="122" t="n">
        <v>1016</v>
      </c>
      <c r="D51" s="101" t="inlineStr">
        <is>
          <t>Air or groupage road/sea</t>
        </is>
      </c>
    </row>
    <row r="52">
      <c r="A52" s="95" t="inlineStr">
        <is>
          <t>B5  over 2,000 kg</t>
        </is>
      </c>
      <c r="B52" s="122" t="n">
        <v>2380</v>
      </c>
      <c r="C52" s="122" t="n">
        <v>2569</v>
      </c>
      <c r="D52" s="101" t="inlineStr">
        <is>
          <t>FTL road or sea FCL/LCL</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pageSetup orientation="landscape" fitToHeight="0" fitToWidth="1"/>
</worksheet>
</file>

<file path=xl/worksheets/sheet4.xml><?xml version="1.0" encoding="utf-8"?>
<worksheet xmlns="http://schemas.openxmlformats.org/spreadsheetml/2006/main">
  <sheetPr>
    <tabColor rgb="002E75B6"/>
    <outlinePr summaryBelow="1" summaryRight="1"/>
    <pageSetUpPr fitToPage="1"/>
  </sheetPr>
  <dimension ref="A1:M58"/>
  <sheetViews>
    <sheetView showGridLines="0" workbookViewId="0">
      <selection activeCell="A1" sqref="A1"/>
    </sheetView>
  </sheetViews>
  <sheetFormatPr baseColWidth="8" defaultRowHeight="15"/>
  <cols>
    <col width="22" customWidth="1" min="1" max="1"/>
    <col width="22" customWidth="1" min="2" max="2"/>
    <col width="14" customWidth="1" min="3" max="3"/>
    <col width="12" customWidth="1" min="4" max="4"/>
    <col width="16" customWidth="1" min="5" max="5"/>
    <col width="26" customWidth="1" min="6" max="6"/>
    <col width="14" customWidth="1" min="7" max="7"/>
    <col width="14" customWidth="1" min="8" max="8"/>
    <col width="14" customWidth="1" min="9" max="9"/>
    <col width="3" customWidth="1" min="10" max="10"/>
    <col width="12" customWidth="1" min="11" max="11"/>
    <col width="12" customWidth="1" min="12" max="12"/>
    <col width="40" customWidth="1" min="13" max="13"/>
  </cols>
  <sheetData>
    <row r="1">
      <c r="A1" s="99" t="inlineStr">
        <is>
          <t>Timeline rules behind the shipment schedules</t>
        </is>
      </c>
    </row>
    <row r="2">
      <c r="A2" s="98" t="inlineStr">
        <is>
          <t>Holiday dates for Islamic holidays are estimates and depend on moon sighting. Please correct any date you know to be different.</t>
        </is>
      </c>
    </row>
    <row r="3"/>
    <row r="4">
      <c r="A4" s="93" t="inlineStr">
        <is>
          <t>Lane rules</t>
        </is>
      </c>
      <c r="K4" s="93" t="inlineStr">
        <is>
          <t>Monthly order profile (share of annual shipments)</t>
        </is>
      </c>
    </row>
    <row r="5" ht="44" customHeight="1">
      <c r="A5" s="10" t="inlineStr">
        <is>
          <t>Lane</t>
        </is>
      </c>
      <c r="B5" s="10" t="inlineStr">
        <is>
          <t>Destination</t>
        </is>
      </c>
      <c r="C5" s="10" t="inlineStr">
        <is>
          <t>Destination weekend</t>
        </is>
      </c>
      <c r="D5" s="10" t="inlineStr">
        <is>
          <t>Weekend code (Excel)</t>
        </is>
      </c>
      <c r="E5" s="10" t="inlineStr">
        <is>
          <t>Target delivery (working days after pickup)</t>
        </is>
      </c>
      <c r="F5" s="10" t="inlineStr">
        <is>
          <t>Target</t>
        </is>
      </c>
      <c r="K5" s="10" t="inlineStr">
        <is>
          <t>Month</t>
        </is>
      </c>
      <c r="L5" s="10" t="inlineStr">
        <is>
          <t>Weight (1.0 = average month)</t>
        </is>
      </c>
      <c r="M5" s="10" t="inlineStr">
        <is>
          <t>Reason</t>
        </is>
      </c>
    </row>
    <row r="6">
      <c r="A6" s="95" t="inlineStr">
        <is>
          <t>L01</t>
        </is>
      </c>
      <c r="B6" s="101" t="inlineStr">
        <is>
          <t>Saudi Arabia</t>
        </is>
      </c>
      <c r="C6" s="112" t="inlineStr">
        <is>
          <t>Fri-Sat</t>
        </is>
      </c>
      <c r="D6" s="52" t="n">
        <v>7</v>
      </c>
      <c r="E6" s="52" t="n">
        <v>2</v>
      </c>
      <c r="F6" s="101" t="inlineStr">
        <is>
          <t>48 hours, next day preferred</t>
        </is>
      </c>
      <c r="K6" s="81" t="n">
        <v>46388</v>
      </c>
      <c r="L6" s="54" t="n">
        <v>1</v>
      </c>
      <c r="M6" s="101" t="inlineStr">
        <is>
          <t>Normal month</t>
        </is>
      </c>
    </row>
    <row r="7">
      <c r="A7" s="95" t="inlineStr">
        <is>
          <t>L02</t>
        </is>
      </c>
      <c r="B7" s="101" t="inlineStr">
        <is>
          <t>United Arab Emirates</t>
        </is>
      </c>
      <c r="C7" s="112" t="inlineStr">
        <is>
          <t>Sat-Sun</t>
        </is>
      </c>
      <c r="D7" s="52" t="n">
        <v>1</v>
      </c>
      <c r="E7" s="52" t="n">
        <v>2</v>
      </c>
      <c r="F7" s="101" t="inlineStr">
        <is>
          <t>48 hours, next day preferred</t>
        </is>
      </c>
      <c r="K7" s="81" t="n">
        <v>46419</v>
      </c>
      <c r="L7" s="54" t="n">
        <v>0.9</v>
      </c>
      <c r="M7" s="101" t="inlineStr">
        <is>
          <t>Ramadan starts (est. 8 Feb)</t>
        </is>
      </c>
    </row>
    <row r="8">
      <c r="A8" s="95" t="inlineStr">
        <is>
          <t>L03</t>
        </is>
      </c>
      <c r="B8" s="101" t="inlineStr">
        <is>
          <t>Kuwait</t>
        </is>
      </c>
      <c r="C8" s="112" t="inlineStr">
        <is>
          <t>Fri-Sat</t>
        </is>
      </c>
      <c r="D8" s="52" t="n">
        <v>7</v>
      </c>
      <c r="E8" s="52" t="n">
        <v>2</v>
      </c>
      <c r="F8" s="101" t="inlineStr">
        <is>
          <t>48 hours, next day preferred</t>
        </is>
      </c>
      <c r="K8" s="81" t="n">
        <v>46447</v>
      </c>
      <c r="L8" s="54" t="n">
        <v>0.8</v>
      </c>
      <c r="M8" s="101" t="inlineStr">
        <is>
          <t>Ramadan and Eid al-Fitr (est. 9 to 11 Mar)</t>
        </is>
      </c>
    </row>
    <row r="9">
      <c r="A9" s="95" t="inlineStr">
        <is>
          <t>L04</t>
        </is>
      </c>
      <c r="B9" s="101" t="inlineStr">
        <is>
          <t>Qatar</t>
        </is>
      </c>
      <c r="C9" s="112" t="inlineStr">
        <is>
          <t>Fri-Sat</t>
        </is>
      </c>
      <c r="D9" s="52" t="n">
        <v>7</v>
      </c>
      <c r="E9" s="52" t="n">
        <v>2</v>
      </c>
      <c r="F9" s="101" t="inlineStr">
        <is>
          <t>48 hours, next day preferred</t>
        </is>
      </c>
      <c r="K9" s="81" t="n">
        <v>46478</v>
      </c>
      <c r="L9" s="54" t="n">
        <v>1.1</v>
      </c>
      <c r="M9" s="101" t="inlineStr">
        <is>
          <t>Post-Ramadan restocking</t>
        </is>
      </c>
    </row>
    <row r="10">
      <c r="A10" s="95" t="inlineStr">
        <is>
          <t>L05</t>
        </is>
      </c>
      <c r="B10" s="101" t="inlineStr">
        <is>
          <t>Türkiye</t>
        </is>
      </c>
      <c r="C10" s="112" t="inlineStr">
        <is>
          <t>Sat-Sun</t>
        </is>
      </c>
      <c r="D10" s="52" t="n">
        <v>1</v>
      </c>
      <c r="E10" s="52" t="n">
        <v>3</v>
      </c>
      <c r="F10" s="101" t="inlineStr">
        <is>
          <t>3 working days</t>
        </is>
      </c>
      <c r="K10" s="81" t="n">
        <v>46508</v>
      </c>
      <c r="L10" s="54" t="n">
        <v>0.9</v>
      </c>
      <c r="M10" s="101" t="inlineStr">
        <is>
          <t>Eid al-Adha (est. 15 to 18 May)</t>
        </is>
      </c>
    </row>
    <row r="11">
      <c r="A11" s="95" t="inlineStr">
        <is>
          <t>L06</t>
        </is>
      </c>
      <c r="B11" s="101" t="inlineStr">
        <is>
          <t>Morocco</t>
        </is>
      </c>
      <c r="C11" s="112" t="inlineStr">
        <is>
          <t>Sat-Sun</t>
        </is>
      </c>
      <c r="D11" s="52" t="n">
        <v>1</v>
      </c>
      <c r="E11" s="52" t="n">
        <v>3</v>
      </c>
      <c r="F11" s="101" t="inlineStr">
        <is>
          <t>3 working days</t>
        </is>
      </c>
      <c r="K11" s="81" t="n">
        <v>46539</v>
      </c>
      <c r="L11" s="54" t="n">
        <v>1</v>
      </c>
      <c r="M11" s="101" t="inlineStr">
        <is>
          <t>Normal month</t>
        </is>
      </c>
    </row>
    <row r="12">
      <c r="A12" s="95" t="inlineStr">
        <is>
          <t>L07</t>
        </is>
      </c>
      <c r="B12" s="101" t="inlineStr">
        <is>
          <t>Algeria</t>
        </is>
      </c>
      <c r="C12" s="112" t="inlineStr">
        <is>
          <t>Fri-Sat</t>
        </is>
      </c>
      <c r="D12" s="52" t="n">
        <v>7</v>
      </c>
      <c r="E12" s="52" t="n">
        <v>5</v>
      </c>
      <c r="F12" s="101" t="inlineStr">
        <is>
          <t>5 working days</t>
        </is>
      </c>
      <c r="K12" s="81" t="n">
        <v>46569</v>
      </c>
      <c r="L12" s="54" t="n">
        <v>0.8</v>
      </c>
      <c r="M12" s="101" t="inlineStr">
        <is>
          <t>Summer slowdown, GCC heat season</t>
        </is>
      </c>
    </row>
    <row r="13">
      <c r="A13" s="95" t="inlineStr">
        <is>
          <t>L08</t>
        </is>
      </c>
      <c r="B13" s="101" t="inlineStr">
        <is>
          <t>Egypt</t>
        </is>
      </c>
      <c r="C13" s="112" t="inlineStr">
        <is>
          <t>Fri-Sat</t>
        </is>
      </c>
      <c r="D13" s="52" t="n">
        <v>7</v>
      </c>
      <c r="E13" s="52" t="n">
        <v>4</v>
      </c>
      <c r="F13" s="101" t="inlineStr">
        <is>
          <t>4 working days</t>
        </is>
      </c>
      <c r="K13" s="81" t="n">
        <v>46600</v>
      </c>
      <c r="L13" s="54" t="n">
        <v>0.8</v>
      </c>
      <c r="M13" s="101" t="inlineStr">
        <is>
          <t>Summer slowdown, European holidays</t>
        </is>
      </c>
    </row>
    <row r="14">
      <c r="A14" s="95" t="inlineStr">
        <is>
          <t>L09</t>
        </is>
      </c>
      <c r="B14" s="101" t="inlineStr">
        <is>
          <t>Tunisia</t>
        </is>
      </c>
      <c r="C14" s="112" t="inlineStr">
        <is>
          <t>Sat-Sun</t>
        </is>
      </c>
      <c r="D14" s="52" t="n">
        <v>1</v>
      </c>
      <c r="E14" s="52" t="n">
        <v>4</v>
      </c>
      <c r="F14" s="101" t="inlineStr">
        <is>
          <t>4 working days</t>
        </is>
      </c>
      <c r="K14" s="81" t="n">
        <v>46631</v>
      </c>
      <c r="L14" s="54" t="n">
        <v>1.2</v>
      </c>
      <c r="M14" s="101" t="inlineStr">
        <is>
          <t>Season start, restocking</t>
        </is>
      </c>
    </row>
    <row r="15">
      <c r="A15" s="126" t="inlineStr">
        <is>
          <t>GCC: priority market, next day preferred. Türkiye and Morocco: short routes, road or air. Tunisia and Egypt: longer clearance. Algeria: strictest import controls.</t>
        </is>
      </c>
      <c r="K15" s="81" t="n">
        <v>46661</v>
      </c>
      <c r="L15" s="54" t="n">
        <v>1.5</v>
      </c>
      <c r="M15" s="101" t="inlineStr">
        <is>
          <t>Peak month</t>
        </is>
      </c>
    </row>
    <row r="16">
      <c r="A16" s="93" t="inlineStr">
        <is>
          <t>Order and pickup rules</t>
        </is>
      </c>
      <c r="K16" s="81" t="n">
        <v>46692</v>
      </c>
      <c r="L16" s="54" t="n">
        <v>1.2</v>
      </c>
      <c r="M16" s="101" t="inlineStr">
        <is>
          <t>Pre year-end orders</t>
        </is>
      </c>
    </row>
    <row r="17" ht="30" customHeight="1">
      <c r="A17" s="95" t="inlineStr">
        <is>
          <t>Order release</t>
        </is>
      </c>
      <c r="B17" s="6" t="inlineStr">
        <is>
          <t>Orders are released on Helmond working days (Monday to Friday, excluding the Dutch holidays below).</t>
        </is>
      </c>
      <c r="C17" s="82" t="n"/>
      <c r="D17" s="82" t="n"/>
      <c r="E17" s="82" t="n"/>
      <c r="F17" s="83" t="n"/>
      <c r="K17" s="81" t="n">
        <v>46722</v>
      </c>
      <c r="L17" s="54" t="n">
        <v>0.8</v>
      </c>
      <c r="M17" s="101" t="inlineStr">
        <is>
          <t>Year-end holidays</t>
        </is>
      </c>
    </row>
    <row r="18" ht="30" customHeight="1">
      <c r="A18" s="95" t="inlineStr">
        <is>
          <t>Planned pickup</t>
        </is>
      </c>
      <c r="B18" s="6" t="inlineStr">
        <is>
          <t>Same day as order release. Assumes release before your pickup cut-off. Please state your cut-off in question R3.</t>
        </is>
      </c>
      <c r="C18" s="82" t="n"/>
      <c r="D18" s="82" t="n"/>
      <c r="E18" s="82" t="n"/>
      <c r="F18" s="83" t="n"/>
      <c r="K18" s="96" t="inlineStr">
        <is>
          <t>Average</t>
        </is>
      </c>
      <c r="L18" s="57">
        <f>AVERAGE(L6:L17)</f>
        <v/>
      </c>
      <c r="M18" s="118" t="inlineStr"/>
    </row>
    <row r="19" ht="30" customHeight="1">
      <c r="A19" s="95" t="inlineStr">
        <is>
          <t>Target delivery date</t>
        </is>
      </c>
      <c r="B19" s="6" t="inlineStr">
        <is>
          <t>Pickup date plus the target working days, counted in destination working days (skipping the destination weekend and holidays).</t>
        </is>
      </c>
      <c r="C19" s="82" t="n"/>
      <c r="D19" s="82" t="n"/>
      <c r="E19" s="82" t="n"/>
      <c r="F19" s="83" t="n"/>
    </row>
    <row r="20" ht="30" customHeight="1">
      <c r="A20" s="95" t="inlineStr">
        <is>
          <t>Expected delivery date</t>
        </is>
      </c>
      <c r="B20" s="6" t="inlineStr">
        <is>
          <t>Pickup date plus your quoted transit days from the Rate Card, counted the same way. Overwrite per shipment in the yellow column where you know better.</t>
        </is>
      </c>
      <c r="C20" s="82" t="n"/>
      <c r="D20" s="82" t="n"/>
      <c r="E20" s="82" t="n"/>
      <c r="F20" s="83" t="n"/>
    </row>
    <row r="21" ht="30" customHeight="1">
      <c r="A21" s="95" t="inlineStr">
        <is>
          <t>Weights</t>
        </is>
      </c>
      <c r="B21" s="6" t="inlineStr">
        <is>
          <t>Gross kg per shipment is an estimate. m3 = gross kg x 0.00648. Chargeable kg = gross kg x 1.0794 (1:6000 rule).</t>
        </is>
      </c>
      <c r="C21" s="82" t="n"/>
      <c r="D21" s="82" t="n"/>
      <c r="E21" s="82" t="n"/>
      <c r="F21" s="83" t="n"/>
    </row>
    <row r="22" ht="30" customHeight="1">
      <c r="A22" s="95" t="inlineStr">
        <is>
          <t>Cartons</t>
        </is>
      </c>
      <c r="B22" s="6" t="inlineStr">
        <is>
          <t>Estimated with a 60 x 40 x 40 cm carton (0.096 m3).</t>
        </is>
      </c>
      <c r="C22" s="82" t="n"/>
      <c r="D22" s="82" t="n"/>
      <c r="E22" s="82" t="n"/>
      <c r="F22" s="83" t="n"/>
    </row>
    <row r="23"/>
    <row r="24"/>
    <row r="25">
      <c r="A25" s="93" t="inlineStr">
        <is>
          <t>Helmond non-working days</t>
        </is>
      </c>
    </row>
    <row r="26" ht="44" customHeight="1">
      <c r="A26" s="10" t="inlineStr">
        <is>
          <t>Date</t>
        </is>
      </c>
      <c r="B26" s="10" t="inlineStr">
        <is>
          <t>Holiday</t>
        </is>
      </c>
    </row>
    <row r="27">
      <c r="A27" s="84" t="n">
        <v>46388</v>
      </c>
      <c r="B27" s="101" t="inlineStr">
        <is>
          <t>New Year's Day</t>
        </is>
      </c>
    </row>
    <row r="28">
      <c r="A28" s="84" t="n">
        <v>46475</v>
      </c>
      <c r="B28" s="101" t="inlineStr">
        <is>
          <t>Easter Monday</t>
        </is>
      </c>
    </row>
    <row r="29">
      <c r="A29" s="84" t="n">
        <v>46504</v>
      </c>
      <c r="B29" s="101" t="inlineStr">
        <is>
          <t>King's Day</t>
        </is>
      </c>
    </row>
    <row r="30">
      <c r="A30" s="84" t="n">
        <v>46513</v>
      </c>
      <c r="B30" s="101" t="inlineStr">
        <is>
          <t>Ascension Day</t>
        </is>
      </c>
    </row>
    <row r="31">
      <c r="A31" s="84" t="n">
        <v>46524</v>
      </c>
      <c r="B31" s="101" t="inlineStr">
        <is>
          <t>Whit Monday</t>
        </is>
      </c>
    </row>
    <row r="32"/>
    <row r="33"/>
    <row r="34"/>
    <row r="35"/>
    <row r="36"/>
    <row r="37"/>
    <row r="38"/>
    <row r="39">
      <c r="A39" s="93" t="inlineStr">
        <is>
          <t>Destination non-delivery days (indicative, one column per lane)</t>
        </is>
      </c>
    </row>
    <row r="40" ht="44" customHeight="1">
      <c r="A40" s="10" t="inlineStr">
        <is>
          <t>L01 Saudi Arabia</t>
        </is>
      </c>
      <c r="B40" s="10" t="inlineStr">
        <is>
          <t>L02 United Arab Emirates</t>
        </is>
      </c>
      <c r="C40" s="10" t="inlineStr">
        <is>
          <t>L03 Kuwait</t>
        </is>
      </c>
      <c r="D40" s="10" t="inlineStr">
        <is>
          <t>L04 Qatar</t>
        </is>
      </c>
      <c r="E40" s="10" t="inlineStr">
        <is>
          <t>L05 Türkiye</t>
        </is>
      </c>
      <c r="F40" s="10" t="inlineStr">
        <is>
          <t>L06 Morocco</t>
        </is>
      </c>
      <c r="G40" s="10" t="inlineStr">
        <is>
          <t>L07 Algeria</t>
        </is>
      </c>
      <c r="H40" s="10" t="inlineStr">
        <is>
          <t>L08 Egypt</t>
        </is>
      </c>
      <c r="I40" s="10" t="inlineStr">
        <is>
          <t>L09 Tunisia</t>
        </is>
      </c>
    </row>
    <row r="41">
      <c r="A41" s="85" t="n">
        <v>46440</v>
      </c>
      <c r="B41" s="85" t="n">
        <v>46388</v>
      </c>
      <c r="C41" s="85" t="n">
        <v>46388</v>
      </c>
      <c r="D41" s="85" t="n">
        <v>46427</v>
      </c>
      <c r="E41" s="85" t="n">
        <v>46388</v>
      </c>
      <c r="F41" s="85" t="n">
        <v>46388</v>
      </c>
      <c r="G41" s="85" t="n">
        <v>46388</v>
      </c>
      <c r="H41" s="85" t="n">
        <v>46394</v>
      </c>
      <c r="I41" s="85" t="n">
        <v>46388</v>
      </c>
    </row>
    <row r="42">
      <c r="A42" s="85" t="n">
        <v>46455</v>
      </c>
      <c r="B42" s="85" t="n">
        <v>46455</v>
      </c>
      <c r="C42" s="85" t="n">
        <v>46443</v>
      </c>
      <c r="D42" s="85" t="n">
        <v>46455</v>
      </c>
      <c r="E42" s="85" t="n">
        <v>46455</v>
      </c>
      <c r="F42" s="85" t="n">
        <v>46398</v>
      </c>
      <c r="G42" s="85" t="n">
        <v>46399</v>
      </c>
      <c r="H42" s="85" t="n">
        <v>46412</v>
      </c>
      <c r="I42" s="85" t="n">
        <v>46401</v>
      </c>
    </row>
    <row r="43">
      <c r="A43" s="85" t="n">
        <v>46456</v>
      </c>
      <c r="B43" s="85" t="n">
        <v>46456</v>
      </c>
      <c r="C43" s="85" t="n">
        <v>46444</v>
      </c>
      <c r="D43" s="85" t="n">
        <v>46456</v>
      </c>
      <c r="E43" s="85" t="n">
        <v>46456</v>
      </c>
      <c r="F43" s="85" t="n">
        <v>46401</v>
      </c>
      <c r="G43" s="85" t="n">
        <v>46455</v>
      </c>
      <c r="H43" s="85" t="n">
        <v>46455</v>
      </c>
      <c r="I43" s="85" t="n">
        <v>46455</v>
      </c>
    </row>
    <row r="44">
      <c r="A44" s="85" t="n">
        <v>46457</v>
      </c>
      <c r="B44" s="85" t="n">
        <v>46457</v>
      </c>
      <c r="C44" s="85" t="n">
        <v>46455</v>
      </c>
      <c r="D44" s="85" t="n">
        <v>46457</v>
      </c>
      <c r="E44" s="85" t="n">
        <v>46457</v>
      </c>
      <c r="F44" s="85" t="n">
        <v>46455</v>
      </c>
      <c r="G44" s="85" t="n">
        <v>46456</v>
      </c>
      <c r="H44" s="85" t="n">
        <v>46456</v>
      </c>
      <c r="I44" s="85" t="n">
        <v>46456</v>
      </c>
    </row>
    <row r="45">
      <c r="A45" s="85" t="n">
        <v>46458</v>
      </c>
      <c r="B45" s="85" t="n">
        <v>46522</v>
      </c>
      <c r="C45" s="85" t="n">
        <v>46456</v>
      </c>
      <c r="D45" s="85" t="n">
        <v>46522</v>
      </c>
      <c r="E45" s="85" t="n">
        <v>46500</v>
      </c>
      <c r="F45" s="85" t="n">
        <v>46456</v>
      </c>
      <c r="G45" s="85" t="n">
        <v>46508</v>
      </c>
      <c r="H45" s="85" t="n">
        <v>46457</v>
      </c>
      <c r="I45" s="85" t="n">
        <v>46466</v>
      </c>
    </row>
    <row r="46">
      <c r="A46" s="85" t="n">
        <v>46522</v>
      </c>
      <c r="B46" s="85" t="n">
        <v>46523</v>
      </c>
      <c r="C46" s="85" t="n">
        <v>46457</v>
      </c>
      <c r="D46" s="85" t="n">
        <v>46523</v>
      </c>
      <c r="E46" s="85" t="n">
        <v>46508</v>
      </c>
      <c r="F46" s="85" t="n">
        <v>46508</v>
      </c>
      <c r="G46" s="85" t="n">
        <v>46523</v>
      </c>
      <c r="H46" s="85" t="n">
        <v>46502</v>
      </c>
      <c r="I46" s="85" t="n">
        <v>46486</v>
      </c>
    </row>
    <row r="47">
      <c r="A47" s="85" t="n">
        <v>46523</v>
      </c>
      <c r="B47" s="85" t="n">
        <v>46524</v>
      </c>
      <c r="C47" s="85" t="n">
        <v>46522</v>
      </c>
      <c r="D47" s="85" t="n">
        <v>46524</v>
      </c>
      <c r="E47" s="85" t="n">
        <v>46523</v>
      </c>
      <c r="F47" s="85" t="n">
        <v>46523</v>
      </c>
      <c r="G47" s="85" t="n">
        <v>46524</v>
      </c>
      <c r="H47" s="85" t="n">
        <v>46508</v>
      </c>
      <c r="I47" s="85" t="n">
        <v>46508</v>
      </c>
    </row>
    <row r="48">
      <c r="A48" s="85" t="n">
        <v>46524</v>
      </c>
      <c r="B48" s="85" t="n">
        <v>46525</v>
      </c>
      <c r="C48" s="85" t="n">
        <v>46523</v>
      </c>
      <c r="D48" s="85" t="n">
        <v>46525</v>
      </c>
      <c r="E48" s="85" t="n">
        <v>46524</v>
      </c>
      <c r="F48" s="85" t="n">
        <v>46524</v>
      </c>
      <c r="G48" s="85" t="n">
        <v>46544</v>
      </c>
      <c r="H48" s="85" t="n">
        <v>46510</v>
      </c>
      <c r="I48" s="85" t="n">
        <v>46523</v>
      </c>
    </row>
    <row r="49">
      <c r="A49" s="85" t="n">
        <v>46525</v>
      </c>
      <c r="B49" s="85" t="n">
        <v>46544</v>
      </c>
      <c r="C49" s="85" t="n">
        <v>46524</v>
      </c>
      <c r="D49" s="85" t="n">
        <v>46739</v>
      </c>
      <c r="E49" s="85" t="n">
        <v>46525</v>
      </c>
      <c r="F49" s="85" t="n">
        <v>46544</v>
      </c>
      <c r="G49" s="85" t="n">
        <v>46573</v>
      </c>
      <c r="H49" s="85" t="n">
        <v>46522</v>
      </c>
      <c r="I49" s="85" t="n">
        <v>46524</v>
      </c>
    </row>
    <row r="50">
      <c r="A50" s="85" t="n">
        <v>46653</v>
      </c>
      <c r="B50" s="85" t="n">
        <v>46613</v>
      </c>
      <c r="C50" s="85" t="n">
        <v>46525</v>
      </c>
      <c r="D50" s="101" t="n"/>
      <c r="E50" s="85" t="n">
        <v>46526</v>
      </c>
      <c r="F50" s="85" t="n">
        <v>46598</v>
      </c>
      <c r="G50" s="85" t="n">
        <v>46613</v>
      </c>
      <c r="H50" s="85" t="n">
        <v>46523</v>
      </c>
      <c r="I50" s="85" t="n">
        <v>46544</v>
      </c>
    </row>
    <row r="51">
      <c r="A51" s="101" t="n"/>
      <c r="B51" s="85" t="n">
        <v>46723</v>
      </c>
      <c r="C51" s="85" t="n">
        <v>46544</v>
      </c>
      <c r="D51" s="101" t="n"/>
      <c r="E51" s="85" t="n">
        <v>46583</v>
      </c>
      <c r="F51" s="85" t="n">
        <v>46613</v>
      </c>
      <c r="G51" s="85" t="n">
        <v>46692</v>
      </c>
      <c r="H51" s="85" t="n">
        <v>46524</v>
      </c>
      <c r="I51" s="85" t="n">
        <v>46593</v>
      </c>
    </row>
    <row r="52">
      <c r="A52" s="101" t="n"/>
      <c r="B52" s="85" t="n">
        <v>46724</v>
      </c>
      <c r="C52" s="85" t="n">
        <v>46613</v>
      </c>
      <c r="D52" s="101" t="n"/>
      <c r="E52" s="85" t="n">
        <v>46629</v>
      </c>
      <c r="F52" s="85" t="n">
        <v>46619</v>
      </c>
      <c r="G52" s="101" t="n"/>
      <c r="H52" s="85" t="n">
        <v>46525</v>
      </c>
      <c r="I52" s="85" t="n">
        <v>46612</v>
      </c>
    </row>
    <row r="53">
      <c r="A53" s="101" t="n"/>
      <c r="B53" s="101" t="n"/>
      <c r="C53" s="101" t="n"/>
      <c r="D53" s="101" t="n"/>
      <c r="E53" s="85" t="n">
        <v>46689</v>
      </c>
      <c r="F53" s="85" t="n">
        <v>46620</v>
      </c>
      <c r="G53" s="101" t="n"/>
      <c r="H53" s="85" t="n">
        <v>46544</v>
      </c>
      <c r="I53" s="85" t="n">
        <v>46613</v>
      </c>
    </row>
    <row r="54">
      <c r="A54" s="101" t="n"/>
      <c r="B54" s="101" t="n"/>
      <c r="C54" s="101" t="n"/>
      <c r="D54" s="101" t="n"/>
      <c r="E54" s="101" t="n"/>
      <c r="F54" s="85" t="n">
        <v>46697</v>
      </c>
      <c r="G54" s="101" t="n"/>
      <c r="H54" s="85" t="n">
        <v>46568</v>
      </c>
      <c r="I54" s="85" t="n">
        <v>46675</v>
      </c>
    </row>
    <row r="55">
      <c r="A55" s="101" t="n"/>
      <c r="B55" s="101" t="n"/>
      <c r="C55" s="101" t="n"/>
      <c r="D55" s="101" t="n"/>
      <c r="E55" s="101" t="n"/>
      <c r="F55" s="85" t="n">
        <v>46709</v>
      </c>
      <c r="G55" s="101" t="n"/>
      <c r="H55" s="85" t="n">
        <v>46591</v>
      </c>
      <c r="I55" s="85" t="n">
        <v>46738</v>
      </c>
    </row>
    <row r="56">
      <c r="A56" s="101" t="n"/>
      <c r="B56" s="101" t="n"/>
      <c r="C56" s="101" t="n"/>
      <c r="D56" s="101" t="n"/>
      <c r="E56" s="101" t="n"/>
      <c r="F56" s="101" t="n"/>
      <c r="G56" s="101" t="n"/>
      <c r="H56" s="85" t="n">
        <v>46613</v>
      </c>
      <c r="I56" s="101" t="n"/>
    </row>
    <row r="57">
      <c r="A57" s="101" t="n"/>
      <c r="B57" s="101" t="n"/>
      <c r="C57" s="101" t="n"/>
      <c r="D57" s="101" t="n"/>
      <c r="E57" s="101" t="n"/>
      <c r="F57" s="101" t="n"/>
      <c r="G57" s="101" t="n"/>
      <c r="H57" s="85" t="n">
        <v>46666</v>
      </c>
      <c r="I57" s="101" t="n"/>
    </row>
    <row r="58">
      <c r="A58" s="98" t="inlineStr">
        <is>
          <t>Covers Eid al-Fitr (est. 9 to 11 Mar), Arafah and Eid al-Adha (est. 15 to 18 May), Islamic New Year, the Prophet's Birthday where observed, and fixed national days.</t>
        </is>
      </c>
    </row>
  </sheetData>
  <sheetProtection selectLockedCells="0" selectUnlockedCells="0" sheet="1" objects="0" insertRows="1" insertHyperlinks="1" autoFilter="0" scenarios="0" formatColumns="0" deleteColumns="1" insertColumns="1" pivotTables="1" deleteRows="1" formatCells="1" formatRows="0" sort="0"/>
  <mergeCells count="6">
    <mergeCell ref="B21:F21"/>
    <mergeCell ref="B20:F20"/>
    <mergeCell ref="B19:F19"/>
    <mergeCell ref="B22:F22"/>
    <mergeCell ref="B17:F17"/>
    <mergeCell ref="B18:F18"/>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2E75B6"/>
    <outlinePr summaryBelow="1" summaryRight="1"/>
    <pageSetUpPr fitToPage="1"/>
  </sheetPr>
  <dimension ref="A1:Y14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20" customWidth="1" min="3" max="3"/>
    <col width="16" customWidth="1" min="4" max="4"/>
    <col width="17" customWidth="1" min="5" max="5"/>
    <col width="9" customWidth="1" min="6" max="6"/>
    <col width="8" customWidth="1" min="7" max="7"/>
    <col width="10" customWidth="1" min="8" max="8"/>
    <col width="8" customWidth="1" min="9" max="9"/>
    <col width="15" customWidth="1" min="10" max="10"/>
    <col width="11" customWidth="1" min="11" max="11"/>
    <col width="15" customWidth="1" min="12" max="12"/>
    <col width="10" customWidth="1" min="13" max="13"/>
    <col width="15" customWidth="1" min="14" max="14"/>
    <col width="9" customWidth="1" min="15" max="15"/>
    <col width="15" customWidth="1" min="16" max="16"/>
    <col width="15" customWidth="1" min="17" max="17"/>
    <col width="8" customWidth="1" min="18" max="18"/>
    <col width="7" customWidth="1" min="19" max="19"/>
    <col width="26" customWidth="1" min="20" max="20"/>
    <col width="15" customWidth="1" min="21" max="21"/>
    <col width="13" customWidth="1" min="22" max="22"/>
    <col width="14" customWidth="1" min="23" max="23"/>
    <col width="15" customWidth="1" min="24" max="24"/>
    <col width="13" customWidth="1" min="25" max="25"/>
  </cols>
  <sheetData>
    <row r="1">
      <c r="A1" s="99" t="inlineStr">
        <is>
          <t>Scenario A: shipment schedule</t>
        </is>
      </c>
    </row>
    <row r="2">
      <c r="A2" s="98" t="inlineStr">
        <is>
          <t>One row per shipment. Default origin is Helmond. Where another origin is possible or better (your hub W1 to W3, a supplier, another hub), set it per shipment in the yellow origin columns. Expected delivery and shipment cost then follow that origin.</t>
        </is>
      </c>
    </row>
    <row r="3"/>
    <row r="4" ht="58" customHeight="1">
      <c r="A4" s="10" t="inlineStr">
        <is>
          <t>Shipment ID</t>
        </is>
      </c>
      <c r="B4" s="10" t="inlineStr">
        <is>
          <t>Lane</t>
        </is>
      </c>
      <c r="C4" s="10" t="inlineStr">
        <is>
          <t>Destination</t>
        </is>
      </c>
      <c r="D4" s="10" t="inlineStr">
        <is>
          <t>Delivery city</t>
        </is>
      </c>
      <c r="E4" s="10" t="inlineStr">
        <is>
          <t>Weight band</t>
        </is>
      </c>
      <c r="F4" s="10" t="inlineStr">
        <is>
          <t>Gross kg</t>
        </is>
      </c>
      <c r="G4" s="10" t="inlineStr">
        <is>
          <t>m3 (est.)</t>
        </is>
      </c>
      <c r="H4" s="10" t="inlineStr">
        <is>
          <t>Chargeable kg</t>
        </is>
      </c>
      <c r="I4" s="10" t="inlineStr">
        <is>
          <t>Cartons (est.)</t>
        </is>
      </c>
      <c r="J4" s="10" t="inlineStr">
        <is>
          <t>Order release date</t>
        </is>
      </c>
      <c r="K4" s="10" t="inlineStr">
        <is>
          <t>Week starting</t>
        </is>
      </c>
      <c r="L4" s="10" t="inlineStr">
        <is>
          <t>Planned pickup</t>
        </is>
      </c>
      <c r="M4" s="10" t="inlineStr">
        <is>
          <t>Target (working days)</t>
        </is>
      </c>
      <c r="N4" s="10" t="inlineStr">
        <is>
          <t>Target delivery date</t>
        </is>
      </c>
      <c r="O4" s="10" t="inlineStr">
        <is>
          <t>Quoted transit days</t>
        </is>
      </c>
      <c r="P4" s="18" t="inlineStr">
        <is>
          <t>Your expected delivery date (optional)</t>
        </is>
      </c>
      <c r="Q4" s="10" t="inlineStr">
        <is>
          <t>Expected delivery date</t>
        </is>
      </c>
      <c r="R4" s="10" t="inlineStr">
        <is>
          <t>Meets target</t>
        </is>
      </c>
      <c r="S4" s="10" t="inlineStr">
        <is>
          <t>Days late</t>
        </is>
      </c>
      <c r="T4" s="18" t="inlineStr">
        <is>
          <t>Comment</t>
        </is>
      </c>
      <c r="U4" s="10" t="inlineStr">
        <is>
          <t>Ships from</t>
        </is>
      </c>
      <c r="V4" s="18" t="inlineStr">
        <is>
          <t>Proposed origin (optional)</t>
        </is>
      </c>
      <c r="W4" s="18" t="inlineStr">
        <is>
          <t>Transit days from proposed origin (optional)</t>
        </is>
      </c>
      <c r="X4" s="18" t="inlineStr">
        <is>
          <t>Cost per shipment from proposed origin (EUR, optional)</t>
        </is>
      </c>
      <c r="Y4" s="10" t="inlineStr">
        <is>
          <t>Shipment cost (EUR)</t>
        </is>
      </c>
    </row>
    <row r="5">
      <c r="A5" s="95" t="inlineStr">
        <is>
          <t>A-001</t>
        </is>
      </c>
      <c r="B5" s="112" t="inlineStr">
        <is>
          <t>L04</t>
        </is>
      </c>
      <c r="C5" s="101" t="inlineStr">
        <is>
          <t>Qatar</t>
        </is>
      </c>
      <c r="D5" s="101" t="inlineStr">
        <is>
          <t>Doha</t>
        </is>
      </c>
      <c r="E5" s="101" t="inlineStr">
        <is>
          <t>B1  0 to 30 kg</t>
        </is>
      </c>
      <c r="F5" s="123" t="n">
        <v>2.6</v>
      </c>
      <c r="G5" s="86">
        <f>F5*0.006477</f>
        <v/>
      </c>
      <c r="H5" s="123">
        <f>F5*1.079436</f>
        <v/>
      </c>
      <c r="I5" s="122">
        <f>MAX(1,ROUNDUP(G5/0.096,0))</f>
        <v/>
      </c>
      <c r="J5" s="84" t="n">
        <v>46391</v>
      </c>
      <c r="K5" s="87">
        <f>J5-WEEKDAY(J5,2)+1</f>
        <v/>
      </c>
      <c r="L5" s="84">
        <f>J5</f>
        <v/>
      </c>
      <c r="M5" s="52">
        <f>INDEX(LR_Target,MATCH(B5,LR_Lane,0))</f>
        <v/>
      </c>
      <c r="N5" s="84">
        <f>WORKDAY.INTL(L5,M5,INDEX(LR_Code,MATCH(B5,LR_Lane,0)),INDEX(DH_Table,0,MATCH(B5&amp;"*",DH_Head,0)))</f>
        <v/>
      </c>
      <c r="O5" s="65">
        <f>IF(W5&lt;&gt;"",W5,IF(U5="Helmond",IF(COUNTIFS(RC_Lane,B5,RC_Band,E5,RC_Transit,"&lt;&gt;")=0,"",SUMIFS(RC_Transit,RC_Lane,B5,RC_Band,E5)),IF(U5="Other","",IF(INDEX(RS_Transit,MATCH(B5,RS_Lane,0))="","",INDEX(RS_Transit,MATCH(B5,RS_Lane,0))))))</f>
        <v/>
      </c>
      <c r="P5" s="140" t="n"/>
      <c r="Q5" s="84">
        <f>IF(P5&lt;&gt;"",P5,IF(O5="","",WORKDAY.INTL(L5,ROUNDUP(O5,0),INDEX(LR_Code,MATCH(B5,LR_Lane,0)),INDEX(DH_Table,0,MATCH(B5&amp;"*",DH_Head,0)))))</f>
        <v/>
      </c>
      <c r="R5" s="100">
        <f>IF(Q5="","",IF(Q5&lt;=N5,"Yes","No"))</f>
        <v/>
      </c>
      <c r="S5" s="52">
        <f>IF(Q5="","",IF(Q5&lt;=N5,0,NETWORKDAYS.INTL(N5,Q5,INDEX(LR_Code,MATCH(B5,LR_Lane,0)),INDEX(DH_Table,0,MATCH(B5&amp;"*",DH_Head,0)))-1))</f>
        <v/>
      </c>
      <c r="T5" s="127" t="n"/>
      <c r="U5" s="112">
        <f>IF(V5&lt;&gt;"",V5,IF(IFERROR(INDEX(RS_Flag,MATCH(B5,RS_Lane,0)),"")="Yes",IF(IFERROR(INDEX(RS_Loc,MATCH(B5,RS_Lane,0)),"")="","Regional stock",IFERROR(INDEX(RS_Loc,MATCH(B5,RS_Lane,0)),"")),"Helmond"))</f>
        <v/>
      </c>
      <c r="V5" s="141" t="n"/>
      <c r="W5" s="142" t="n"/>
      <c r="X5" s="143" t="n"/>
      <c r="Y5" s="116">
        <f>IF(X5&lt;&gt;"",X5,IF(U5="Helmond",IF(COUNTIFS(RC_Lane,B5,RC_Band,E5,RC_CostPS,"&gt;0")=0,"",SUMIFS(RC_CostPS,RC_Lane,B5,RC_Band,E5)),IF(U5="Other","",IF(INDEX(RS_Rate,MATCH(B5,RS_Lane,0))="","",INDEX(RS_Rate,MATCH(B5,RS_Lane,0))))))</f>
        <v/>
      </c>
    </row>
    <row r="6">
      <c r="A6" s="95" t="inlineStr">
        <is>
          <t>A-002</t>
        </is>
      </c>
      <c r="B6" s="112" t="inlineStr">
        <is>
          <t>L01</t>
        </is>
      </c>
      <c r="C6" s="101" t="inlineStr">
        <is>
          <t>Saudi Arabia</t>
        </is>
      </c>
      <c r="D6" s="101" t="inlineStr">
        <is>
          <t>Riyadh</t>
        </is>
      </c>
      <c r="E6" s="101" t="inlineStr">
        <is>
          <t>B3  100 to 500 kg</t>
        </is>
      </c>
      <c r="F6" s="123" t="n">
        <v>279.6</v>
      </c>
      <c r="G6" s="86">
        <f>F6*0.006477</f>
        <v/>
      </c>
      <c r="H6" s="123">
        <f>F6*1.079436</f>
        <v/>
      </c>
      <c r="I6" s="122">
        <f>MAX(1,ROUNDUP(G6/0.096,0))</f>
        <v/>
      </c>
      <c r="J6" s="84" t="n">
        <v>46392</v>
      </c>
      <c r="K6" s="87">
        <f>J6-WEEKDAY(J6,2)+1</f>
        <v/>
      </c>
      <c r="L6" s="84">
        <f>J6</f>
        <v/>
      </c>
      <c r="M6" s="52">
        <f>INDEX(LR_Target,MATCH(B6,LR_Lane,0))</f>
        <v/>
      </c>
      <c r="N6" s="84">
        <f>WORKDAY.INTL(L6,M6,INDEX(LR_Code,MATCH(B6,LR_Lane,0)),INDEX(DH_Table,0,MATCH(B6&amp;"*",DH_Head,0)))</f>
        <v/>
      </c>
      <c r="O6" s="65">
        <f>IF(W6&lt;&gt;"",W6,IF(U6="Helmond",IF(COUNTIFS(RC_Lane,B6,RC_Band,E6,RC_Transit,"&lt;&gt;")=0,"",SUMIFS(RC_Transit,RC_Lane,B6,RC_Band,E6)),IF(U6="Other","",IF(INDEX(RS_Transit,MATCH(B6,RS_Lane,0))="","",INDEX(RS_Transit,MATCH(B6,RS_Lane,0))))))</f>
        <v/>
      </c>
      <c r="P6" s="140" t="n"/>
      <c r="Q6" s="84">
        <f>IF(P6&lt;&gt;"",P6,IF(O6="","",WORKDAY.INTL(L6,ROUNDUP(O6,0),INDEX(LR_Code,MATCH(B6,LR_Lane,0)),INDEX(DH_Table,0,MATCH(B6&amp;"*",DH_Head,0)))))</f>
        <v/>
      </c>
      <c r="R6" s="100">
        <f>IF(Q6="","",IF(Q6&lt;=N6,"Yes","No"))</f>
        <v/>
      </c>
      <c r="S6" s="52">
        <f>IF(Q6="","",IF(Q6&lt;=N6,0,NETWORKDAYS.INTL(N6,Q6,INDEX(LR_Code,MATCH(B6,LR_Lane,0)),INDEX(DH_Table,0,MATCH(B6&amp;"*",DH_Head,0)))-1))</f>
        <v/>
      </c>
      <c r="T6" s="127" t="n"/>
      <c r="U6" s="112">
        <f>IF(V6&lt;&gt;"",V6,IF(IFERROR(INDEX(RS_Flag,MATCH(B6,RS_Lane,0)),"")="Yes",IF(IFERROR(INDEX(RS_Loc,MATCH(B6,RS_Lane,0)),"")="","Regional stock",IFERROR(INDEX(RS_Loc,MATCH(B6,RS_Lane,0)),"")),"Helmond"))</f>
        <v/>
      </c>
      <c r="V6" s="141" t="n"/>
      <c r="W6" s="142" t="n"/>
      <c r="X6" s="143" t="n"/>
      <c r="Y6" s="116">
        <f>IF(X6&lt;&gt;"",X6,IF(U6="Helmond",IF(COUNTIFS(RC_Lane,B6,RC_Band,E6,RC_CostPS,"&gt;0")=0,"",SUMIFS(RC_CostPS,RC_Lane,B6,RC_Band,E6)),IF(U6="Other","",IF(INDEX(RS_Rate,MATCH(B6,RS_Lane,0))="","",INDEX(RS_Rate,MATCH(B6,RS_Lane,0))))))</f>
        <v/>
      </c>
    </row>
    <row r="7">
      <c r="A7" s="95" t="inlineStr">
        <is>
          <t>A-003</t>
        </is>
      </c>
      <c r="B7" s="112" t="inlineStr">
        <is>
          <t>L01</t>
        </is>
      </c>
      <c r="C7" s="101" t="inlineStr">
        <is>
          <t>Saudi Arabia</t>
        </is>
      </c>
      <c r="D7" s="101" t="inlineStr">
        <is>
          <t>Jeddah</t>
        </is>
      </c>
      <c r="E7" s="101" t="inlineStr">
        <is>
          <t>B1  0 to 30 kg</t>
        </is>
      </c>
      <c r="F7" s="123" t="n">
        <v>11.1</v>
      </c>
      <c r="G7" s="86">
        <f>F7*0.006477</f>
        <v/>
      </c>
      <c r="H7" s="123">
        <f>F7*1.079436</f>
        <v/>
      </c>
      <c r="I7" s="122">
        <f>MAX(1,ROUNDUP(G7/0.096,0))</f>
        <v/>
      </c>
      <c r="J7" s="84" t="n">
        <v>46395</v>
      </c>
      <c r="K7" s="87">
        <f>J7-WEEKDAY(J7,2)+1</f>
        <v/>
      </c>
      <c r="L7" s="84">
        <f>J7</f>
        <v/>
      </c>
      <c r="M7" s="52">
        <f>INDEX(LR_Target,MATCH(B7,LR_Lane,0))</f>
        <v/>
      </c>
      <c r="N7" s="84">
        <f>WORKDAY.INTL(L7,M7,INDEX(LR_Code,MATCH(B7,LR_Lane,0)),INDEX(DH_Table,0,MATCH(B7&amp;"*",DH_Head,0)))</f>
        <v/>
      </c>
      <c r="O7" s="65">
        <f>IF(W7&lt;&gt;"",W7,IF(U7="Helmond",IF(COUNTIFS(RC_Lane,B7,RC_Band,E7,RC_Transit,"&lt;&gt;")=0,"",SUMIFS(RC_Transit,RC_Lane,B7,RC_Band,E7)),IF(U7="Other","",IF(INDEX(RS_Transit,MATCH(B7,RS_Lane,0))="","",INDEX(RS_Transit,MATCH(B7,RS_Lane,0))))))</f>
        <v/>
      </c>
      <c r="P7" s="140" t="n"/>
      <c r="Q7" s="84">
        <f>IF(P7&lt;&gt;"",P7,IF(O7="","",WORKDAY.INTL(L7,ROUNDUP(O7,0),INDEX(LR_Code,MATCH(B7,LR_Lane,0)),INDEX(DH_Table,0,MATCH(B7&amp;"*",DH_Head,0)))))</f>
        <v/>
      </c>
      <c r="R7" s="100">
        <f>IF(Q7="","",IF(Q7&lt;=N7,"Yes","No"))</f>
        <v/>
      </c>
      <c r="S7" s="52">
        <f>IF(Q7="","",IF(Q7&lt;=N7,0,NETWORKDAYS.INTL(N7,Q7,INDEX(LR_Code,MATCH(B7,LR_Lane,0)),INDEX(DH_Table,0,MATCH(B7&amp;"*",DH_Head,0)))-1))</f>
        <v/>
      </c>
      <c r="T7" s="127" t="n"/>
      <c r="U7" s="112">
        <f>IF(V7&lt;&gt;"",V7,IF(IFERROR(INDEX(RS_Flag,MATCH(B7,RS_Lane,0)),"")="Yes",IF(IFERROR(INDEX(RS_Loc,MATCH(B7,RS_Lane,0)),"")="","Regional stock",IFERROR(INDEX(RS_Loc,MATCH(B7,RS_Lane,0)),"")),"Helmond"))</f>
        <v/>
      </c>
      <c r="V7" s="141" t="n"/>
      <c r="W7" s="142" t="n"/>
      <c r="X7" s="143" t="n"/>
      <c r="Y7" s="116">
        <f>IF(X7&lt;&gt;"",X7,IF(U7="Helmond",IF(COUNTIFS(RC_Lane,B7,RC_Band,E7,RC_CostPS,"&gt;0")=0,"",SUMIFS(RC_CostPS,RC_Lane,B7,RC_Band,E7)),IF(U7="Other","",IF(INDEX(RS_Rate,MATCH(B7,RS_Lane,0))="","",INDEX(RS_Rate,MATCH(B7,RS_Lane,0))))))</f>
        <v/>
      </c>
    </row>
    <row r="8">
      <c r="A8" s="95" t="inlineStr">
        <is>
          <t>A-004</t>
        </is>
      </c>
      <c r="B8" s="112" t="inlineStr">
        <is>
          <t>L01</t>
        </is>
      </c>
      <c r="C8" s="101" t="inlineStr">
        <is>
          <t>Saudi Arabia</t>
        </is>
      </c>
      <c r="D8" s="101" t="inlineStr">
        <is>
          <t>Riyadh</t>
        </is>
      </c>
      <c r="E8" s="101" t="inlineStr">
        <is>
          <t>B3  100 to 500 kg</t>
        </is>
      </c>
      <c r="F8" s="123" t="n">
        <v>270.6</v>
      </c>
      <c r="G8" s="86">
        <f>F8*0.006477</f>
        <v/>
      </c>
      <c r="H8" s="123">
        <f>F8*1.079436</f>
        <v/>
      </c>
      <c r="I8" s="122">
        <f>MAX(1,ROUNDUP(G8/0.096,0))</f>
        <v/>
      </c>
      <c r="J8" s="84" t="n">
        <v>46395</v>
      </c>
      <c r="K8" s="87">
        <f>J8-WEEKDAY(J8,2)+1</f>
        <v/>
      </c>
      <c r="L8" s="84">
        <f>J8</f>
        <v/>
      </c>
      <c r="M8" s="52">
        <f>INDEX(LR_Target,MATCH(B8,LR_Lane,0))</f>
        <v/>
      </c>
      <c r="N8" s="84">
        <f>WORKDAY.INTL(L8,M8,INDEX(LR_Code,MATCH(B8,LR_Lane,0)),INDEX(DH_Table,0,MATCH(B8&amp;"*",DH_Head,0)))</f>
        <v/>
      </c>
      <c r="O8" s="65">
        <f>IF(W8&lt;&gt;"",W8,IF(U8="Helmond",IF(COUNTIFS(RC_Lane,B8,RC_Band,E8,RC_Transit,"&lt;&gt;")=0,"",SUMIFS(RC_Transit,RC_Lane,B8,RC_Band,E8)),IF(U8="Other","",IF(INDEX(RS_Transit,MATCH(B8,RS_Lane,0))="","",INDEX(RS_Transit,MATCH(B8,RS_Lane,0))))))</f>
        <v/>
      </c>
      <c r="P8" s="140" t="n"/>
      <c r="Q8" s="84">
        <f>IF(P8&lt;&gt;"",P8,IF(O8="","",WORKDAY.INTL(L8,ROUNDUP(O8,0),INDEX(LR_Code,MATCH(B8,LR_Lane,0)),INDEX(DH_Table,0,MATCH(B8&amp;"*",DH_Head,0)))))</f>
        <v/>
      </c>
      <c r="R8" s="100">
        <f>IF(Q8="","",IF(Q8&lt;=N8,"Yes","No"))</f>
        <v/>
      </c>
      <c r="S8" s="52">
        <f>IF(Q8="","",IF(Q8&lt;=N8,0,NETWORKDAYS.INTL(N8,Q8,INDEX(LR_Code,MATCH(B8,LR_Lane,0)),INDEX(DH_Table,0,MATCH(B8&amp;"*",DH_Head,0)))-1))</f>
        <v/>
      </c>
      <c r="T8" s="127" t="n"/>
      <c r="U8" s="112">
        <f>IF(V8&lt;&gt;"",V8,IF(IFERROR(INDEX(RS_Flag,MATCH(B8,RS_Lane,0)),"")="Yes",IF(IFERROR(INDEX(RS_Loc,MATCH(B8,RS_Lane,0)),"")="","Regional stock",IFERROR(INDEX(RS_Loc,MATCH(B8,RS_Lane,0)),"")),"Helmond"))</f>
        <v/>
      </c>
      <c r="V8" s="141" t="n"/>
      <c r="W8" s="142" t="n"/>
      <c r="X8" s="143" t="n"/>
      <c r="Y8" s="116">
        <f>IF(X8&lt;&gt;"",X8,IF(U8="Helmond",IF(COUNTIFS(RC_Lane,B8,RC_Band,E8,RC_CostPS,"&gt;0")=0,"",SUMIFS(RC_CostPS,RC_Lane,B8,RC_Band,E8)),IF(U8="Other","",IF(INDEX(RS_Rate,MATCH(B8,RS_Lane,0))="","",INDEX(RS_Rate,MATCH(B8,RS_Lane,0))))))</f>
        <v/>
      </c>
    </row>
    <row r="9">
      <c r="A9" s="95" t="inlineStr">
        <is>
          <t>A-005</t>
        </is>
      </c>
      <c r="B9" s="112" t="inlineStr">
        <is>
          <t>L02</t>
        </is>
      </c>
      <c r="C9" s="101" t="inlineStr">
        <is>
          <t>United Arab Emirates</t>
        </is>
      </c>
      <c r="D9" s="101" t="inlineStr">
        <is>
          <t>Dubai</t>
        </is>
      </c>
      <c r="E9" s="101" t="inlineStr">
        <is>
          <t>B1  0 to 30 kg</t>
        </is>
      </c>
      <c r="F9" s="123" t="n">
        <v>10.9</v>
      </c>
      <c r="G9" s="86">
        <f>F9*0.006477</f>
        <v/>
      </c>
      <c r="H9" s="123">
        <f>F9*1.079436</f>
        <v/>
      </c>
      <c r="I9" s="122">
        <f>MAX(1,ROUNDUP(G9/0.096,0))</f>
        <v/>
      </c>
      <c r="J9" s="84" t="n">
        <v>46398</v>
      </c>
      <c r="K9" s="87">
        <f>J9-WEEKDAY(J9,2)+1</f>
        <v/>
      </c>
      <c r="L9" s="84">
        <f>J9</f>
        <v/>
      </c>
      <c r="M9" s="52">
        <f>INDEX(LR_Target,MATCH(B9,LR_Lane,0))</f>
        <v/>
      </c>
      <c r="N9" s="84">
        <f>WORKDAY.INTL(L9,M9,INDEX(LR_Code,MATCH(B9,LR_Lane,0)),INDEX(DH_Table,0,MATCH(B9&amp;"*",DH_Head,0)))</f>
        <v/>
      </c>
      <c r="O9" s="65">
        <f>IF(W9&lt;&gt;"",W9,IF(U9="Helmond",IF(COUNTIFS(RC_Lane,B9,RC_Band,E9,RC_Transit,"&lt;&gt;")=0,"",SUMIFS(RC_Transit,RC_Lane,B9,RC_Band,E9)),IF(U9="Other","",IF(INDEX(RS_Transit,MATCH(B9,RS_Lane,0))="","",INDEX(RS_Transit,MATCH(B9,RS_Lane,0))))))</f>
        <v/>
      </c>
      <c r="P9" s="140" t="n"/>
      <c r="Q9" s="84">
        <f>IF(P9&lt;&gt;"",P9,IF(O9="","",WORKDAY.INTL(L9,ROUNDUP(O9,0),INDEX(LR_Code,MATCH(B9,LR_Lane,0)),INDEX(DH_Table,0,MATCH(B9&amp;"*",DH_Head,0)))))</f>
        <v/>
      </c>
      <c r="R9" s="100">
        <f>IF(Q9="","",IF(Q9&lt;=N9,"Yes","No"))</f>
        <v/>
      </c>
      <c r="S9" s="52">
        <f>IF(Q9="","",IF(Q9&lt;=N9,0,NETWORKDAYS.INTL(N9,Q9,INDEX(LR_Code,MATCH(B9,LR_Lane,0)),INDEX(DH_Table,0,MATCH(B9&amp;"*",DH_Head,0)))-1))</f>
        <v/>
      </c>
      <c r="T9" s="127" t="n"/>
      <c r="U9" s="112">
        <f>IF(V9&lt;&gt;"",V9,IF(IFERROR(INDEX(RS_Flag,MATCH(B9,RS_Lane,0)),"")="Yes",IF(IFERROR(INDEX(RS_Loc,MATCH(B9,RS_Lane,0)),"")="","Regional stock",IFERROR(INDEX(RS_Loc,MATCH(B9,RS_Lane,0)),"")),"Helmond"))</f>
        <v/>
      </c>
      <c r="V9" s="141" t="n"/>
      <c r="W9" s="142" t="n"/>
      <c r="X9" s="143" t="n"/>
      <c r="Y9" s="116">
        <f>IF(X9&lt;&gt;"",X9,IF(U9="Helmond",IF(COUNTIFS(RC_Lane,B9,RC_Band,E9,RC_CostPS,"&gt;0")=0,"",SUMIFS(RC_CostPS,RC_Lane,B9,RC_Band,E9)),IF(U9="Other","",IF(INDEX(RS_Rate,MATCH(B9,RS_Lane,0))="","",INDEX(RS_Rate,MATCH(B9,RS_Lane,0))))))</f>
        <v/>
      </c>
    </row>
    <row r="10">
      <c r="A10" s="95" t="inlineStr">
        <is>
          <t>A-006</t>
        </is>
      </c>
      <c r="B10" s="112" t="inlineStr">
        <is>
          <t>L02</t>
        </is>
      </c>
      <c r="C10" s="101" t="inlineStr">
        <is>
          <t>United Arab Emirates</t>
        </is>
      </c>
      <c r="D10" s="101" t="inlineStr">
        <is>
          <t>Dubai</t>
        </is>
      </c>
      <c r="E10" s="101" t="inlineStr">
        <is>
          <t>B1  0 to 30 kg</t>
        </is>
      </c>
      <c r="F10" s="123" t="n">
        <v>14.1</v>
      </c>
      <c r="G10" s="86">
        <f>F10*0.006477</f>
        <v/>
      </c>
      <c r="H10" s="123">
        <f>F10*1.079436</f>
        <v/>
      </c>
      <c r="I10" s="122">
        <f>MAX(1,ROUNDUP(G10/0.096,0))</f>
        <v/>
      </c>
      <c r="J10" s="84" t="n">
        <v>46398</v>
      </c>
      <c r="K10" s="87">
        <f>J10-WEEKDAY(J10,2)+1</f>
        <v/>
      </c>
      <c r="L10" s="84">
        <f>J10</f>
        <v/>
      </c>
      <c r="M10" s="52">
        <f>INDEX(LR_Target,MATCH(B10,LR_Lane,0))</f>
        <v/>
      </c>
      <c r="N10" s="84">
        <f>WORKDAY.INTL(L10,M10,INDEX(LR_Code,MATCH(B10,LR_Lane,0)),INDEX(DH_Table,0,MATCH(B10&amp;"*",DH_Head,0)))</f>
        <v/>
      </c>
      <c r="O10" s="65">
        <f>IF(W10&lt;&gt;"",W10,IF(U10="Helmond",IF(COUNTIFS(RC_Lane,B10,RC_Band,E10,RC_Transit,"&lt;&gt;")=0,"",SUMIFS(RC_Transit,RC_Lane,B10,RC_Band,E10)),IF(U10="Other","",IF(INDEX(RS_Transit,MATCH(B10,RS_Lane,0))="","",INDEX(RS_Transit,MATCH(B10,RS_Lane,0))))))</f>
        <v/>
      </c>
      <c r="P10" s="140" t="n"/>
      <c r="Q10" s="84">
        <f>IF(P10&lt;&gt;"",P10,IF(O10="","",WORKDAY.INTL(L10,ROUNDUP(O10,0),INDEX(LR_Code,MATCH(B10,LR_Lane,0)),INDEX(DH_Table,0,MATCH(B10&amp;"*",DH_Head,0)))))</f>
        <v/>
      </c>
      <c r="R10" s="100">
        <f>IF(Q10="","",IF(Q10&lt;=N10,"Yes","No"))</f>
        <v/>
      </c>
      <c r="S10" s="52">
        <f>IF(Q10="","",IF(Q10&lt;=N10,0,NETWORKDAYS.INTL(N10,Q10,INDEX(LR_Code,MATCH(B10,LR_Lane,0)),INDEX(DH_Table,0,MATCH(B10&amp;"*",DH_Head,0)))-1))</f>
        <v/>
      </c>
      <c r="T10" s="127" t="n"/>
      <c r="U10" s="112">
        <f>IF(V10&lt;&gt;"",V10,IF(IFERROR(INDEX(RS_Flag,MATCH(B10,RS_Lane,0)),"")="Yes",IF(IFERROR(INDEX(RS_Loc,MATCH(B10,RS_Lane,0)),"")="","Regional stock",IFERROR(INDEX(RS_Loc,MATCH(B10,RS_Lane,0)),"")),"Helmond"))</f>
        <v/>
      </c>
      <c r="V10" s="141" t="n"/>
      <c r="W10" s="142" t="n"/>
      <c r="X10" s="143" t="n"/>
      <c r="Y10" s="116">
        <f>IF(X10&lt;&gt;"",X10,IF(U10="Helmond",IF(COUNTIFS(RC_Lane,B10,RC_Band,E10,RC_CostPS,"&gt;0")=0,"",SUMIFS(RC_CostPS,RC_Lane,B10,RC_Band,E10)),IF(U10="Other","",IF(INDEX(RS_Rate,MATCH(B10,RS_Lane,0))="","",INDEX(RS_Rate,MATCH(B10,RS_Lane,0))))))</f>
        <v/>
      </c>
    </row>
    <row r="11">
      <c r="A11" s="95" t="inlineStr">
        <is>
          <t>A-007</t>
        </is>
      </c>
      <c r="B11" s="112" t="inlineStr">
        <is>
          <t>L05</t>
        </is>
      </c>
      <c r="C11" s="101" t="inlineStr">
        <is>
          <t>Türkiye</t>
        </is>
      </c>
      <c r="D11" s="101" t="inlineStr">
        <is>
          <t>Istanbul</t>
        </is>
      </c>
      <c r="E11" s="101" t="inlineStr">
        <is>
          <t>B3  100 to 500 kg</t>
        </is>
      </c>
      <c r="F11" s="123" t="n">
        <v>376.7</v>
      </c>
      <c r="G11" s="86">
        <f>F11*0.006477</f>
        <v/>
      </c>
      <c r="H11" s="123">
        <f>F11*1.079436</f>
        <v/>
      </c>
      <c r="I11" s="122">
        <f>MAX(1,ROUNDUP(G11/0.096,0))</f>
        <v/>
      </c>
      <c r="J11" s="84" t="n">
        <v>46398</v>
      </c>
      <c r="K11" s="87">
        <f>J11-WEEKDAY(J11,2)+1</f>
        <v/>
      </c>
      <c r="L11" s="84">
        <f>J11</f>
        <v/>
      </c>
      <c r="M11" s="52">
        <f>INDEX(LR_Target,MATCH(B11,LR_Lane,0))</f>
        <v/>
      </c>
      <c r="N11" s="84">
        <f>WORKDAY.INTL(L11,M11,INDEX(LR_Code,MATCH(B11,LR_Lane,0)),INDEX(DH_Table,0,MATCH(B11&amp;"*",DH_Head,0)))</f>
        <v/>
      </c>
      <c r="O11" s="65">
        <f>IF(W11&lt;&gt;"",W11,IF(U11="Helmond",IF(COUNTIFS(RC_Lane,B11,RC_Band,E11,RC_Transit,"&lt;&gt;")=0,"",SUMIFS(RC_Transit,RC_Lane,B11,RC_Band,E11)),IF(U11="Other","",IF(INDEX(RS_Transit,MATCH(B11,RS_Lane,0))="","",INDEX(RS_Transit,MATCH(B11,RS_Lane,0))))))</f>
        <v/>
      </c>
      <c r="P11" s="140" t="n"/>
      <c r="Q11" s="84">
        <f>IF(P11&lt;&gt;"",P11,IF(O11="","",WORKDAY.INTL(L11,ROUNDUP(O11,0),INDEX(LR_Code,MATCH(B11,LR_Lane,0)),INDEX(DH_Table,0,MATCH(B11&amp;"*",DH_Head,0)))))</f>
        <v/>
      </c>
      <c r="R11" s="100">
        <f>IF(Q11="","",IF(Q11&lt;=N11,"Yes","No"))</f>
        <v/>
      </c>
      <c r="S11" s="52">
        <f>IF(Q11="","",IF(Q11&lt;=N11,0,NETWORKDAYS.INTL(N11,Q11,INDEX(LR_Code,MATCH(B11,LR_Lane,0)),INDEX(DH_Table,0,MATCH(B11&amp;"*",DH_Head,0)))-1))</f>
        <v/>
      </c>
      <c r="T11" s="127" t="n"/>
      <c r="U11" s="112">
        <f>IF(V11&lt;&gt;"",V11,IF(IFERROR(INDEX(RS_Flag,MATCH(B11,RS_Lane,0)),"")="Yes",IF(IFERROR(INDEX(RS_Loc,MATCH(B11,RS_Lane,0)),"")="","Regional stock",IFERROR(INDEX(RS_Loc,MATCH(B11,RS_Lane,0)),"")),"Helmond"))</f>
        <v/>
      </c>
      <c r="V11" s="141" t="n"/>
      <c r="W11" s="142" t="n"/>
      <c r="X11" s="143" t="n"/>
      <c r="Y11" s="116">
        <f>IF(X11&lt;&gt;"",X11,IF(U11="Helmond",IF(COUNTIFS(RC_Lane,B11,RC_Band,E11,RC_CostPS,"&gt;0")=0,"",SUMIFS(RC_CostPS,RC_Lane,B11,RC_Band,E11)),IF(U11="Other","",IF(INDEX(RS_Rate,MATCH(B11,RS_Lane,0))="","",INDEX(RS_Rate,MATCH(B11,RS_Lane,0))))))</f>
        <v/>
      </c>
    </row>
    <row r="12">
      <c r="A12" s="95" t="inlineStr">
        <is>
          <t>A-008</t>
        </is>
      </c>
      <c r="B12" s="112" t="inlineStr">
        <is>
          <t>L06</t>
        </is>
      </c>
      <c r="C12" s="101" t="inlineStr">
        <is>
          <t>Morocco</t>
        </is>
      </c>
      <c r="D12" s="101" t="inlineStr">
        <is>
          <t>Casablanca area</t>
        </is>
      </c>
      <c r="E12" s="101" t="inlineStr">
        <is>
          <t>B4  500 to 2,000 kg</t>
        </is>
      </c>
      <c r="F12" s="123" t="n">
        <v>941.5</v>
      </c>
      <c r="G12" s="86">
        <f>F12*0.006477</f>
        <v/>
      </c>
      <c r="H12" s="123">
        <f>F12*1.079436</f>
        <v/>
      </c>
      <c r="I12" s="122">
        <f>MAX(1,ROUNDUP(G12/0.096,0))</f>
        <v/>
      </c>
      <c r="J12" s="84" t="n">
        <v>46398</v>
      </c>
      <c r="K12" s="87">
        <f>J12-WEEKDAY(J12,2)+1</f>
        <v/>
      </c>
      <c r="L12" s="84">
        <f>J12</f>
        <v/>
      </c>
      <c r="M12" s="52">
        <f>INDEX(LR_Target,MATCH(B12,LR_Lane,0))</f>
        <v/>
      </c>
      <c r="N12" s="84">
        <f>WORKDAY.INTL(L12,M12,INDEX(LR_Code,MATCH(B12,LR_Lane,0)),INDEX(DH_Table,0,MATCH(B12&amp;"*",DH_Head,0)))</f>
        <v/>
      </c>
      <c r="O12" s="65">
        <f>IF(W12&lt;&gt;"",W12,IF(U12="Helmond",IF(COUNTIFS(RC_Lane,B12,RC_Band,E12,RC_Transit,"&lt;&gt;")=0,"",SUMIFS(RC_Transit,RC_Lane,B12,RC_Band,E12)),IF(U12="Other","",IF(INDEX(RS_Transit,MATCH(B12,RS_Lane,0))="","",INDEX(RS_Transit,MATCH(B12,RS_Lane,0))))))</f>
        <v/>
      </c>
      <c r="P12" s="140" t="n"/>
      <c r="Q12" s="84">
        <f>IF(P12&lt;&gt;"",P12,IF(O12="","",WORKDAY.INTL(L12,ROUNDUP(O12,0),INDEX(LR_Code,MATCH(B12,LR_Lane,0)),INDEX(DH_Table,0,MATCH(B12&amp;"*",DH_Head,0)))))</f>
        <v/>
      </c>
      <c r="R12" s="100">
        <f>IF(Q12="","",IF(Q12&lt;=N12,"Yes","No"))</f>
        <v/>
      </c>
      <c r="S12" s="52">
        <f>IF(Q12="","",IF(Q12&lt;=N12,0,NETWORKDAYS.INTL(N12,Q12,INDEX(LR_Code,MATCH(B12,LR_Lane,0)),INDEX(DH_Table,0,MATCH(B12&amp;"*",DH_Head,0)))-1))</f>
        <v/>
      </c>
      <c r="T12" s="127" t="n"/>
      <c r="U12" s="112">
        <f>IF(V12&lt;&gt;"",V12,IF(IFERROR(INDEX(RS_Flag,MATCH(B12,RS_Lane,0)),"")="Yes",IF(IFERROR(INDEX(RS_Loc,MATCH(B12,RS_Lane,0)),"")="","Regional stock",IFERROR(INDEX(RS_Loc,MATCH(B12,RS_Lane,0)),"")),"Helmond"))</f>
        <v/>
      </c>
      <c r="V12" s="141" t="n"/>
      <c r="W12" s="142" t="n"/>
      <c r="X12" s="143" t="n"/>
      <c r="Y12" s="116">
        <f>IF(X12&lt;&gt;"",X12,IF(U12="Helmond",IF(COUNTIFS(RC_Lane,B12,RC_Band,E12,RC_CostPS,"&gt;0")=0,"",SUMIFS(RC_CostPS,RC_Lane,B12,RC_Band,E12)),IF(U12="Other","",IF(INDEX(RS_Rate,MATCH(B12,RS_Lane,0))="","",INDEX(RS_Rate,MATCH(B12,RS_Lane,0))))))</f>
        <v/>
      </c>
    </row>
    <row r="13">
      <c r="A13" s="95" t="inlineStr">
        <is>
          <t>A-009</t>
        </is>
      </c>
      <c r="B13" s="112" t="inlineStr">
        <is>
          <t>L01</t>
        </is>
      </c>
      <c r="C13" s="101" t="inlineStr">
        <is>
          <t>Saudi Arabia</t>
        </is>
      </c>
      <c r="D13" s="101" t="inlineStr">
        <is>
          <t>Jeddah</t>
        </is>
      </c>
      <c r="E13" s="101" t="inlineStr">
        <is>
          <t>B1  0 to 30 kg</t>
        </is>
      </c>
      <c r="F13" s="123" t="n">
        <v>5.9</v>
      </c>
      <c r="G13" s="86">
        <f>F13*0.006477</f>
        <v/>
      </c>
      <c r="H13" s="123">
        <f>F13*1.079436</f>
        <v/>
      </c>
      <c r="I13" s="122">
        <f>MAX(1,ROUNDUP(G13/0.096,0))</f>
        <v/>
      </c>
      <c r="J13" s="84" t="n">
        <v>46400</v>
      </c>
      <c r="K13" s="87">
        <f>J13-WEEKDAY(J13,2)+1</f>
        <v/>
      </c>
      <c r="L13" s="84">
        <f>J13</f>
        <v/>
      </c>
      <c r="M13" s="52">
        <f>INDEX(LR_Target,MATCH(B13,LR_Lane,0))</f>
        <v/>
      </c>
      <c r="N13" s="84">
        <f>WORKDAY.INTL(L13,M13,INDEX(LR_Code,MATCH(B13,LR_Lane,0)),INDEX(DH_Table,0,MATCH(B13&amp;"*",DH_Head,0)))</f>
        <v/>
      </c>
      <c r="O13" s="65">
        <f>IF(W13&lt;&gt;"",W13,IF(U13="Helmond",IF(COUNTIFS(RC_Lane,B13,RC_Band,E13,RC_Transit,"&lt;&gt;")=0,"",SUMIFS(RC_Transit,RC_Lane,B13,RC_Band,E13)),IF(U13="Other","",IF(INDEX(RS_Transit,MATCH(B13,RS_Lane,0))="","",INDEX(RS_Transit,MATCH(B13,RS_Lane,0))))))</f>
        <v/>
      </c>
      <c r="P13" s="140" t="n"/>
      <c r="Q13" s="84">
        <f>IF(P13&lt;&gt;"",P13,IF(O13="","",WORKDAY.INTL(L13,ROUNDUP(O13,0),INDEX(LR_Code,MATCH(B13,LR_Lane,0)),INDEX(DH_Table,0,MATCH(B13&amp;"*",DH_Head,0)))))</f>
        <v/>
      </c>
      <c r="R13" s="100">
        <f>IF(Q13="","",IF(Q13&lt;=N13,"Yes","No"))</f>
        <v/>
      </c>
      <c r="S13" s="52">
        <f>IF(Q13="","",IF(Q13&lt;=N13,0,NETWORKDAYS.INTL(N13,Q13,INDEX(LR_Code,MATCH(B13,LR_Lane,0)),INDEX(DH_Table,0,MATCH(B13&amp;"*",DH_Head,0)))-1))</f>
        <v/>
      </c>
      <c r="T13" s="127" t="n"/>
      <c r="U13" s="112">
        <f>IF(V13&lt;&gt;"",V13,IF(IFERROR(INDEX(RS_Flag,MATCH(B13,RS_Lane,0)),"")="Yes",IF(IFERROR(INDEX(RS_Loc,MATCH(B13,RS_Lane,0)),"")="","Regional stock",IFERROR(INDEX(RS_Loc,MATCH(B13,RS_Lane,0)),"")),"Helmond"))</f>
        <v/>
      </c>
      <c r="V13" s="141" t="n"/>
      <c r="W13" s="142" t="n"/>
      <c r="X13" s="143" t="n"/>
      <c r="Y13" s="116">
        <f>IF(X13&lt;&gt;"",X13,IF(U13="Helmond",IF(COUNTIFS(RC_Lane,B13,RC_Band,E13,RC_CostPS,"&gt;0")=0,"",SUMIFS(RC_CostPS,RC_Lane,B13,RC_Band,E13)),IF(U13="Other","",IF(INDEX(RS_Rate,MATCH(B13,RS_Lane,0))="","",INDEX(RS_Rate,MATCH(B13,RS_Lane,0))))))</f>
        <v/>
      </c>
    </row>
    <row r="14">
      <c r="A14" s="95" t="inlineStr">
        <is>
          <t>A-010</t>
        </is>
      </c>
      <c r="B14" s="112" t="inlineStr">
        <is>
          <t>L03</t>
        </is>
      </c>
      <c r="C14" s="101" t="inlineStr">
        <is>
          <t>Kuwait</t>
        </is>
      </c>
      <c r="D14" s="101" t="inlineStr">
        <is>
          <t>Kuwait City</t>
        </is>
      </c>
      <c r="E14" s="101" t="inlineStr">
        <is>
          <t>B4  500 to 2,000 kg</t>
        </is>
      </c>
      <c r="F14" s="123" t="n">
        <v>1093</v>
      </c>
      <c r="G14" s="86">
        <f>F14*0.006477</f>
        <v/>
      </c>
      <c r="H14" s="123">
        <f>F14*1.079436</f>
        <v/>
      </c>
      <c r="I14" s="122">
        <f>MAX(1,ROUNDUP(G14/0.096,0))</f>
        <v/>
      </c>
      <c r="J14" s="84" t="n">
        <v>46407</v>
      </c>
      <c r="K14" s="87">
        <f>J14-WEEKDAY(J14,2)+1</f>
        <v/>
      </c>
      <c r="L14" s="84">
        <f>J14</f>
        <v/>
      </c>
      <c r="M14" s="52">
        <f>INDEX(LR_Target,MATCH(B14,LR_Lane,0))</f>
        <v/>
      </c>
      <c r="N14" s="84">
        <f>WORKDAY.INTL(L14,M14,INDEX(LR_Code,MATCH(B14,LR_Lane,0)),INDEX(DH_Table,0,MATCH(B14&amp;"*",DH_Head,0)))</f>
        <v/>
      </c>
      <c r="O14" s="65">
        <f>IF(W14&lt;&gt;"",W14,IF(U14="Helmond",IF(COUNTIFS(RC_Lane,B14,RC_Band,E14,RC_Transit,"&lt;&gt;")=0,"",SUMIFS(RC_Transit,RC_Lane,B14,RC_Band,E14)),IF(U14="Other","",IF(INDEX(RS_Transit,MATCH(B14,RS_Lane,0))="","",INDEX(RS_Transit,MATCH(B14,RS_Lane,0))))))</f>
        <v/>
      </c>
      <c r="P14" s="140" t="n"/>
      <c r="Q14" s="84">
        <f>IF(P14&lt;&gt;"",P14,IF(O14="","",WORKDAY.INTL(L14,ROUNDUP(O14,0),INDEX(LR_Code,MATCH(B14,LR_Lane,0)),INDEX(DH_Table,0,MATCH(B14&amp;"*",DH_Head,0)))))</f>
        <v/>
      </c>
      <c r="R14" s="100">
        <f>IF(Q14="","",IF(Q14&lt;=N14,"Yes","No"))</f>
        <v/>
      </c>
      <c r="S14" s="52">
        <f>IF(Q14="","",IF(Q14&lt;=N14,0,NETWORKDAYS.INTL(N14,Q14,INDEX(LR_Code,MATCH(B14,LR_Lane,0)),INDEX(DH_Table,0,MATCH(B14&amp;"*",DH_Head,0)))-1))</f>
        <v/>
      </c>
      <c r="T14" s="127" t="n"/>
      <c r="U14" s="112">
        <f>IF(V14&lt;&gt;"",V14,IF(IFERROR(INDEX(RS_Flag,MATCH(B14,RS_Lane,0)),"")="Yes",IF(IFERROR(INDEX(RS_Loc,MATCH(B14,RS_Lane,0)),"")="","Regional stock",IFERROR(INDEX(RS_Loc,MATCH(B14,RS_Lane,0)),"")),"Helmond"))</f>
        <v/>
      </c>
      <c r="V14" s="141" t="n"/>
      <c r="W14" s="142" t="n"/>
      <c r="X14" s="143" t="n"/>
      <c r="Y14" s="116">
        <f>IF(X14&lt;&gt;"",X14,IF(U14="Helmond",IF(COUNTIFS(RC_Lane,B14,RC_Band,E14,RC_CostPS,"&gt;0")=0,"",SUMIFS(RC_CostPS,RC_Lane,B14,RC_Band,E14)),IF(U14="Other","",IF(INDEX(RS_Rate,MATCH(B14,RS_Lane,0))="","",INDEX(RS_Rate,MATCH(B14,RS_Lane,0))))))</f>
        <v/>
      </c>
    </row>
    <row r="15">
      <c r="A15" s="95" t="inlineStr">
        <is>
          <t>A-011</t>
        </is>
      </c>
      <c r="B15" s="112" t="inlineStr">
        <is>
          <t>L01</t>
        </is>
      </c>
      <c r="C15" s="101" t="inlineStr">
        <is>
          <t>Saudi Arabia</t>
        </is>
      </c>
      <c r="D15" s="101" t="inlineStr">
        <is>
          <t>Jeddah</t>
        </is>
      </c>
      <c r="E15" s="101" t="inlineStr">
        <is>
          <t>B3  100 to 500 kg</t>
        </is>
      </c>
      <c r="F15" s="123" t="n">
        <v>232.3</v>
      </c>
      <c r="G15" s="86">
        <f>F15*0.006477</f>
        <v/>
      </c>
      <c r="H15" s="123">
        <f>F15*1.079436</f>
        <v/>
      </c>
      <c r="I15" s="122">
        <f>MAX(1,ROUNDUP(G15/0.096,0))</f>
        <v/>
      </c>
      <c r="J15" s="84" t="n">
        <v>46413</v>
      </c>
      <c r="K15" s="87">
        <f>J15-WEEKDAY(J15,2)+1</f>
        <v/>
      </c>
      <c r="L15" s="84">
        <f>J15</f>
        <v/>
      </c>
      <c r="M15" s="52">
        <f>INDEX(LR_Target,MATCH(B15,LR_Lane,0))</f>
        <v/>
      </c>
      <c r="N15" s="84">
        <f>WORKDAY.INTL(L15,M15,INDEX(LR_Code,MATCH(B15,LR_Lane,0)),INDEX(DH_Table,0,MATCH(B15&amp;"*",DH_Head,0)))</f>
        <v/>
      </c>
      <c r="O15" s="65">
        <f>IF(W15&lt;&gt;"",W15,IF(U15="Helmond",IF(COUNTIFS(RC_Lane,B15,RC_Band,E15,RC_Transit,"&lt;&gt;")=0,"",SUMIFS(RC_Transit,RC_Lane,B15,RC_Band,E15)),IF(U15="Other","",IF(INDEX(RS_Transit,MATCH(B15,RS_Lane,0))="","",INDEX(RS_Transit,MATCH(B15,RS_Lane,0))))))</f>
        <v/>
      </c>
      <c r="P15" s="140" t="n"/>
      <c r="Q15" s="84">
        <f>IF(P15&lt;&gt;"",P15,IF(O15="","",WORKDAY.INTL(L15,ROUNDUP(O15,0),INDEX(LR_Code,MATCH(B15,LR_Lane,0)),INDEX(DH_Table,0,MATCH(B15&amp;"*",DH_Head,0)))))</f>
        <v/>
      </c>
      <c r="R15" s="100">
        <f>IF(Q15="","",IF(Q15&lt;=N15,"Yes","No"))</f>
        <v/>
      </c>
      <c r="S15" s="52">
        <f>IF(Q15="","",IF(Q15&lt;=N15,0,NETWORKDAYS.INTL(N15,Q15,INDEX(LR_Code,MATCH(B15,LR_Lane,0)),INDEX(DH_Table,0,MATCH(B15&amp;"*",DH_Head,0)))-1))</f>
        <v/>
      </c>
      <c r="T15" s="127" t="n"/>
      <c r="U15" s="112">
        <f>IF(V15&lt;&gt;"",V15,IF(IFERROR(INDEX(RS_Flag,MATCH(B15,RS_Lane,0)),"")="Yes",IF(IFERROR(INDEX(RS_Loc,MATCH(B15,RS_Lane,0)),"")="","Regional stock",IFERROR(INDEX(RS_Loc,MATCH(B15,RS_Lane,0)),"")),"Helmond"))</f>
        <v/>
      </c>
      <c r="V15" s="141" t="n"/>
      <c r="W15" s="142" t="n"/>
      <c r="X15" s="143" t="n"/>
      <c r="Y15" s="116">
        <f>IF(X15&lt;&gt;"",X15,IF(U15="Helmond",IF(COUNTIFS(RC_Lane,B15,RC_Band,E15,RC_CostPS,"&gt;0")=0,"",SUMIFS(RC_CostPS,RC_Lane,B15,RC_Band,E15)),IF(U15="Other","",IF(INDEX(RS_Rate,MATCH(B15,RS_Lane,0))="","",INDEX(RS_Rate,MATCH(B15,RS_Lane,0))))))</f>
        <v/>
      </c>
    </row>
    <row r="16">
      <c r="A16" s="95" t="inlineStr">
        <is>
          <t>A-012</t>
        </is>
      </c>
      <c r="B16" s="112" t="inlineStr">
        <is>
          <t>L02</t>
        </is>
      </c>
      <c r="C16" s="101" t="inlineStr">
        <is>
          <t>United Arab Emirates</t>
        </is>
      </c>
      <c r="D16" s="101" t="inlineStr">
        <is>
          <t>Dubai</t>
        </is>
      </c>
      <c r="E16" s="101" t="inlineStr">
        <is>
          <t>B3  100 to 500 kg</t>
        </is>
      </c>
      <c r="F16" s="123" t="n">
        <v>202.1</v>
      </c>
      <c r="G16" s="86">
        <f>F16*0.006477</f>
        <v/>
      </c>
      <c r="H16" s="123">
        <f>F16*1.079436</f>
        <v/>
      </c>
      <c r="I16" s="122">
        <f>MAX(1,ROUNDUP(G16/0.096,0))</f>
        <v/>
      </c>
      <c r="J16" s="84" t="n">
        <v>46413</v>
      </c>
      <c r="K16" s="87">
        <f>J16-WEEKDAY(J16,2)+1</f>
        <v/>
      </c>
      <c r="L16" s="84">
        <f>J16</f>
        <v/>
      </c>
      <c r="M16" s="52">
        <f>INDEX(LR_Target,MATCH(B16,LR_Lane,0))</f>
        <v/>
      </c>
      <c r="N16" s="84">
        <f>WORKDAY.INTL(L16,M16,INDEX(LR_Code,MATCH(B16,LR_Lane,0)),INDEX(DH_Table,0,MATCH(B16&amp;"*",DH_Head,0)))</f>
        <v/>
      </c>
      <c r="O16" s="65">
        <f>IF(W16&lt;&gt;"",W16,IF(U16="Helmond",IF(COUNTIFS(RC_Lane,B16,RC_Band,E16,RC_Transit,"&lt;&gt;")=0,"",SUMIFS(RC_Transit,RC_Lane,B16,RC_Band,E16)),IF(U16="Other","",IF(INDEX(RS_Transit,MATCH(B16,RS_Lane,0))="","",INDEX(RS_Transit,MATCH(B16,RS_Lane,0))))))</f>
        <v/>
      </c>
      <c r="P16" s="140" t="n"/>
      <c r="Q16" s="84">
        <f>IF(P16&lt;&gt;"",P16,IF(O16="","",WORKDAY.INTL(L16,ROUNDUP(O16,0),INDEX(LR_Code,MATCH(B16,LR_Lane,0)),INDEX(DH_Table,0,MATCH(B16&amp;"*",DH_Head,0)))))</f>
        <v/>
      </c>
      <c r="R16" s="100">
        <f>IF(Q16="","",IF(Q16&lt;=N16,"Yes","No"))</f>
        <v/>
      </c>
      <c r="S16" s="52">
        <f>IF(Q16="","",IF(Q16&lt;=N16,0,NETWORKDAYS.INTL(N16,Q16,INDEX(LR_Code,MATCH(B16,LR_Lane,0)),INDEX(DH_Table,0,MATCH(B16&amp;"*",DH_Head,0)))-1))</f>
        <v/>
      </c>
      <c r="T16" s="127" t="n"/>
      <c r="U16" s="112">
        <f>IF(V16&lt;&gt;"",V16,IF(IFERROR(INDEX(RS_Flag,MATCH(B16,RS_Lane,0)),"")="Yes",IF(IFERROR(INDEX(RS_Loc,MATCH(B16,RS_Lane,0)),"")="","Regional stock",IFERROR(INDEX(RS_Loc,MATCH(B16,RS_Lane,0)),"")),"Helmond"))</f>
        <v/>
      </c>
      <c r="V16" s="141" t="n"/>
      <c r="W16" s="142" t="n"/>
      <c r="X16" s="143" t="n"/>
      <c r="Y16" s="116">
        <f>IF(X16&lt;&gt;"",X16,IF(U16="Helmond",IF(COUNTIFS(RC_Lane,B16,RC_Band,E16,RC_CostPS,"&gt;0")=0,"",SUMIFS(RC_CostPS,RC_Lane,B16,RC_Band,E16)),IF(U16="Other","",IF(INDEX(RS_Rate,MATCH(B16,RS_Lane,0))="","",INDEX(RS_Rate,MATCH(B16,RS_Lane,0))))))</f>
        <v/>
      </c>
    </row>
    <row r="17">
      <c r="A17" s="95" t="inlineStr">
        <is>
          <t>A-013</t>
        </is>
      </c>
      <c r="B17" s="112" t="inlineStr">
        <is>
          <t>L07</t>
        </is>
      </c>
      <c r="C17" s="101" t="inlineStr">
        <is>
          <t>Algeria</t>
        </is>
      </c>
      <c r="D17" s="101" t="inlineStr">
        <is>
          <t>Algiers</t>
        </is>
      </c>
      <c r="E17" s="101" t="inlineStr">
        <is>
          <t>B2  30 to 100 kg</t>
        </is>
      </c>
      <c r="F17" s="123" t="n">
        <v>52</v>
      </c>
      <c r="G17" s="86">
        <f>F17*0.006477</f>
        <v/>
      </c>
      <c r="H17" s="123">
        <f>F17*1.079436</f>
        <v/>
      </c>
      <c r="I17" s="122">
        <f>MAX(1,ROUNDUP(G17/0.096,0))</f>
        <v/>
      </c>
      <c r="J17" s="84" t="n">
        <v>46413</v>
      </c>
      <c r="K17" s="87">
        <f>J17-WEEKDAY(J17,2)+1</f>
        <v/>
      </c>
      <c r="L17" s="84">
        <f>J17</f>
        <v/>
      </c>
      <c r="M17" s="52">
        <f>INDEX(LR_Target,MATCH(B17,LR_Lane,0))</f>
        <v/>
      </c>
      <c r="N17" s="84">
        <f>WORKDAY.INTL(L17,M17,INDEX(LR_Code,MATCH(B17,LR_Lane,0)),INDEX(DH_Table,0,MATCH(B17&amp;"*",DH_Head,0)))</f>
        <v/>
      </c>
      <c r="O17" s="65">
        <f>IF(W17&lt;&gt;"",W17,IF(U17="Helmond",IF(COUNTIFS(RC_Lane,B17,RC_Band,E17,RC_Transit,"&lt;&gt;")=0,"",SUMIFS(RC_Transit,RC_Lane,B17,RC_Band,E17)),IF(U17="Other","",IF(INDEX(RS_Transit,MATCH(B17,RS_Lane,0))="","",INDEX(RS_Transit,MATCH(B17,RS_Lane,0))))))</f>
        <v/>
      </c>
      <c r="P17" s="140" t="n"/>
      <c r="Q17" s="84">
        <f>IF(P17&lt;&gt;"",P17,IF(O17="","",WORKDAY.INTL(L17,ROUNDUP(O17,0),INDEX(LR_Code,MATCH(B17,LR_Lane,0)),INDEX(DH_Table,0,MATCH(B17&amp;"*",DH_Head,0)))))</f>
        <v/>
      </c>
      <c r="R17" s="100">
        <f>IF(Q17="","",IF(Q17&lt;=N17,"Yes","No"))</f>
        <v/>
      </c>
      <c r="S17" s="52">
        <f>IF(Q17="","",IF(Q17&lt;=N17,0,NETWORKDAYS.INTL(N17,Q17,INDEX(LR_Code,MATCH(B17,LR_Lane,0)),INDEX(DH_Table,0,MATCH(B17&amp;"*",DH_Head,0)))-1))</f>
        <v/>
      </c>
      <c r="T17" s="127" t="n"/>
      <c r="U17" s="112">
        <f>IF(V17&lt;&gt;"",V17,IF(IFERROR(INDEX(RS_Flag,MATCH(B17,RS_Lane,0)),"")="Yes",IF(IFERROR(INDEX(RS_Loc,MATCH(B17,RS_Lane,0)),"")="","Regional stock",IFERROR(INDEX(RS_Loc,MATCH(B17,RS_Lane,0)),"")),"Helmond"))</f>
        <v/>
      </c>
      <c r="V17" s="141" t="n"/>
      <c r="W17" s="142" t="n"/>
      <c r="X17" s="143" t="n"/>
      <c r="Y17" s="116">
        <f>IF(X17&lt;&gt;"",X17,IF(U17="Helmond",IF(COUNTIFS(RC_Lane,B17,RC_Band,E17,RC_CostPS,"&gt;0")=0,"",SUMIFS(RC_CostPS,RC_Lane,B17,RC_Band,E17)),IF(U17="Other","",IF(INDEX(RS_Rate,MATCH(B17,RS_Lane,0))="","",INDEX(RS_Rate,MATCH(B17,RS_Lane,0))))))</f>
        <v/>
      </c>
    </row>
    <row r="18">
      <c r="A18" s="95" t="inlineStr">
        <is>
          <t>A-014</t>
        </is>
      </c>
      <c r="B18" s="112" t="inlineStr">
        <is>
          <t>L03</t>
        </is>
      </c>
      <c r="C18" s="101" t="inlineStr">
        <is>
          <t>Kuwait</t>
        </is>
      </c>
      <c r="D18" s="101" t="inlineStr">
        <is>
          <t>Kuwait City</t>
        </is>
      </c>
      <c r="E18" s="101" t="inlineStr">
        <is>
          <t>B3  100 to 500 kg</t>
        </is>
      </c>
      <c r="F18" s="123" t="n">
        <v>231.9</v>
      </c>
      <c r="G18" s="86">
        <f>F18*0.006477</f>
        <v/>
      </c>
      <c r="H18" s="123">
        <f>F18*1.079436</f>
        <v/>
      </c>
      <c r="I18" s="122">
        <f>MAX(1,ROUNDUP(G18/0.096,0))</f>
        <v/>
      </c>
      <c r="J18" s="84" t="n">
        <v>46420</v>
      </c>
      <c r="K18" s="87">
        <f>J18-WEEKDAY(J18,2)+1</f>
        <v/>
      </c>
      <c r="L18" s="84">
        <f>J18</f>
        <v/>
      </c>
      <c r="M18" s="52">
        <f>INDEX(LR_Target,MATCH(B18,LR_Lane,0))</f>
        <v/>
      </c>
      <c r="N18" s="84">
        <f>WORKDAY.INTL(L18,M18,INDEX(LR_Code,MATCH(B18,LR_Lane,0)),INDEX(DH_Table,0,MATCH(B18&amp;"*",DH_Head,0)))</f>
        <v/>
      </c>
      <c r="O18" s="65">
        <f>IF(W18&lt;&gt;"",W18,IF(U18="Helmond",IF(COUNTIFS(RC_Lane,B18,RC_Band,E18,RC_Transit,"&lt;&gt;")=0,"",SUMIFS(RC_Transit,RC_Lane,B18,RC_Band,E18)),IF(U18="Other","",IF(INDEX(RS_Transit,MATCH(B18,RS_Lane,0))="","",INDEX(RS_Transit,MATCH(B18,RS_Lane,0))))))</f>
        <v/>
      </c>
      <c r="P18" s="140" t="n"/>
      <c r="Q18" s="84">
        <f>IF(P18&lt;&gt;"",P18,IF(O18="","",WORKDAY.INTL(L18,ROUNDUP(O18,0),INDEX(LR_Code,MATCH(B18,LR_Lane,0)),INDEX(DH_Table,0,MATCH(B18&amp;"*",DH_Head,0)))))</f>
        <v/>
      </c>
      <c r="R18" s="100">
        <f>IF(Q18="","",IF(Q18&lt;=N18,"Yes","No"))</f>
        <v/>
      </c>
      <c r="S18" s="52">
        <f>IF(Q18="","",IF(Q18&lt;=N18,0,NETWORKDAYS.INTL(N18,Q18,INDEX(LR_Code,MATCH(B18,LR_Lane,0)),INDEX(DH_Table,0,MATCH(B18&amp;"*",DH_Head,0)))-1))</f>
        <v/>
      </c>
      <c r="T18" s="127" t="n"/>
      <c r="U18" s="112">
        <f>IF(V18&lt;&gt;"",V18,IF(IFERROR(INDEX(RS_Flag,MATCH(B18,RS_Lane,0)),"")="Yes",IF(IFERROR(INDEX(RS_Loc,MATCH(B18,RS_Lane,0)),"")="","Regional stock",IFERROR(INDEX(RS_Loc,MATCH(B18,RS_Lane,0)),"")),"Helmond"))</f>
        <v/>
      </c>
      <c r="V18" s="141" t="n"/>
      <c r="W18" s="142" t="n"/>
      <c r="X18" s="143" t="n"/>
      <c r="Y18" s="116">
        <f>IF(X18&lt;&gt;"",X18,IF(U18="Helmond",IF(COUNTIFS(RC_Lane,B18,RC_Band,E18,RC_CostPS,"&gt;0")=0,"",SUMIFS(RC_CostPS,RC_Lane,B18,RC_Band,E18)),IF(U18="Other","",IF(INDEX(RS_Rate,MATCH(B18,RS_Lane,0))="","",INDEX(RS_Rate,MATCH(B18,RS_Lane,0))))))</f>
        <v/>
      </c>
    </row>
    <row r="19">
      <c r="A19" s="95" t="inlineStr">
        <is>
          <t>A-015</t>
        </is>
      </c>
      <c r="B19" s="112" t="inlineStr">
        <is>
          <t>L05</t>
        </is>
      </c>
      <c r="C19" s="101" t="inlineStr">
        <is>
          <t>Türkiye</t>
        </is>
      </c>
      <c r="D19" s="101" t="inlineStr">
        <is>
          <t>Istanbul</t>
        </is>
      </c>
      <c r="E19" s="101" t="inlineStr">
        <is>
          <t>B2  30 to 100 kg</t>
        </is>
      </c>
      <c r="F19" s="123" t="n">
        <v>45.7</v>
      </c>
      <c r="G19" s="86">
        <f>F19*0.006477</f>
        <v/>
      </c>
      <c r="H19" s="123">
        <f>F19*1.079436</f>
        <v/>
      </c>
      <c r="I19" s="122">
        <f>MAX(1,ROUNDUP(G19/0.096,0))</f>
        <v/>
      </c>
      <c r="J19" s="84" t="n">
        <v>46421</v>
      </c>
      <c r="K19" s="87">
        <f>J19-WEEKDAY(J19,2)+1</f>
        <v/>
      </c>
      <c r="L19" s="84">
        <f>J19</f>
        <v/>
      </c>
      <c r="M19" s="52">
        <f>INDEX(LR_Target,MATCH(B19,LR_Lane,0))</f>
        <v/>
      </c>
      <c r="N19" s="84">
        <f>WORKDAY.INTL(L19,M19,INDEX(LR_Code,MATCH(B19,LR_Lane,0)),INDEX(DH_Table,0,MATCH(B19&amp;"*",DH_Head,0)))</f>
        <v/>
      </c>
      <c r="O19" s="65">
        <f>IF(W19&lt;&gt;"",W19,IF(U19="Helmond",IF(COUNTIFS(RC_Lane,B19,RC_Band,E19,RC_Transit,"&lt;&gt;")=0,"",SUMIFS(RC_Transit,RC_Lane,B19,RC_Band,E19)),IF(U19="Other","",IF(INDEX(RS_Transit,MATCH(B19,RS_Lane,0))="","",INDEX(RS_Transit,MATCH(B19,RS_Lane,0))))))</f>
        <v/>
      </c>
      <c r="P19" s="140" t="n"/>
      <c r="Q19" s="84">
        <f>IF(P19&lt;&gt;"",P19,IF(O19="","",WORKDAY.INTL(L19,ROUNDUP(O19,0),INDEX(LR_Code,MATCH(B19,LR_Lane,0)),INDEX(DH_Table,0,MATCH(B19&amp;"*",DH_Head,0)))))</f>
        <v/>
      </c>
      <c r="R19" s="100">
        <f>IF(Q19="","",IF(Q19&lt;=N19,"Yes","No"))</f>
        <v/>
      </c>
      <c r="S19" s="52">
        <f>IF(Q19="","",IF(Q19&lt;=N19,0,NETWORKDAYS.INTL(N19,Q19,INDEX(LR_Code,MATCH(B19,LR_Lane,0)),INDEX(DH_Table,0,MATCH(B19&amp;"*",DH_Head,0)))-1))</f>
        <v/>
      </c>
      <c r="T19" s="127" t="n"/>
      <c r="U19" s="112">
        <f>IF(V19&lt;&gt;"",V19,IF(IFERROR(INDEX(RS_Flag,MATCH(B19,RS_Lane,0)),"")="Yes",IF(IFERROR(INDEX(RS_Loc,MATCH(B19,RS_Lane,0)),"")="","Regional stock",IFERROR(INDEX(RS_Loc,MATCH(B19,RS_Lane,0)),"")),"Helmond"))</f>
        <v/>
      </c>
      <c r="V19" s="141" t="n"/>
      <c r="W19" s="142" t="n"/>
      <c r="X19" s="143" t="n"/>
      <c r="Y19" s="116">
        <f>IF(X19&lt;&gt;"",X19,IF(U19="Helmond",IF(COUNTIFS(RC_Lane,B19,RC_Band,E19,RC_CostPS,"&gt;0")=0,"",SUMIFS(RC_CostPS,RC_Lane,B19,RC_Band,E19)),IF(U19="Other","",IF(INDEX(RS_Rate,MATCH(B19,RS_Lane,0))="","",INDEX(RS_Rate,MATCH(B19,RS_Lane,0))))))</f>
        <v/>
      </c>
    </row>
    <row r="20">
      <c r="A20" s="95" t="inlineStr">
        <is>
          <t>A-016</t>
        </is>
      </c>
      <c r="B20" s="112" t="inlineStr">
        <is>
          <t>L06</t>
        </is>
      </c>
      <c r="C20" s="101" t="inlineStr">
        <is>
          <t>Morocco</t>
        </is>
      </c>
      <c r="D20" s="101" t="inlineStr">
        <is>
          <t>Rabat</t>
        </is>
      </c>
      <c r="E20" s="101" t="inlineStr">
        <is>
          <t>B3  100 to 500 kg</t>
        </is>
      </c>
      <c r="F20" s="123" t="n">
        <v>260.6</v>
      </c>
      <c r="G20" s="86">
        <f>F20*0.006477</f>
        <v/>
      </c>
      <c r="H20" s="123">
        <f>F20*1.079436</f>
        <v/>
      </c>
      <c r="I20" s="122">
        <f>MAX(1,ROUNDUP(G20/0.096,0))</f>
        <v/>
      </c>
      <c r="J20" s="84" t="n">
        <v>46421</v>
      </c>
      <c r="K20" s="87">
        <f>J20-WEEKDAY(J20,2)+1</f>
        <v/>
      </c>
      <c r="L20" s="84">
        <f>J20</f>
        <v/>
      </c>
      <c r="M20" s="52">
        <f>INDEX(LR_Target,MATCH(B20,LR_Lane,0))</f>
        <v/>
      </c>
      <c r="N20" s="84">
        <f>WORKDAY.INTL(L20,M20,INDEX(LR_Code,MATCH(B20,LR_Lane,0)),INDEX(DH_Table,0,MATCH(B20&amp;"*",DH_Head,0)))</f>
        <v/>
      </c>
      <c r="O20" s="65">
        <f>IF(W20&lt;&gt;"",W20,IF(U20="Helmond",IF(COUNTIFS(RC_Lane,B20,RC_Band,E20,RC_Transit,"&lt;&gt;")=0,"",SUMIFS(RC_Transit,RC_Lane,B20,RC_Band,E20)),IF(U20="Other","",IF(INDEX(RS_Transit,MATCH(B20,RS_Lane,0))="","",INDEX(RS_Transit,MATCH(B20,RS_Lane,0))))))</f>
        <v/>
      </c>
      <c r="P20" s="140" t="n"/>
      <c r="Q20" s="84">
        <f>IF(P20&lt;&gt;"",P20,IF(O20="","",WORKDAY.INTL(L20,ROUNDUP(O20,0),INDEX(LR_Code,MATCH(B20,LR_Lane,0)),INDEX(DH_Table,0,MATCH(B20&amp;"*",DH_Head,0)))))</f>
        <v/>
      </c>
      <c r="R20" s="100">
        <f>IF(Q20="","",IF(Q20&lt;=N20,"Yes","No"))</f>
        <v/>
      </c>
      <c r="S20" s="52">
        <f>IF(Q20="","",IF(Q20&lt;=N20,0,NETWORKDAYS.INTL(N20,Q20,INDEX(LR_Code,MATCH(B20,LR_Lane,0)),INDEX(DH_Table,0,MATCH(B20&amp;"*",DH_Head,0)))-1))</f>
        <v/>
      </c>
      <c r="T20" s="127" t="n"/>
      <c r="U20" s="112">
        <f>IF(V20&lt;&gt;"",V20,IF(IFERROR(INDEX(RS_Flag,MATCH(B20,RS_Lane,0)),"")="Yes",IF(IFERROR(INDEX(RS_Loc,MATCH(B20,RS_Lane,0)),"")="","Regional stock",IFERROR(INDEX(RS_Loc,MATCH(B20,RS_Lane,0)),"")),"Helmond"))</f>
        <v/>
      </c>
      <c r="V20" s="141" t="n"/>
      <c r="W20" s="142" t="n"/>
      <c r="X20" s="143" t="n"/>
      <c r="Y20" s="116">
        <f>IF(X20&lt;&gt;"",X20,IF(U20="Helmond",IF(COUNTIFS(RC_Lane,B20,RC_Band,E20,RC_CostPS,"&gt;0")=0,"",SUMIFS(RC_CostPS,RC_Lane,B20,RC_Band,E20)),IF(U20="Other","",IF(INDEX(RS_Rate,MATCH(B20,RS_Lane,0))="","",INDEX(RS_Rate,MATCH(B20,RS_Lane,0))))))</f>
        <v/>
      </c>
    </row>
    <row r="21">
      <c r="A21" s="95" t="inlineStr">
        <is>
          <t>A-017</t>
        </is>
      </c>
      <c r="B21" s="112" t="inlineStr">
        <is>
          <t>L09</t>
        </is>
      </c>
      <c r="C21" s="101" t="inlineStr">
        <is>
          <t>Tunisia</t>
        </is>
      </c>
      <c r="D21" s="101" t="inlineStr">
        <is>
          <t>Sousse</t>
        </is>
      </c>
      <c r="E21" s="101" t="inlineStr">
        <is>
          <t>B1  0 to 30 kg</t>
        </is>
      </c>
      <c r="F21" s="123" t="n">
        <v>7.8</v>
      </c>
      <c r="G21" s="86">
        <f>F21*0.006477</f>
        <v/>
      </c>
      <c r="H21" s="123">
        <f>F21*1.079436</f>
        <v/>
      </c>
      <c r="I21" s="122">
        <f>MAX(1,ROUNDUP(G21/0.096,0))</f>
        <v/>
      </c>
      <c r="J21" s="84" t="n">
        <v>46426</v>
      </c>
      <c r="K21" s="87">
        <f>J21-WEEKDAY(J21,2)+1</f>
        <v/>
      </c>
      <c r="L21" s="84">
        <f>J21</f>
        <v/>
      </c>
      <c r="M21" s="52">
        <f>INDEX(LR_Target,MATCH(B21,LR_Lane,0))</f>
        <v/>
      </c>
      <c r="N21" s="84">
        <f>WORKDAY.INTL(L21,M21,INDEX(LR_Code,MATCH(B21,LR_Lane,0)),INDEX(DH_Table,0,MATCH(B21&amp;"*",DH_Head,0)))</f>
        <v/>
      </c>
      <c r="O21" s="65">
        <f>IF(W21&lt;&gt;"",W21,IF(U21="Helmond",IF(COUNTIFS(RC_Lane,B21,RC_Band,E21,RC_Transit,"&lt;&gt;")=0,"",SUMIFS(RC_Transit,RC_Lane,B21,RC_Band,E21)),IF(U21="Other","",IF(INDEX(RS_Transit,MATCH(B21,RS_Lane,0))="","",INDEX(RS_Transit,MATCH(B21,RS_Lane,0))))))</f>
        <v/>
      </c>
      <c r="P21" s="140" t="n"/>
      <c r="Q21" s="84">
        <f>IF(P21&lt;&gt;"",P21,IF(O21="","",WORKDAY.INTL(L21,ROUNDUP(O21,0),INDEX(LR_Code,MATCH(B21,LR_Lane,0)),INDEX(DH_Table,0,MATCH(B21&amp;"*",DH_Head,0)))))</f>
        <v/>
      </c>
      <c r="R21" s="100">
        <f>IF(Q21="","",IF(Q21&lt;=N21,"Yes","No"))</f>
        <v/>
      </c>
      <c r="S21" s="52">
        <f>IF(Q21="","",IF(Q21&lt;=N21,0,NETWORKDAYS.INTL(N21,Q21,INDEX(LR_Code,MATCH(B21,LR_Lane,0)),INDEX(DH_Table,0,MATCH(B21&amp;"*",DH_Head,0)))-1))</f>
        <v/>
      </c>
      <c r="T21" s="127" t="n"/>
      <c r="U21" s="112">
        <f>IF(V21&lt;&gt;"",V21,IF(IFERROR(INDEX(RS_Flag,MATCH(B21,RS_Lane,0)),"")="Yes",IF(IFERROR(INDEX(RS_Loc,MATCH(B21,RS_Lane,0)),"")="","Regional stock",IFERROR(INDEX(RS_Loc,MATCH(B21,RS_Lane,0)),"")),"Helmond"))</f>
        <v/>
      </c>
      <c r="V21" s="141" t="n"/>
      <c r="W21" s="142" t="n"/>
      <c r="X21" s="143" t="n"/>
      <c r="Y21" s="116">
        <f>IF(X21&lt;&gt;"",X21,IF(U21="Helmond",IF(COUNTIFS(RC_Lane,B21,RC_Band,E21,RC_CostPS,"&gt;0")=0,"",SUMIFS(RC_CostPS,RC_Lane,B21,RC_Band,E21)),IF(U21="Other","",IF(INDEX(RS_Rate,MATCH(B21,RS_Lane,0))="","",INDEX(RS_Rate,MATCH(B21,RS_Lane,0))))))</f>
        <v/>
      </c>
    </row>
    <row r="22">
      <c r="A22" s="95" t="inlineStr">
        <is>
          <t>A-018</t>
        </is>
      </c>
      <c r="B22" s="112" t="inlineStr">
        <is>
          <t>L02</t>
        </is>
      </c>
      <c r="C22" s="101" t="inlineStr">
        <is>
          <t>United Arab Emirates</t>
        </is>
      </c>
      <c r="D22" s="101" t="inlineStr">
        <is>
          <t>Dubai</t>
        </is>
      </c>
      <c r="E22" s="101" t="inlineStr">
        <is>
          <t>B1  0 to 30 kg</t>
        </is>
      </c>
      <c r="F22" s="123" t="n">
        <v>11.6</v>
      </c>
      <c r="G22" s="86">
        <f>F22*0.006477</f>
        <v/>
      </c>
      <c r="H22" s="123">
        <f>F22*1.079436</f>
        <v/>
      </c>
      <c r="I22" s="122">
        <f>MAX(1,ROUNDUP(G22/0.096,0))</f>
        <v/>
      </c>
      <c r="J22" s="84" t="n">
        <v>46427</v>
      </c>
      <c r="K22" s="87">
        <f>J22-WEEKDAY(J22,2)+1</f>
        <v/>
      </c>
      <c r="L22" s="84">
        <f>J22</f>
        <v/>
      </c>
      <c r="M22" s="52">
        <f>INDEX(LR_Target,MATCH(B22,LR_Lane,0))</f>
        <v/>
      </c>
      <c r="N22" s="84">
        <f>WORKDAY.INTL(L22,M22,INDEX(LR_Code,MATCH(B22,LR_Lane,0)),INDEX(DH_Table,0,MATCH(B22&amp;"*",DH_Head,0)))</f>
        <v/>
      </c>
      <c r="O22" s="65">
        <f>IF(W22&lt;&gt;"",W22,IF(U22="Helmond",IF(COUNTIFS(RC_Lane,B22,RC_Band,E22,RC_Transit,"&lt;&gt;")=0,"",SUMIFS(RC_Transit,RC_Lane,B22,RC_Band,E22)),IF(U22="Other","",IF(INDEX(RS_Transit,MATCH(B22,RS_Lane,0))="","",INDEX(RS_Transit,MATCH(B22,RS_Lane,0))))))</f>
        <v/>
      </c>
      <c r="P22" s="140" t="n"/>
      <c r="Q22" s="84">
        <f>IF(P22&lt;&gt;"",P22,IF(O22="","",WORKDAY.INTL(L22,ROUNDUP(O22,0),INDEX(LR_Code,MATCH(B22,LR_Lane,0)),INDEX(DH_Table,0,MATCH(B22&amp;"*",DH_Head,0)))))</f>
        <v/>
      </c>
      <c r="R22" s="100">
        <f>IF(Q22="","",IF(Q22&lt;=N22,"Yes","No"))</f>
        <v/>
      </c>
      <c r="S22" s="52">
        <f>IF(Q22="","",IF(Q22&lt;=N22,0,NETWORKDAYS.INTL(N22,Q22,INDEX(LR_Code,MATCH(B22,LR_Lane,0)),INDEX(DH_Table,0,MATCH(B22&amp;"*",DH_Head,0)))-1))</f>
        <v/>
      </c>
      <c r="T22" s="127" t="n"/>
      <c r="U22" s="112">
        <f>IF(V22&lt;&gt;"",V22,IF(IFERROR(INDEX(RS_Flag,MATCH(B22,RS_Lane,0)),"")="Yes",IF(IFERROR(INDEX(RS_Loc,MATCH(B22,RS_Lane,0)),"")="","Regional stock",IFERROR(INDEX(RS_Loc,MATCH(B22,RS_Lane,0)),"")),"Helmond"))</f>
        <v/>
      </c>
      <c r="V22" s="141" t="n"/>
      <c r="W22" s="142" t="n"/>
      <c r="X22" s="143" t="n"/>
      <c r="Y22" s="116">
        <f>IF(X22&lt;&gt;"",X22,IF(U22="Helmond",IF(COUNTIFS(RC_Lane,B22,RC_Band,E22,RC_CostPS,"&gt;0")=0,"",SUMIFS(RC_CostPS,RC_Lane,B22,RC_Band,E22)),IF(U22="Other","",IF(INDEX(RS_Rate,MATCH(B22,RS_Lane,0))="","",INDEX(RS_Rate,MATCH(B22,RS_Lane,0))))))</f>
        <v/>
      </c>
    </row>
    <row r="23">
      <c r="A23" s="95" t="inlineStr">
        <is>
          <t>A-019</t>
        </is>
      </c>
      <c r="B23" s="112" t="inlineStr">
        <is>
          <t>L04</t>
        </is>
      </c>
      <c r="C23" s="101" t="inlineStr">
        <is>
          <t>Qatar</t>
        </is>
      </c>
      <c r="D23" s="101" t="inlineStr">
        <is>
          <t>Doha</t>
        </is>
      </c>
      <c r="E23" s="101" t="inlineStr">
        <is>
          <t>B2  30 to 100 kg</t>
        </is>
      </c>
      <c r="F23" s="123" t="n">
        <v>45.1</v>
      </c>
      <c r="G23" s="86">
        <f>F23*0.006477</f>
        <v/>
      </c>
      <c r="H23" s="123">
        <f>F23*1.079436</f>
        <v/>
      </c>
      <c r="I23" s="122">
        <f>MAX(1,ROUNDUP(G23/0.096,0))</f>
        <v/>
      </c>
      <c r="J23" s="84" t="n">
        <v>46429</v>
      </c>
      <c r="K23" s="87">
        <f>J23-WEEKDAY(J23,2)+1</f>
        <v/>
      </c>
      <c r="L23" s="84">
        <f>J23</f>
        <v/>
      </c>
      <c r="M23" s="52">
        <f>INDEX(LR_Target,MATCH(B23,LR_Lane,0))</f>
        <v/>
      </c>
      <c r="N23" s="84">
        <f>WORKDAY.INTL(L23,M23,INDEX(LR_Code,MATCH(B23,LR_Lane,0)),INDEX(DH_Table,0,MATCH(B23&amp;"*",DH_Head,0)))</f>
        <v/>
      </c>
      <c r="O23" s="65">
        <f>IF(W23&lt;&gt;"",W23,IF(U23="Helmond",IF(COUNTIFS(RC_Lane,B23,RC_Band,E23,RC_Transit,"&lt;&gt;")=0,"",SUMIFS(RC_Transit,RC_Lane,B23,RC_Band,E23)),IF(U23="Other","",IF(INDEX(RS_Transit,MATCH(B23,RS_Lane,0))="","",INDEX(RS_Transit,MATCH(B23,RS_Lane,0))))))</f>
        <v/>
      </c>
      <c r="P23" s="140" t="n"/>
      <c r="Q23" s="84">
        <f>IF(P23&lt;&gt;"",P23,IF(O23="","",WORKDAY.INTL(L23,ROUNDUP(O23,0),INDEX(LR_Code,MATCH(B23,LR_Lane,0)),INDEX(DH_Table,0,MATCH(B23&amp;"*",DH_Head,0)))))</f>
        <v/>
      </c>
      <c r="R23" s="100">
        <f>IF(Q23="","",IF(Q23&lt;=N23,"Yes","No"))</f>
        <v/>
      </c>
      <c r="S23" s="52">
        <f>IF(Q23="","",IF(Q23&lt;=N23,0,NETWORKDAYS.INTL(N23,Q23,INDEX(LR_Code,MATCH(B23,LR_Lane,0)),INDEX(DH_Table,0,MATCH(B23&amp;"*",DH_Head,0)))-1))</f>
        <v/>
      </c>
      <c r="T23" s="127" t="n"/>
      <c r="U23" s="112">
        <f>IF(V23&lt;&gt;"",V23,IF(IFERROR(INDEX(RS_Flag,MATCH(B23,RS_Lane,0)),"")="Yes",IF(IFERROR(INDEX(RS_Loc,MATCH(B23,RS_Lane,0)),"")="","Regional stock",IFERROR(INDEX(RS_Loc,MATCH(B23,RS_Lane,0)),"")),"Helmond"))</f>
        <v/>
      </c>
      <c r="V23" s="141" t="n"/>
      <c r="W23" s="142" t="n"/>
      <c r="X23" s="143" t="n"/>
      <c r="Y23" s="116">
        <f>IF(X23&lt;&gt;"",X23,IF(U23="Helmond",IF(COUNTIFS(RC_Lane,B23,RC_Band,E23,RC_CostPS,"&gt;0")=0,"",SUMIFS(RC_CostPS,RC_Lane,B23,RC_Band,E23)),IF(U23="Other","",IF(INDEX(RS_Rate,MATCH(B23,RS_Lane,0))="","",INDEX(RS_Rate,MATCH(B23,RS_Lane,0))))))</f>
        <v/>
      </c>
    </row>
    <row r="24">
      <c r="A24" s="95" t="inlineStr">
        <is>
          <t>A-020</t>
        </is>
      </c>
      <c r="B24" s="112" t="inlineStr">
        <is>
          <t>L08</t>
        </is>
      </c>
      <c r="C24" s="101" t="inlineStr">
        <is>
          <t>Egypt</t>
        </is>
      </c>
      <c r="D24" s="101" t="inlineStr">
        <is>
          <t>Cairo area</t>
        </is>
      </c>
      <c r="E24" s="101" t="inlineStr">
        <is>
          <t>B1  0 to 30 kg</t>
        </is>
      </c>
      <c r="F24" s="123" t="n">
        <v>14.1</v>
      </c>
      <c r="G24" s="86">
        <f>F24*0.006477</f>
        <v/>
      </c>
      <c r="H24" s="123">
        <f>F24*1.079436</f>
        <v/>
      </c>
      <c r="I24" s="122">
        <f>MAX(1,ROUNDUP(G24/0.096,0))</f>
        <v/>
      </c>
      <c r="J24" s="84" t="n">
        <v>46434</v>
      </c>
      <c r="K24" s="87">
        <f>J24-WEEKDAY(J24,2)+1</f>
        <v/>
      </c>
      <c r="L24" s="84">
        <f>J24</f>
        <v/>
      </c>
      <c r="M24" s="52">
        <f>INDEX(LR_Target,MATCH(B24,LR_Lane,0))</f>
        <v/>
      </c>
      <c r="N24" s="84">
        <f>WORKDAY.INTL(L24,M24,INDEX(LR_Code,MATCH(B24,LR_Lane,0)),INDEX(DH_Table,0,MATCH(B24&amp;"*",DH_Head,0)))</f>
        <v/>
      </c>
      <c r="O24" s="65">
        <f>IF(W24&lt;&gt;"",W24,IF(U24="Helmond",IF(COUNTIFS(RC_Lane,B24,RC_Band,E24,RC_Transit,"&lt;&gt;")=0,"",SUMIFS(RC_Transit,RC_Lane,B24,RC_Band,E24)),IF(U24="Other","",IF(INDEX(RS_Transit,MATCH(B24,RS_Lane,0))="","",INDEX(RS_Transit,MATCH(B24,RS_Lane,0))))))</f>
        <v/>
      </c>
      <c r="P24" s="140" t="n"/>
      <c r="Q24" s="84">
        <f>IF(P24&lt;&gt;"",P24,IF(O24="","",WORKDAY.INTL(L24,ROUNDUP(O24,0),INDEX(LR_Code,MATCH(B24,LR_Lane,0)),INDEX(DH_Table,0,MATCH(B24&amp;"*",DH_Head,0)))))</f>
        <v/>
      </c>
      <c r="R24" s="100">
        <f>IF(Q24="","",IF(Q24&lt;=N24,"Yes","No"))</f>
        <v/>
      </c>
      <c r="S24" s="52">
        <f>IF(Q24="","",IF(Q24&lt;=N24,0,NETWORKDAYS.INTL(N24,Q24,INDEX(LR_Code,MATCH(B24,LR_Lane,0)),INDEX(DH_Table,0,MATCH(B24&amp;"*",DH_Head,0)))-1))</f>
        <v/>
      </c>
      <c r="T24" s="127" t="n"/>
      <c r="U24" s="112">
        <f>IF(V24&lt;&gt;"",V24,IF(IFERROR(INDEX(RS_Flag,MATCH(B24,RS_Lane,0)),"")="Yes",IF(IFERROR(INDEX(RS_Loc,MATCH(B24,RS_Lane,0)),"")="","Regional stock",IFERROR(INDEX(RS_Loc,MATCH(B24,RS_Lane,0)),"")),"Helmond"))</f>
        <v/>
      </c>
      <c r="V24" s="141" t="n"/>
      <c r="W24" s="142" t="n"/>
      <c r="X24" s="143" t="n"/>
      <c r="Y24" s="116">
        <f>IF(X24&lt;&gt;"",X24,IF(U24="Helmond",IF(COUNTIFS(RC_Lane,B24,RC_Band,E24,RC_CostPS,"&gt;0")=0,"",SUMIFS(RC_CostPS,RC_Lane,B24,RC_Band,E24)),IF(U24="Other","",IF(INDEX(RS_Rate,MATCH(B24,RS_Lane,0))="","",INDEX(RS_Rate,MATCH(B24,RS_Lane,0))))))</f>
        <v/>
      </c>
    </row>
    <row r="25">
      <c r="A25" s="95" t="inlineStr">
        <is>
          <t>A-021</t>
        </is>
      </c>
      <c r="B25" s="112" t="inlineStr">
        <is>
          <t>L01</t>
        </is>
      </c>
      <c r="C25" s="101" t="inlineStr">
        <is>
          <t>Saudi Arabia</t>
        </is>
      </c>
      <c r="D25" s="101" t="inlineStr">
        <is>
          <t>Jeddah</t>
        </is>
      </c>
      <c r="E25" s="101" t="inlineStr">
        <is>
          <t>B1  0 to 30 kg</t>
        </is>
      </c>
      <c r="F25" s="123" t="n">
        <v>7.5</v>
      </c>
      <c r="G25" s="86">
        <f>F25*0.006477</f>
        <v/>
      </c>
      <c r="H25" s="123">
        <f>F25*1.079436</f>
        <v/>
      </c>
      <c r="I25" s="122">
        <f>MAX(1,ROUNDUP(G25/0.096,0))</f>
        <v/>
      </c>
      <c r="J25" s="84" t="n">
        <v>46435</v>
      </c>
      <c r="K25" s="87">
        <f>J25-WEEKDAY(J25,2)+1</f>
        <v/>
      </c>
      <c r="L25" s="84">
        <f>J25</f>
        <v/>
      </c>
      <c r="M25" s="52">
        <f>INDEX(LR_Target,MATCH(B25,LR_Lane,0))</f>
        <v/>
      </c>
      <c r="N25" s="84">
        <f>WORKDAY.INTL(L25,M25,INDEX(LR_Code,MATCH(B25,LR_Lane,0)),INDEX(DH_Table,0,MATCH(B25&amp;"*",DH_Head,0)))</f>
        <v/>
      </c>
      <c r="O25" s="65">
        <f>IF(W25&lt;&gt;"",W25,IF(U25="Helmond",IF(COUNTIFS(RC_Lane,B25,RC_Band,E25,RC_Transit,"&lt;&gt;")=0,"",SUMIFS(RC_Transit,RC_Lane,B25,RC_Band,E25)),IF(U25="Other","",IF(INDEX(RS_Transit,MATCH(B25,RS_Lane,0))="","",INDEX(RS_Transit,MATCH(B25,RS_Lane,0))))))</f>
        <v/>
      </c>
      <c r="P25" s="140" t="n"/>
      <c r="Q25" s="84">
        <f>IF(P25&lt;&gt;"",P25,IF(O25="","",WORKDAY.INTL(L25,ROUNDUP(O25,0),INDEX(LR_Code,MATCH(B25,LR_Lane,0)),INDEX(DH_Table,0,MATCH(B25&amp;"*",DH_Head,0)))))</f>
        <v/>
      </c>
      <c r="R25" s="100">
        <f>IF(Q25="","",IF(Q25&lt;=N25,"Yes","No"))</f>
        <v/>
      </c>
      <c r="S25" s="52">
        <f>IF(Q25="","",IF(Q25&lt;=N25,0,NETWORKDAYS.INTL(N25,Q25,INDEX(LR_Code,MATCH(B25,LR_Lane,0)),INDEX(DH_Table,0,MATCH(B25&amp;"*",DH_Head,0)))-1))</f>
        <v/>
      </c>
      <c r="T25" s="127" t="n"/>
      <c r="U25" s="112">
        <f>IF(V25&lt;&gt;"",V25,IF(IFERROR(INDEX(RS_Flag,MATCH(B25,RS_Lane,0)),"")="Yes",IF(IFERROR(INDEX(RS_Loc,MATCH(B25,RS_Lane,0)),"")="","Regional stock",IFERROR(INDEX(RS_Loc,MATCH(B25,RS_Lane,0)),"")),"Helmond"))</f>
        <v/>
      </c>
      <c r="V25" s="141" t="n"/>
      <c r="W25" s="142" t="n"/>
      <c r="X25" s="143" t="n"/>
      <c r="Y25" s="116">
        <f>IF(X25&lt;&gt;"",X25,IF(U25="Helmond",IF(COUNTIFS(RC_Lane,B25,RC_Band,E25,RC_CostPS,"&gt;0")=0,"",SUMIFS(RC_CostPS,RC_Lane,B25,RC_Band,E25)),IF(U25="Other","",IF(INDEX(RS_Rate,MATCH(B25,RS_Lane,0))="","",INDEX(RS_Rate,MATCH(B25,RS_Lane,0))))))</f>
        <v/>
      </c>
    </row>
    <row r="26">
      <c r="A26" s="95" t="inlineStr">
        <is>
          <t>A-022</t>
        </is>
      </c>
      <c r="B26" s="112" t="inlineStr">
        <is>
          <t>L01</t>
        </is>
      </c>
      <c r="C26" s="101" t="inlineStr">
        <is>
          <t>Saudi Arabia</t>
        </is>
      </c>
      <c r="D26" s="101" t="inlineStr">
        <is>
          <t>Riyadh</t>
        </is>
      </c>
      <c r="E26" s="101" t="inlineStr">
        <is>
          <t>B2  30 to 100 kg</t>
        </is>
      </c>
      <c r="F26" s="123" t="n">
        <v>41.7</v>
      </c>
      <c r="G26" s="86">
        <f>F26*0.006477</f>
        <v/>
      </c>
      <c r="H26" s="123">
        <f>F26*1.079436</f>
        <v/>
      </c>
      <c r="I26" s="122">
        <f>MAX(1,ROUNDUP(G26/0.096,0))</f>
        <v/>
      </c>
      <c r="J26" s="84" t="n">
        <v>46436</v>
      </c>
      <c r="K26" s="87">
        <f>J26-WEEKDAY(J26,2)+1</f>
        <v/>
      </c>
      <c r="L26" s="84">
        <f>J26</f>
        <v/>
      </c>
      <c r="M26" s="52">
        <f>INDEX(LR_Target,MATCH(B26,LR_Lane,0))</f>
        <v/>
      </c>
      <c r="N26" s="84">
        <f>WORKDAY.INTL(L26,M26,INDEX(LR_Code,MATCH(B26,LR_Lane,0)),INDEX(DH_Table,0,MATCH(B26&amp;"*",DH_Head,0)))</f>
        <v/>
      </c>
      <c r="O26" s="65">
        <f>IF(W26&lt;&gt;"",W26,IF(U26="Helmond",IF(COUNTIFS(RC_Lane,B26,RC_Band,E26,RC_Transit,"&lt;&gt;")=0,"",SUMIFS(RC_Transit,RC_Lane,B26,RC_Band,E26)),IF(U26="Other","",IF(INDEX(RS_Transit,MATCH(B26,RS_Lane,0))="","",INDEX(RS_Transit,MATCH(B26,RS_Lane,0))))))</f>
        <v/>
      </c>
      <c r="P26" s="140" t="n"/>
      <c r="Q26" s="84">
        <f>IF(P26&lt;&gt;"",P26,IF(O26="","",WORKDAY.INTL(L26,ROUNDUP(O26,0),INDEX(LR_Code,MATCH(B26,LR_Lane,0)),INDEX(DH_Table,0,MATCH(B26&amp;"*",DH_Head,0)))))</f>
        <v/>
      </c>
      <c r="R26" s="100">
        <f>IF(Q26="","",IF(Q26&lt;=N26,"Yes","No"))</f>
        <v/>
      </c>
      <c r="S26" s="52">
        <f>IF(Q26="","",IF(Q26&lt;=N26,0,NETWORKDAYS.INTL(N26,Q26,INDEX(LR_Code,MATCH(B26,LR_Lane,0)),INDEX(DH_Table,0,MATCH(B26&amp;"*",DH_Head,0)))-1))</f>
        <v/>
      </c>
      <c r="T26" s="127" t="n"/>
      <c r="U26" s="112">
        <f>IF(V26&lt;&gt;"",V26,IF(IFERROR(INDEX(RS_Flag,MATCH(B26,RS_Lane,0)),"")="Yes",IF(IFERROR(INDEX(RS_Loc,MATCH(B26,RS_Lane,0)),"")="","Regional stock",IFERROR(INDEX(RS_Loc,MATCH(B26,RS_Lane,0)),"")),"Helmond"))</f>
        <v/>
      </c>
      <c r="V26" s="141" t="n"/>
      <c r="W26" s="142" t="n"/>
      <c r="X26" s="143" t="n"/>
      <c r="Y26" s="116">
        <f>IF(X26&lt;&gt;"",X26,IF(U26="Helmond",IF(COUNTIFS(RC_Lane,B26,RC_Band,E26,RC_CostPS,"&gt;0")=0,"",SUMIFS(RC_CostPS,RC_Lane,B26,RC_Band,E26)),IF(U26="Other","",IF(INDEX(RS_Rate,MATCH(B26,RS_Lane,0))="","",INDEX(RS_Rate,MATCH(B26,RS_Lane,0))))))</f>
        <v/>
      </c>
    </row>
    <row r="27">
      <c r="A27" s="95" t="inlineStr">
        <is>
          <t>A-023</t>
        </is>
      </c>
      <c r="B27" s="112" t="inlineStr">
        <is>
          <t>L01</t>
        </is>
      </c>
      <c r="C27" s="101" t="inlineStr">
        <is>
          <t>Saudi Arabia</t>
        </is>
      </c>
      <c r="D27" s="101" t="inlineStr">
        <is>
          <t>Jeddah</t>
        </is>
      </c>
      <c r="E27" s="101" t="inlineStr">
        <is>
          <t>B5  over 2,000 kg</t>
        </is>
      </c>
      <c r="F27" s="123" t="n">
        <v>2134.8</v>
      </c>
      <c r="G27" s="86">
        <f>F27*0.006477</f>
        <v/>
      </c>
      <c r="H27" s="123">
        <f>F27*1.079436</f>
        <v/>
      </c>
      <c r="I27" s="122">
        <f>MAX(1,ROUNDUP(G27/0.096,0))</f>
        <v/>
      </c>
      <c r="J27" s="84" t="n">
        <v>46437</v>
      </c>
      <c r="K27" s="87">
        <f>J27-WEEKDAY(J27,2)+1</f>
        <v/>
      </c>
      <c r="L27" s="84">
        <f>J27</f>
        <v/>
      </c>
      <c r="M27" s="52">
        <f>INDEX(LR_Target,MATCH(B27,LR_Lane,0))</f>
        <v/>
      </c>
      <c r="N27" s="84">
        <f>WORKDAY.INTL(L27,M27,INDEX(LR_Code,MATCH(B27,LR_Lane,0)),INDEX(DH_Table,0,MATCH(B27&amp;"*",DH_Head,0)))</f>
        <v/>
      </c>
      <c r="O27" s="65">
        <f>IF(W27&lt;&gt;"",W27,IF(U27="Helmond",IF(COUNTIFS(RC_Lane,B27,RC_Band,E27,RC_Transit,"&lt;&gt;")=0,"",SUMIFS(RC_Transit,RC_Lane,B27,RC_Band,E27)),IF(U27="Other","",IF(INDEX(RS_Transit,MATCH(B27,RS_Lane,0))="","",INDEX(RS_Transit,MATCH(B27,RS_Lane,0))))))</f>
        <v/>
      </c>
      <c r="P27" s="140" t="n"/>
      <c r="Q27" s="84">
        <f>IF(P27&lt;&gt;"",P27,IF(O27="","",WORKDAY.INTL(L27,ROUNDUP(O27,0),INDEX(LR_Code,MATCH(B27,LR_Lane,0)),INDEX(DH_Table,0,MATCH(B27&amp;"*",DH_Head,0)))))</f>
        <v/>
      </c>
      <c r="R27" s="100">
        <f>IF(Q27="","",IF(Q27&lt;=N27,"Yes","No"))</f>
        <v/>
      </c>
      <c r="S27" s="52">
        <f>IF(Q27="","",IF(Q27&lt;=N27,0,NETWORKDAYS.INTL(N27,Q27,INDEX(LR_Code,MATCH(B27,LR_Lane,0)),INDEX(DH_Table,0,MATCH(B27&amp;"*",DH_Head,0)))-1))</f>
        <v/>
      </c>
      <c r="T27" s="127" t="n"/>
      <c r="U27" s="112">
        <f>IF(V27&lt;&gt;"",V27,IF(IFERROR(INDEX(RS_Flag,MATCH(B27,RS_Lane,0)),"")="Yes",IF(IFERROR(INDEX(RS_Loc,MATCH(B27,RS_Lane,0)),"")="","Regional stock",IFERROR(INDEX(RS_Loc,MATCH(B27,RS_Lane,0)),"")),"Helmond"))</f>
        <v/>
      </c>
      <c r="V27" s="141" t="n"/>
      <c r="W27" s="142" t="n"/>
      <c r="X27" s="143" t="n"/>
      <c r="Y27" s="116">
        <f>IF(X27&lt;&gt;"",X27,IF(U27="Helmond",IF(COUNTIFS(RC_Lane,B27,RC_Band,E27,RC_CostPS,"&gt;0")=0,"",SUMIFS(RC_CostPS,RC_Lane,B27,RC_Band,E27)),IF(U27="Other","",IF(INDEX(RS_Rate,MATCH(B27,RS_Lane,0))="","",INDEX(RS_Rate,MATCH(B27,RS_Lane,0))))))</f>
        <v/>
      </c>
    </row>
    <row r="28">
      <c r="A28" s="95" t="inlineStr">
        <is>
          <t>A-024</t>
        </is>
      </c>
      <c r="B28" s="112" t="inlineStr">
        <is>
          <t>L01</t>
        </is>
      </c>
      <c r="C28" s="101" t="inlineStr">
        <is>
          <t>Saudi Arabia</t>
        </is>
      </c>
      <c r="D28" s="101" t="inlineStr">
        <is>
          <t>Riyadh</t>
        </is>
      </c>
      <c r="E28" s="101" t="inlineStr">
        <is>
          <t>B4  500 to 2,000 kg</t>
        </is>
      </c>
      <c r="F28" s="123" t="n">
        <v>844.7</v>
      </c>
      <c r="G28" s="86">
        <f>F28*0.006477</f>
        <v/>
      </c>
      <c r="H28" s="123">
        <f>F28*1.079436</f>
        <v/>
      </c>
      <c r="I28" s="122">
        <f>MAX(1,ROUNDUP(G28/0.096,0))</f>
        <v/>
      </c>
      <c r="J28" s="84" t="n">
        <v>46440</v>
      </c>
      <c r="K28" s="87">
        <f>J28-WEEKDAY(J28,2)+1</f>
        <v/>
      </c>
      <c r="L28" s="84">
        <f>J28</f>
        <v/>
      </c>
      <c r="M28" s="52">
        <f>INDEX(LR_Target,MATCH(B28,LR_Lane,0))</f>
        <v/>
      </c>
      <c r="N28" s="84">
        <f>WORKDAY.INTL(L28,M28,INDEX(LR_Code,MATCH(B28,LR_Lane,0)),INDEX(DH_Table,0,MATCH(B28&amp;"*",DH_Head,0)))</f>
        <v/>
      </c>
      <c r="O28" s="65">
        <f>IF(W28&lt;&gt;"",W28,IF(U28="Helmond",IF(COUNTIFS(RC_Lane,B28,RC_Band,E28,RC_Transit,"&lt;&gt;")=0,"",SUMIFS(RC_Transit,RC_Lane,B28,RC_Band,E28)),IF(U28="Other","",IF(INDEX(RS_Transit,MATCH(B28,RS_Lane,0))="","",INDEX(RS_Transit,MATCH(B28,RS_Lane,0))))))</f>
        <v/>
      </c>
      <c r="P28" s="140" t="n"/>
      <c r="Q28" s="84">
        <f>IF(P28&lt;&gt;"",P28,IF(O28="","",WORKDAY.INTL(L28,ROUNDUP(O28,0),INDEX(LR_Code,MATCH(B28,LR_Lane,0)),INDEX(DH_Table,0,MATCH(B28&amp;"*",DH_Head,0)))))</f>
        <v/>
      </c>
      <c r="R28" s="100">
        <f>IF(Q28="","",IF(Q28&lt;=N28,"Yes","No"))</f>
        <v/>
      </c>
      <c r="S28" s="52">
        <f>IF(Q28="","",IF(Q28&lt;=N28,0,NETWORKDAYS.INTL(N28,Q28,INDEX(LR_Code,MATCH(B28,LR_Lane,0)),INDEX(DH_Table,0,MATCH(B28&amp;"*",DH_Head,0)))-1))</f>
        <v/>
      </c>
      <c r="T28" s="127" t="n"/>
      <c r="U28" s="112">
        <f>IF(V28&lt;&gt;"",V28,IF(IFERROR(INDEX(RS_Flag,MATCH(B28,RS_Lane,0)),"")="Yes",IF(IFERROR(INDEX(RS_Loc,MATCH(B28,RS_Lane,0)),"")="","Regional stock",IFERROR(INDEX(RS_Loc,MATCH(B28,RS_Lane,0)),"")),"Helmond"))</f>
        <v/>
      </c>
      <c r="V28" s="141" t="n"/>
      <c r="W28" s="142" t="n"/>
      <c r="X28" s="143" t="n"/>
      <c r="Y28" s="116">
        <f>IF(X28&lt;&gt;"",X28,IF(U28="Helmond",IF(COUNTIFS(RC_Lane,B28,RC_Band,E28,RC_CostPS,"&gt;0")=0,"",SUMIFS(RC_CostPS,RC_Lane,B28,RC_Band,E28)),IF(U28="Other","",IF(INDEX(RS_Rate,MATCH(B28,RS_Lane,0))="","",INDEX(RS_Rate,MATCH(B28,RS_Lane,0))))))</f>
        <v/>
      </c>
    </row>
    <row r="29">
      <c r="A29" s="95" t="inlineStr">
        <is>
          <t>A-025</t>
        </is>
      </c>
      <c r="B29" s="112" t="inlineStr">
        <is>
          <t>L02</t>
        </is>
      </c>
      <c r="C29" s="101" t="inlineStr">
        <is>
          <t>United Arab Emirates</t>
        </is>
      </c>
      <c r="D29" s="101" t="inlineStr">
        <is>
          <t>Dubai</t>
        </is>
      </c>
      <c r="E29" s="101" t="inlineStr">
        <is>
          <t>B1  0 to 30 kg</t>
        </is>
      </c>
      <c r="F29" s="123" t="n">
        <v>3.1</v>
      </c>
      <c r="G29" s="86">
        <f>F29*0.006477</f>
        <v/>
      </c>
      <c r="H29" s="123">
        <f>F29*1.079436</f>
        <v/>
      </c>
      <c r="I29" s="122">
        <f>MAX(1,ROUNDUP(G29/0.096,0))</f>
        <v/>
      </c>
      <c r="J29" s="84" t="n">
        <v>46443</v>
      </c>
      <c r="K29" s="87">
        <f>J29-WEEKDAY(J29,2)+1</f>
        <v/>
      </c>
      <c r="L29" s="84">
        <f>J29</f>
        <v/>
      </c>
      <c r="M29" s="52">
        <f>INDEX(LR_Target,MATCH(B29,LR_Lane,0))</f>
        <v/>
      </c>
      <c r="N29" s="84">
        <f>WORKDAY.INTL(L29,M29,INDEX(LR_Code,MATCH(B29,LR_Lane,0)),INDEX(DH_Table,0,MATCH(B29&amp;"*",DH_Head,0)))</f>
        <v/>
      </c>
      <c r="O29" s="65">
        <f>IF(W29&lt;&gt;"",W29,IF(U29="Helmond",IF(COUNTIFS(RC_Lane,B29,RC_Band,E29,RC_Transit,"&lt;&gt;")=0,"",SUMIFS(RC_Transit,RC_Lane,B29,RC_Band,E29)),IF(U29="Other","",IF(INDEX(RS_Transit,MATCH(B29,RS_Lane,0))="","",INDEX(RS_Transit,MATCH(B29,RS_Lane,0))))))</f>
        <v/>
      </c>
      <c r="P29" s="140" t="n"/>
      <c r="Q29" s="84">
        <f>IF(P29&lt;&gt;"",P29,IF(O29="","",WORKDAY.INTL(L29,ROUNDUP(O29,0),INDEX(LR_Code,MATCH(B29,LR_Lane,0)),INDEX(DH_Table,0,MATCH(B29&amp;"*",DH_Head,0)))))</f>
        <v/>
      </c>
      <c r="R29" s="100">
        <f>IF(Q29="","",IF(Q29&lt;=N29,"Yes","No"))</f>
        <v/>
      </c>
      <c r="S29" s="52">
        <f>IF(Q29="","",IF(Q29&lt;=N29,0,NETWORKDAYS.INTL(N29,Q29,INDEX(LR_Code,MATCH(B29,LR_Lane,0)),INDEX(DH_Table,0,MATCH(B29&amp;"*",DH_Head,0)))-1))</f>
        <v/>
      </c>
      <c r="T29" s="127" t="n"/>
      <c r="U29" s="112">
        <f>IF(V29&lt;&gt;"",V29,IF(IFERROR(INDEX(RS_Flag,MATCH(B29,RS_Lane,0)),"")="Yes",IF(IFERROR(INDEX(RS_Loc,MATCH(B29,RS_Lane,0)),"")="","Regional stock",IFERROR(INDEX(RS_Loc,MATCH(B29,RS_Lane,0)),"")),"Helmond"))</f>
        <v/>
      </c>
      <c r="V29" s="141" t="n"/>
      <c r="W29" s="142" t="n"/>
      <c r="X29" s="143" t="n"/>
      <c r="Y29" s="116">
        <f>IF(X29&lt;&gt;"",X29,IF(U29="Helmond",IF(COUNTIFS(RC_Lane,B29,RC_Band,E29,RC_CostPS,"&gt;0")=0,"",SUMIFS(RC_CostPS,RC_Lane,B29,RC_Band,E29)),IF(U29="Other","",IF(INDEX(RS_Rate,MATCH(B29,RS_Lane,0))="","",INDEX(RS_Rate,MATCH(B29,RS_Lane,0))))))</f>
        <v/>
      </c>
    </row>
    <row r="30">
      <c r="A30" s="95" t="inlineStr">
        <is>
          <t>A-026</t>
        </is>
      </c>
      <c r="B30" s="112" t="inlineStr">
        <is>
          <t>L02</t>
        </is>
      </c>
      <c r="C30" s="101" t="inlineStr">
        <is>
          <t>United Arab Emirates</t>
        </is>
      </c>
      <c r="D30" s="101" t="inlineStr">
        <is>
          <t>Dubai</t>
        </is>
      </c>
      <c r="E30" s="101" t="inlineStr">
        <is>
          <t>B1  0 to 30 kg</t>
        </is>
      </c>
      <c r="F30" s="123" t="n">
        <v>5.4</v>
      </c>
      <c r="G30" s="86">
        <f>F30*0.006477</f>
        <v/>
      </c>
      <c r="H30" s="123">
        <f>F30*1.079436</f>
        <v/>
      </c>
      <c r="I30" s="122">
        <f>MAX(1,ROUNDUP(G30/0.096,0))</f>
        <v/>
      </c>
      <c r="J30" s="84" t="n">
        <v>46444</v>
      </c>
      <c r="K30" s="87">
        <f>J30-WEEKDAY(J30,2)+1</f>
        <v/>
      </c>
      <c r="L30" s="84">
        <f>J30</f>
        <v/>
      </c>
      <c r="M30" s="52">
        <f>INDEX(LR_Target,MATCH(B30,LR_Lane,0))</f>
        <v/>
      </c>
      <c r="N30" s="84">
        <f>WORKDAY.INTL(L30,M30,INDEX(LR_Code,MATCH(B30,LR_Lane,0)),INDEX(DH_Table,0,MATCH(B30&amp;"*",DH_Head,0)))</f>
        <v/>
      </c>
      <c r="O30" s="65">
        <f>IF(W30&lt;&gt;"",W30,IF(U30="Helmond",IF(COUNTIFS(RC_Lane,B30,RC_Band,E30,RC_Transit,"&lt;&gt;")=0,"",SUMIFS(RC_Transit,RC_Lane,B30,RC_Band,E30)),IF(U30="Other","",IF(INDEX(RS_Transit,MATCH(B30,RS_Lane,0))="","",INDEX(RS_Transit,MATCH(B30,RS_Lane,0))))))</f>
        <v/>
      </c>
      <c r="P30" s="140" t="n"/>
      <c r="Q30" s="84">
        <f>IF(P30&lt;&gt;"",P30,IF(O30="","",WORKDAY.INTL(L30,ROUNDUP(O30,0),INDEX(LR_Code,MATCH(B30,LR_Lane,0)),INDEX(DH_Table,0,MATCH(B30&amp;"*",DH_Head,0)))))</f>
        <v/>
      </c>
      <c r="R30" s="100">
        <f>IF(Q30="","",IF(Q30&lt;=N30,"Yes","No"))</f>
        <v/>
      </c>
      <c r="S30" s="52">
        <f>IF(Q30="","",IF(Q30&lt;=N30,0,NETWORKDAYS.INTL(N30,Q30,INDEX(LR_Code,MATCH(B30,LR_Lane,0)),INDEX(DH_Table,0,MATCH(B30&amp;"*",DH_Head,0)))-1))</f>
        <v/>
      </c>
      <c r="T30" s="127" t="n"/>
      <c r="U30" s="112">
        <f>IF(V30&lt;&gt;"",V30,IF(IFERROR(INDEX(RS_Flag,MATCH(B30,RS_Lane,0)),"")="Yes",IF(IFERROR(INDEX(RS_Loc,MATCH(B30,RS_Lane,0)),"")="","Regional stock",IFERROR(INDEX(RS_Loc,MATCH(B30,RS_Lane,0)),"")),"Helmond"))</f>
        <v/>
      </c>
      <c r="V30" s="141" t="n"/>
      <c r="W30" s="142" t="n"/>
      <c r="X30" s="143" t="n"/>
      <c r="Y30" s="116">
        <f>IF(X30&lt;&gt;"",X30,IF(U30="Helmond",IF(COUNTIFS(RC_Lane,B30,RC_Band,E30,RC_CostPS,"&gt;0")=0,"",SUMIFS(RC_CostPS,RC_Lane,B30,RC_Band,E30)),IF(U30="Other","",IF(INDEX(RS_Rate,MATCH(B30,RS_Lane,0))="","",INDEX(RS_Rate,MATCH(B30,RS_Lane,0))))))</f>
        <v/>
      </c>
    </row>
    <row r="31">
      <c r="A31" s="95" t="inlineStr">
        <is>
          <t>A-027</t>
        </is>
      </c>
      <c r="B31" s="112" t="inlineStr">
        <is>
          <t>L01</t>
        </is>
      </c>
      <c r="C31" s="101" t="inlineStr">
        <is>
          <t>Saudi Arabia</t>
        </is>
      </c>
      <c r="D31" s="101" t="inlineStr">
        <is>
          <t>Jeddah</t>
        </is>
      </c>
      <c r="E31" s="101" t="inlineStr">
        <is>
          <t>B1  0 to 30 kg</t>
        </is>
      </c>
      <c r="F31" s="123" t="n">
        <v>12.6</v>
      </c>
      <c r="G31" s="86">
        <f>F31*0.006477</f>
        <v/>
      </c>
      <c r="H31" s="123">
        <f>F31*1.079436</f>
        <v/>
      </c>
      <c r="I31" s="122">
        <f>MAX(1,ROUNDUP(G31/0.096,0))</f>
        <v/>
      </c>
      <c r="J31" s="84" t="n">
        <v>46447</v>
      </c>
      <c r="K31" s="87">
        <f>J31-WEEKDAY(J31,2)+1</f>
        <v/>
      </c>
      <c r="L31" s="84">
        <f>J31</f>
        <v/>
      </c>
      <c r="M31" s="52">
        <f>INDEX(LR_Target,MATCH(B31,LR_Lane,0))</f>
        <v/>
      </c>
      <c r="N31" s="84">
        <f>WORKDAY.INTL(L31,M31,INDEX(LR_Code,MATCH(B31,LR_Lane,0)),INDEX(DH_Table,0,MATCH(B31&amp;"*",DH_Head,0)))</f>
        <v/>
      </c>
      <c r="O31" s="65">
        <f>IF(W31&lt;&gt;"",W31,IF(U31="Helmond",IF(COUNTIFS(RC_Lane,B31,RC_Band,E31,RC_Transit,"&lt;&gt;")=0,"",SUMIFS(RC_Transit,RC_Lane,B31,RC_Band,E31)),IF(U31="Other","",IF(INDEX(RS_Transit,MATCH(B31,RS_Lane,0))="","",INDEX(RS_Transit,MATCH(B31,RS_Lane,0))))))</f>
        <v/>
      </c>
      <c r="P31" s="140" t="n"/>
      <c r="Q31" s="84">
        <f>IF(P31&lt;&gt;"",P31,IF(O31="","",WORKDAY.INTL(L31,ROUNDUP(O31,0),INDEX(LR_Code,MATCH(B31,LR_Lane,0)),INDEX(DH_Table,0,MATCH(B31&amp;"*",DH_Head,0)))))</f>
        <v/>
      </c>
      <c r="R31" s="100">
        <f>IF(Q31="","",IF(Q31&lt;=N31,"Yes","No"))</f>
        <v/>
      </c>
      <c r="S31" s="52">
        <f>IF(Q31="","",IF(Q31&lt;=N31,0,NETWORKDAYS.INTL(N31,Q31,INDEX(LR_Code,MATCH(B31,LR_Lane,0)),INDEX(DH_Table,0,MATCH(B31&amp;"*",DH_Head,0)))-1))</f>
        <v/>
      </c>
      <c r="T31" s="127" t="n"/>
      <c r="U31" s="112">
        <f>IF(V31&lt;&gt;"",V31,IF(IFERROR(INDEX(RS_Flag,MATCH(B31,RS_Lane,0)),"")="Yes",IF(IFERROR(INDEX(RS_Loc,MATCH(B31,RS_Lane,0)),"")="","Regional stock",IFERROR(INDEX(RS_Loc,MATCH(B31,RS_Lane,0)),"")),"Helmond"))</f>
        <v/>
      </c>
      <c r="V31" s="141" t="n"/>
      <c r="W31" s="142" t="n"/>
      <c r="X31" s="143" t="n"/>
      <c r="Y31" s="116">
        <f>IF(X31&lt;&gt;"",X31,IF(U31="Helmond",IF(COUNTIFS(RC_Lane,B31,RC_Band,E31,RC_CostPS,"&gt;0")=0,"",SUMIFS(RC_CostPS,RC_Lane,B31,RC_Band,E31)),IF(U31="Other","",IF(INDEX(RS_Rate,MATCH(B31,RS_Lane,0))="","",INDEX(RS_Rate,MATCH(B31,RS_Lane,0))))))</f>
        <v/>
      </c>
    </row>
    <row r="32">
      <c r="A32" s="95" t="inlineStr">
        <is>
          <t>A-028</t>
        </is>
      </c>
      <c r="B32" s="112" t="inlineStr">
        <is>
          <t>L06</t>
        </is>
      </c>
      <c r="C32" s="101" t="inlineStr">
        <is>
          <t>Morocco</t>
        </is>
      </c>
      <c r="D32" s="101" t="inlineStr">
        <is>
          <t>Casablanca area</t>
        </is>
      </c>
      <c r="E32" s="101" t="inlineStr">
        <is>
          <t>B1  0 to 30 kg</t>
        </is>
      </c>
      <c r="F32" s="123" t="n">
        <v>5</v>
      </c>
      <c r="G32" s="86">
        <f>F32*0.006477</f>
        <v/>
      </c>
      <c r="H32" s="123">
        <f>F32*1.079436</f>
        <v/>
      </c>
      <c r="I32" s="122">
        <f>MAX(1,ROUNDUP(G32/0.096,0))</f>
        <v/>
      </c>
      <c r="J32" s="84" t="n">
        <v>46461</v>
      </c>
      <c r="K32" s="87">
        <f>J32-WEEKDAY(J32,2)+1</f>
        <v/>
      </c>
      <c r="L32" s="84">
        <f>J32</f>
        <v/>
      </c>
      <c r="M32" s="52">
        <f>INDEX(LR_Target,MATCH(B32,LR_Lane,0))</f>
        <v/>
      </c>
      <c r="N32" s="84">
        <f>WORKDAY.INTL(L32,M32,INDEX(LR_Code,MATCH(B32,LR_Lane,0)),INDEX(DH_Table,0,MATCH(B32&amp;"*",DH_Head,0)))</f>
        <v/>
      </c>
      <c r="O32" s="65">
        <f>IF(W32&lt;&gt;"",W32,IF(U32="Helmond",IF(COUNTIFS(RC_Lane,B32,RC_Band,E32,RC_Transit,"&lt;&gt;")=0,"",SUMIFS(RC_Transit,RC_Lane,B32,RC_Band,E32)),IF(U32="Other","",IF(INDEX(RS_Transit,MATCH(B32,RS_Lane,0))="","",INDEX(RS_Transit,MATCH(B32,RS_Lane,0))))))</f>
        <v/>
      </c>
      <c r="P32" s="140" t="n"/>
      <c r="Q32" s="84">
        <f>IF(P32&lt;&gt;"",P32,IF(O32="","",WORKDAY.INTL(L32,ROUNDUP(O32,0),INDEX(LR_Code,MATCH(B32,LR_Lane,0)),INDEX(DH_Table,0,MATCH(B32&amp;"*",DH_Head,0)))))</f>
        <v/>
      </c>
      <c r="R32" s="100">
        <f>IF(Q32="","",IF(Q32&lt;=N32,"Yes","No"))</f>
        <v/>
      </c>
      <c r="S32" s="52">
        <f>IF(Q32="","",IF(Q32&lt;=N32,0,NETWORKDAYS.INTL(N32,Q32,INDEX(LR_Code,MATCH(B32,LR_Lane,0)),INDEX(DH_Table,0,MATCH(B32&amp;"*",DH_Head,0)))-1))</f>
        <v/>
      </c>
      <c r="T32" s="127" t="n"/>
      <c r="U32" s="112">
        <f>IF(V32&lt;&gt;"",V32,IF(IFERROR(INDEX(RS_Flag,MATCH(B32,RS_Lane,0)),"")="Yes",IF(IFERROR(INDEX(RS_Loc,MATCH(B32,RS_Lane,0)),"")="","Regional stock",IFERROR(INDEX(RS_Loc,MATCH(B32,RS_Lane,0)),"")),"Helmond"))</f>
        <v/>
      </c>
      <c r="V32" s="141" t="n"/>
      <c r="W32" s="142" t="n"/>
      <c r="X32" s="143" t="n"/>
      <c r="Y32" s="116">
        <f>IF(X32&lt;&gt;"",X32,IF(U32="Helmond",IF(COUNTIFS(RC_Lane,B32,RC_Band,E32,RC_CostPS,"&gt;0")=0,"",SUMIFS(RC_CostPS,RC_Lane,B32,RC_Band,E32)),IF(U32="Other","",IF(INDEX(RS_Rate,MATCH(B32,RS_Lane,0))="","",INDEX(RS_Rate,MATCH(B32,RS_Lane,0))))))</f>
        <v/>
      </c>
    </row>
    <row r="33">
      <c r="A33" s="95" t="inlineStr">
        <is>
          <t>A-029</t>
        </is>
      </c>
      <c r="B33" s="112" t="inlineStr">
        <is>
          <t>L02</t>
        </is>
      </c>
      <c r="C33" s="101" t="inlineStr">
        <is>
          <t>United Arab Emirates</t>
        </is>
      </c>
      <c r="D33" s="101" t="inlineStr">
        <is>
          <t>Dubai</t>
        </is>
      </c>
      <c r="E33" s="101" t="inlineStr">
        <is>
          <t>B1  0 to 30 kg</t>
        </is>
      </c>
      <c r="F33" s="123" t="n">
        <v>6.4</v>
      </c>
      <c r="G33" s="86">
        <f>F33*0.006477</f>
        <v/>
      </c>
      <c r="H33" s="123">
        <f>F33*1.079436</f>
        <v/>
      </c>
      <c r="I33" s="122">
        <f>MAX(1,ROUNDUP(G33/0.096,0))</f>
        <v/>
      </c>
      <c r="J33" s="84" t="n">
        <v>46463</v>
      </c>
      <c r="K33" s="87">
        <f>J33-WEEKDAY(J33,2)+1</f>
        <v/>
      </c>
      <c r="L33" s="84">
        <f>J33</f>
        <v/>
      </c>
      <c r="M33" s="52">
        <f>INDEX(LR_Target,MATCH(B33,LR_Lane,0))</f>
        <v/>
      </c>
      <c r="N33" s="84">
        <f>WORKDAY.INTL(L33,M33,INDEX(LR_Code,MATCH(B33,LR_Lane,0)),INDEX(DH_Table,0,MATCH(B33&amp;"*",DH_Head,0)))</f>
        <v/>
      </c>
      <c r="O33" s="65">
        <f>IF(W33&lt;&gt;"",W33,IF(U33="Helmond",IF(COUNTIFS(RC_Lane,B33,RC_Band,E33,RC_Transit,"&lt;&gt;")=0,"",SUMIFS(RC_Transit,RC_Lane,B33,RC_Band,E33)),IF(U33="Other","",IF(INDEX(RS_Transit,MATCH(B33,RS_Lane,0))="","",INDEX(RS_Transit,MATCH(B33,RS_Lane,0))))))</f>
        <v/>
      </c>
      <c r="P33" s="140" t="n"/>
      <c r="Q33" s="84">
        <f>IF(P33&lt;&gt;"",P33,IF(O33="","",WORKDAY.INTL(L33,ROUNDUP(O33,0),INDEX(LR_Code,MATCH(B33,LR_Lane,0)),INDEX(DH_Table,0,MATCH(B33&amp;"*",DH_Head,0)))))</f>
        <v/>
      </c>
      <c r="R33" s="100">
        <f>IF(Q33="","",IF(Q33&lt;=N33,"Yes","No"))</f>
        <v/>
      </c>
      <c r="S33" s="52">
        <f>IF(Q33="","",IF(Q33&lt;=N33,0,NETWORKDAYS.INTL(N33,Q33,INDEX(LR_Code,MATCH(B33,LR_Lane,0)),INDEX(DH_Table,0,MATCH(B33&amp;"*",DH_Head,0)))-1))</f>
        <v/>
      </c>
      <c r="T33" s="127" t="n"/>
      <c r="U33" s="112">
        <f>IF(V33&lt;&gt;"",V33,IF(IFERROR(INDEX(RS_Flag,MATCH(B33,RS_Lane,0)),"")="Yes",IF(IFERROR(INDEX(RS_Loc,MATCH(B33,RS_Lane,0)),"")="","Regional stock",IFERROR(INDEX(RS_Loc,MATCH(B33,RS_Lane,0)),"")),"Helmond"))</f>
        <v/>
      </c>
      <c r="V33" s="141" t="n"/>
      <c r="W33" s="142" t="n"/>
      <c r="X33" s="143" t="n"/>
      <c r="Y33" s="116">
        <f>IF(X33&lt;&gt;"",X33,IF(U33="Helmond",IF(COUNTIFS(RC_Lane,B33,RC_Band,E33,RC_CostPS,"&gt;0")=0,"",SUMIFS(RC_CostPS,RC_Lane,B33,RC_Band,E33)),IF(U33="Other","",IF(INDEX(RS_Rate,MATCH(B33,RS_Lane,0))="","",INDEX(RS_Rate,MATCH(B33,RS_Lane,0))))))</f>
        <v/>
      </c>
    </row>
    <row r="34">
      <c r="A34" s="95" t="inlineStr">
        <is>
          <t>A-030</t>
        </is>
      </c>
      <c r="B34" s="112" t="inlineStr">
        <is>
          <t>L01</t>
        </is>
      </c>
      <c r="C34" s="101" t="inlineStr">
        <is>
          <t>Saudi Arabia</t>
        </is>
      </c>
      <c r="D34" s="101" t="inlineStr">
        <is>
          <t>Jeddah</t>
        </is>
      </c>
      <c r="E34" s="101" t="inlineStr">
        <is>
          <t>B3  100 to 500 kg</t>
        </is>
      </c>
      <c r="F34" s="123" t="n">
        <v>389.6</v>
      </c>
      <c r="G34" s="86">
        <f>F34*0.006477</f>
        <v/>
      </c>
      <c r="H34" s="123">
        <f>F34*1.079436</f>
        <v/>
      </c>
      <c r="I34" s="122">
        <f>MAX(1,ROUNDUP(G34/0.096,0))</f>
        <v/>
      </c>
      <c r="J34" s="84" t="n">
        <v>46465</v>
      </c>
      <c r="K34" s="87">
        <f>J34-WEEKDAY(J34,2)+1</f>
        <v/>
      </c>
      <c r="L34" s="84">
        <f>J34</f>
        <v/>
      </c>
      <c r="M34" s="52">
        <f>INDEX(LR_Target,MATCH(B34,LR_Lane,0))</f>
        <v/>
      </c>
      <c r="N34" s="84">
        <f>WORKDAY.INTL(L34,M34,INDEX(LR_Code,MATCH(B34,LR_Lane,0)),INDEX(DH_Table,0,MATCH(B34&amp;"*",DH_Head,0)))</f>
        <v/>
      </c>
      <c r="O34" s="65">
        <f>IF(W34&lt;&gt;"",W34,IF(U34="Helmond",IF(COUNTIFS(RC_Lane,B34,RC_Band,E34,RC_Transit,"&lt;&gt;")=0,"",SUMIFS(RC_Transit,RC_Lane,B34,RC_Band,E34)),IF(U34="Other","",IF(INDEX(RS_Transit,MATCH(B34,RS_Lane,0))="","",INDEX(RS_Transit,MATCH(B34,RS_Lane,0))))))</f>
        <v/>
      </c>
      <c r="P34" s="140" t="n"/>
      <c r="Q34" s="84">
        <f>IF(P34&lt;&gt;"",P34,IF(O34="","",WORKDAY.INTL(L34,ROUNDUP(O34,0),INDEX(LR_Code,MATCH(B34,LR_Lane,0)),INDEX(DH_Table,0,MATCH(B34&amp;"*",DH_Head,0)))))</f>
        <v/>
      </c>
      <c r="R34" s="100">
        <f>IF(Q34="","",IF(Q34&lt;=N34,"Yes","No"))</f>
        <v/>
      </c>
      <c r="S34" s="52">
        <f>IF(Q34="","",IF(Q34&lt;=N34,0,NETWORKDAYS.INTL(N34,Q34,INDEX(LR_Code,MATCH(B34,LR_Lane,0)),INDEX(DH_Table,0,MATCH(B34&amp;"*",DH_Head,0)))-1))</f>
        <v/>
      </c>
      <c r="T34" s="127" t="n"/>
      <c r="U34" s="112">
        <f>IF(V34&lt;&gt;"",V34,IF(IFERROR(INDEX(RS_Flag,MATCH(B34,RS_Lane,0)),"")="Yes",IF(IFERROR(INDEX(RS_Loc,MATCH(B34,RS_Lane,0)),"")="","Regional stock",IFERROR(INDEX(RS_Loc,MATCH(B34,RS_Lane,0)),"")),"Helmond"))</f>
        <v/>
      </c>
      <c r="V34" s="141" t="n"/>
      <c r="W34" s="142" t="n"/>
      <c r="X34" s="143" t="n"/>
      <c r="Y34" s="116">
        <f>IF(X34&lt;&gt;"",X34,IF(U34="Helmond",IF(COUNTIFS(RC_Lane,B34,RC_Band,E34,RC_CostPS,"&gt;0")=0,"",SUMIFS(RC_CostPS,RC_Lane,B34,RC_Band,E34)),IF(U34="Other","",IF(INDEX(RS_Rate,MATCH(B34,RS_Lane,0))="","",INDEX(RS_Rate,MATCH(B34,RS_Lane,0))))))</f>
        <v/>
      </c>
    </row>
    <row r="35">
      <c r="A35" s="95" t="inlineStr">
        <is>
          <t>A-031</t>
        </is>
      </c>
      <c r="B35" s="112" t="inlineStr">
        <is>
          <t>L08</t>
        </is>
      </c>
      <c r="C35" s="101" t="inlineStr">
        <is>
          <t>Egypt</t>
        </is>
      </c>
      <c r="D35" s="101" t="inlineStr">
        <is>
          <t>Cairo area</t>
        </is>
      </c>
      <c r="E35" s="101" t="inlineStr">
        <is>
          <t>B4  500 to 2,000 kg</t>
        </is>
      </c>
      <c r="F35" s="123" t="n">
        <v>941.5</v>
      </c>
      <c r="G35" s="86">
        <f>F35*0.006477</f>
        <v/>
      </c>
      <c r="H35" s="123">
        <f>F35*1.079436</f>
        <v/>
      </c>
      <c r="I35" s="122">
        <f>MAX(1,ROUNDUP(G35/0.096,0))</f>
        <v/>
      </c>
      <c r="J35" s="84" t="n">
        <v>46469</v>
      </c>
      <c r="K35" s="87">
        <f>J35-WEEKDAY(J35,2)+1</f>
        <v/>
      </c>
      <c r="L35" s="84">
        <f>J35</f>
        <v/>
      </c>
      <c r="M35" s="52">
        <f>INDEX(LR_Target,MATCH(B35,LR_Lane,0))</f>
        <v/>
      </c>
      <c r="N35" s="84">
        <f>WORKDAY.INTL(L35,M35,INDEX(LR_Code,MATCH(B35,LR_Lane,0)),INDEX(DH_Table,0,MATCH(B35&amp;"*",DH_Head,0)))</f>
        <v/>
      </c>
      <c r="O35" s="65">
        <f>IF(W35&lt;&gt;"",W35,IF(U35="Helmond",IF(COUNTIFS(RC_Lane,B35,RC_Band,E35,RC_Transit,"&lt;&gt;")=0,"",SUMIFS(RC_Transit,RC_Lane,B35,RC_Band,E35)),IF(U35="Other","",IF(INDEX(RS_Transit,MATCH(B35,RS_Lane,0))="","",INDEX(RS_Transit,MATCH(B35,RS_Lane,0))))))</f>
        <v/>
      </c>
      <c r="P35" s="140" t="n"/>
      <c r="Q35" s="84">
        <f>IF(P35&lt;&gt;"",P35,IF(O35="","",WORKDAY.INTL(L35,ROUNDUP(O35,0),INDEX(LR_Code,MATCH(B35,LR_Lane,0)),INDEX(DH_Table,0,MATCH(B35&amp;"*",DH_Head,0)))))</f>
        <v/>
      </c>
      <c r="R35" s="100">
        <f>IF(Q35="","",IF(Q35&lt;=N35,"Yes","No"))</f>
        <v/>
      </c>
      <c r="S35" s="52">
        <f>IF(Q35="","",IF(Q35&lt;=N35,0,NETWORKDAYS.INTL(N35,Q35,INDEX(LR_Code,MATCH(B35,LR_Lane,0)),INDEX(DH_Table,0,MATCH(B35&amp;"*",DH_Head,0)))-1))</f>
        <v/>
      </c>
      <c r="T35" s="127" t="n"/>
      <c r="U35" s="112">
        <f>IF(V35&lt;&gt;"",V35,IF(IFERROR(INDEX(RS_Flag,MATCH(B35,RS_Lane,0)),"")="Yes",IF(IFERROR(INDEX(RS_Loc,MATCH(B35,RS_Lane,0)),"")="","Regional stock",IFERROR(INDEX(RS_Loc,MATCH(B35,RS_Lane,0)),"")),"Helmond"))</f>
        <v/>
      </c>
      <c r="V35" s="141" t="n"/>
      <c r="W35" s="142" t="n"/>
      <c r="X35" s="143" t="n"/>
      <c r="Y35" s="116">
        <f>IF(X35&lt;&gt;"",X35,IF(U35="Helmond",IF(COUNTIFS(RC_Lane,B35,RC_Band,E35,RC_CostPS,"&gt;0")=0,"",SUMIFS(RC_CostPS,RC_Lane,B35,RC_Band,E35)),IF(U35="Other","",IF(INDEX(RS_Rate,MATCH(B35,RS_Lane,0))="","",INDEX(RS_Rate,MATCH(B35,RS_Lane,0))))))</f>
        <v/>
      </c>
    </row>
    <row r="36">
      <c r="A36" s="95" t="inlineStr">
        <is>
          <t>A-032</t>
        </is>
      </c>
      <c r="B36" s="112" t="inlineStr">
        <is>
          <t>L02</t>
        </is>
      </c>
      <c r="C36" s="101" t="inlineStr">
        <is>
          <t>United Arab Emirates</t>
        </is>
      </c>
      <c r="D36" s="101" t="inlineStr">
        <is>
          <t>Dubai</t>
        </is>
      </c>
      <c r="E36" s="101" t="inlineStr">
        <is>
          <t>B1  0 to 30 kg</t>
        </is>
      </c>
      <c r="F36" s="123" t="n">
        <v>4</v>
      </c>
      <c r="G36" s="86">
        <f>F36*0.006477</f>
        <v/>
      </c>
      <c r="H36" s="123">
        <f>F36*1.079436</f>
        <v/>
      </c>
      <c r="I36" s="122">
        <f>MAX(1,ROUNDUP(G36/0.096,0))</f>
        <v/>
      </c>
      <c r="J36" s="84" t="n">
        <v>46471</v>
      </c>
      <c r="K36" s="87">
        <f>J36-WEEKDAY(J36,2)+1</f>
        <v/>
      </c>
      <c r="L36" s="84">
        <f>J36</f>
        <v/>
      </c>
      <c r="M36" s="52">
        <f>INDEX(LR_Target,MATCH(B36,LR_Lane,0))</f>
        <v/>
      </c>
      <c r="N36" s="84">
        <f>WORKDAY.INTL(L36,M36,INDEX(LR_Code,MATCH(B36,LR_Lane,0)),INDEX(DH_Table,0,MATCH(B36&amp;"*",DH_Head,0)))</f>
        <v/>
      </c>
      <c r="O36" s="65">
        <f>IF(W36&lt;&gt;"",W36,IF(U36="Helmond",IF(COUNTIFS(RC_Lane,B36,RC_Band,E36,RC_Transit,"&lt;&gt;")=0,"",SUMIFS(RC_Transit,RC_Lane,B36,RC_Band,E36)),IF(U36="Other","",IF(INDEX(RS_Transit,MATCH(B36,RS_Lane,0))="","",INDEX(RS_Transit,MATCH(B36,RS_Lane,0))))))</f>
        <v/>
      </c>
      <c r="P36" s="140" t="n"/>
      <c r="Q36" s="84">
        <f>IF(P36&lt;&gt;"",P36,IF(O36="","",WORKDAY.INTL(L36,ROUNDUP(O36,0),INDEX(LR_Code,MATCH(B36,LR_Lane,0)),INDEX(DH_Table,0,MATCH(B36&amp;"*",DH_Head,0)))))</f>
        <v/>
      </c>
      <c r="R36" s="100">
        <f>IF(Q36="","",IF(Q36&lt;=N36,"Yes","No"))</f>
        <v/>
      </c>
      <c r="S36" s="52">
        <f>IF(Q36="","",IF(Q36&lt;=N36,0,NETWORKDAYS.INTL(N36,Q36,INDEX(LR_Code,MATCH(B36,LR_Lane,0)),INDEX(DH_Table,0,MATCH(B36&amp;"*",DH_Head,0)))-1))</f>
        <v/>
      </c>
      <c r="T36" s="127" t="n"/>
      <c r="U36" s="112">
        <f>IF(V36&lt;&gt;"",V36,IF(IFERROR(INDEX(RS_Flag,MATCH(B36,RS_Lane,0)),"")="Yes",IF(IFERROR(INDEX(RS_Loc,MATCH(B36,RS_Lane,0)),"")="","Regional stock",IFERROR(INDEX(RS_Loc,MATCH(B36,RS_Lane,0)),"")),"Helmond"))</f>
        <v/>
      </c>
      <c r="V36" s="141" t="n"/>
      <c r="W36" s="142" t="n"/>
      <c r="X36" s="143" t="n"/>
      <c r="Y36" s="116">
        <f>IF(X36&lt;&gt;"",X36,IF(U36="Helmond",IF(COUNTIFS(RC_Lane,B36,RC_Band,E36,RC_CostPS,"&gt;0")=0,"",SUMIFS(RC_CostPS,RC_Lane,B36,RC_Band,E36)),IF(U36="Other","",IF(INDEX(RS_Rate,MATCH(B36,RS_Lane,0))="","",INDEX(RS_Rate,MATCH(B36,RS_Lane,0))))))</f>
        <v/>
      </c>
    </row>
    <row r="37">
      <c r="A37" s="95" t="inlineStr">
        <is>
          <t>A-033</t>
        </is>
      </c>
      <c r="B37" s="112" t="inlineStr">
        <is>
          <t>L01</t>
        </is>
      </c>
      <c r="C37" s="101" t="inlineStr">
        <is>
          <t>Saudi Arabia</t>
        </is>
      </c>
      <c r="D37" s="101" t="inlineStr">
        <is>
          <t>Riyadh</t>
        </is>
      </c>
      <c r="E37" s="101" t="inlineStr">
        <is>
          <t>B1  0 to 30 kg</t>
        </is>
      </c>
      <c r="F37" s="123" t="n">
        <v>5.4</v>
      </c>
      <c r="G37" s="86">
        <f>F37*0.006477</f>
        <v/>
      </c>
      <c r="H37" s="123">
        <f>F37*1.079436</f>
        <v/>
      </c>
      <c r="I37" s="122">
        <f>MAX(1,ROUNDUP(G37/0.096,0))</f>
        <v/>
      </c>
      <c r="J37" s="84" t="n">
        <v>46472</v>
      </c>
      <c r="K37" s="87">
        <f>J37-WEEKDAY(J37,2)+1</f>
        <v/>
      </c>
      <c r="L37" s="84">
        <f>J37</f>
        <v/>
      </c>
      <c r="M37" s="52">
        <f>INDEX(LR_Target,MATCH(B37,LR_Lane,0))</f>
        <v/>
      </c>
      <c r="N37" s="84">
        <f>WORKDAY.INTL(L37,M37,INDEX(LR_Code,MATCH(B37,LR_Lane,0)),INDEX(DH_Table,0,MATCH(B37&amp;"*",DH_Head,0)))</f>
        <v/>
      </c>
      <c r="O37" s="65">
        <f>IF(W37&lt;&gt;"",W37,IF(U37="Helmond",IF(COUNTIFS(RC_Lane,B37,RC_Band,E37,RC_Transit,"&lt;&gt;")=0,"",SUMIFS(RC_Transit,RC_Lane,B37,RC_Band,E37)),IF(U37="Other","",IF(INDEX(RS_Transit,MATCH(B37,RS_Lane,0))="","",INDEX(RS_Transit,MATCH(B37,RS_Lane,0))))))</f>
        <v/>
      </c>
      <c r="P37" s="140" t="n"/>
      <c r="Q37" s="84">
        <f>IF(P37&lt;&gt;"",P37,IF(O37="","",WORKDAY.INTL(L37,ROUNDUP(O37,0),INDEX(LR_Code,MATCH(B37,LR_Lane,0)),INDEX(DH_Table,0,MATCH(B37&amp;"*",DH_Head,0)))))</f>
        <v/>
      </c>
      <c r="R37" s="100">
        <f>IF(Q37="","",IF(Q37&lt;=N37,"Yes","No"))</f>
        <v/>
      </c>
      <c r="S37" s="52">
        <f>IF(Q37="","",IF(Q37&lt;=N37,0,NETWORKDAYS.INTL(N37,Q37,INDEX(LR_Code,MATCH(B37,LR_Lane,0)),INDEX(DH_Table,0,MATCH(B37&amp;"*",DH_Head,0)))-1))</f>
        <v/>
      </c>
      <c r="T37" s="127" t="n"/>
      <c r="U37" s="112">
        <f>IF(V37&lt;&gt;"",V37,IF(IFERROR(INDEX(RS_Flag,MATCH(B37,RS_Lane,0)),"")="Yes",IF(IFERROR(INDEX(RS_Loc,MATCH(B37,RS_Lane,0)),"")="","Regional stock",IFERROR(INDEX(RS_Loc,MATCH(B37,RS_Lane,0)),"")),"Helmond"))</f>
        <v/>
      </c>
      <c r="V37" s="141" t="n"/>
      <c r="W37" s="142" t="n"/>
      <c r="X37" s="143" t="n"/>
      <c r="Y37" s="116">
        <f>IF(X37&lt;&gt;"",X37,IF(U37="Helmond",IF(COUNTIFS(RC_Lane,B37,RC_Band,E37,RC_CostPS,"&gt;0")=0,"",SUMIFS(RC_CostPS,RC_Lane,B37,RC_Band,E37)),IF(U37="Other","",IF(INDEX(RS_Rate,MATCH(B37,RS_Lane,0))="","",INDEX(RS_Rate,MATCH(B37,RS_Lane,0))))))</f>
        <v/>
      </c>
    </row>
    <row r="38">
      <c r="A38" s="95" t="inlineStr">
        <is>
          <t>A-034</t>
        </is>
      </c>
      <c r="B38" s="112" t="inlineStr">
        <is>
          <t>L04</t>
        </is>
      </c>
      <c r="C38" s="101" t="inlineStr">
        <is>
          <t>Qatar</t>
        </is>
      </c>
      <c r="D38" s="101" t="inlineStr">
        <is>
          <t>Doha</t>
        </is>
      </c>
      <c r="E38" s="101" t="inlineStr">
        <is>
          <t>B1  0 to 30 kg</t>
        </is>
      </c>
      <c r="F38" s="123" t="n">
        <v>9.800000000000001</v>
      </c>
      <c r="G38" s="86">
        <f>F38*0.006477</f>
        <v/>
      </c>
      <c r="H38" s="123">
        <f>F38*1.079436</f>
        <v/>
      </c>
      <c r="I38" s="122">
        <f>MAX(1,ROUNDUP(G38/0.096,0))</f>
        <v/>
      </c>
      <c r="J38" s="84" t="n">
        <v>46472</v>
      </c>
      <c r="K38" s="87">
        <f>J38-WEEKDAY(J38,2)+1</f>
        <v/>
      </c>
      <c r="L38" s="84">
        <f>J38</f>
        <v/>
      </c>
      <c r="M38" s="52">
        <f>INDEX(LR_Target,MATCH(B38,LR_Lane,0))</f>
        <v/>
      </c>
      <c r="N38" s="84">
        <f>WORKDAY.INTL(L38,M38,INDEX(LR_Code,MATCH(B38,LR_Lane,0)),INDEX(DH_Table,0,MATCH(B38&amp;"*",DH_Head,0)))</f>
        <v/>
      </c>
      <c r="O38" s="65">
        <f>IF(W38&lt;&gt;"",W38,IF(U38="Helmond",IF(COUNTIFS(RC_Lane,B38,RC_Band,E38,RC_Transit,"&lt;&gt;")=0,"",SUMIFS(RC_Transit,RC_Lane,B38,RC_Band,E38)),IF(U38="Other","",IF(INDEX(RS_Transit,MATCH(B38,RS_Lane,0))="","",INDEX(RS_Transit,MATCH(B38,RS_Lane,0))))))</f>
        <v/>
      </c>
      <c r="P38" s="140" t="n"/>
      <c r="Q38" s="84">
        <f>IF(P38&lt;&gt;"",P38,IF(O38="","",WORKDAY.INTL(L38,ROUNDUP(O38,0),INDEX(LR_Code,MATCH(B38,LR_Lane,0)),INDEX(DH_Table,0,MATCH(B38&amp;"*",DH_Head,0)))))</f>
        <v/>
      </c>
      <c r="R38" s="100">
        <f>IF(Q38="","",IF(Q38&lt;=N38,"Yes","No"))</f>
        <v/>
      </c>
      <c r="S38" s="52">
        <f>IF(Q38="","",IF(Q38&lt;=N38,0,NETWORKDAYS.INTL(N38,Q38,INDEX(LR_Code,MATCH(B38,LR_Lane,0)),INDEX(DH_Table,0,MATCH(B38&amp;"*",DH_Head,0)))-1))</f>
        <v/>
      </c>
      <c r="T38" s="127" t="n"/>
      <c r="U38" s="112">
        <f>IF(V38&lt;&gt;"",V38,IF(IFERROR(INDEX(RS_Flag,MATCH(B38,RS_Lane,0)),"")="Yes",IF(IFERROR(INDEX(RS_Loc,MATCH(B38,RS_Lane,0)),"")="","Regional stock",IFERROR(INDEX(RS_Loc,MATCH(B38,RS_Lane,0)),"")),"Helmond"))</f>
        <v/>
      </c>
      <c r="V38" s="141" t="n"/>
      <c r="W38" s="142" t="n"/>
      <c r="X38" s="143" t="n"/>
      <c r="Y38" s="116">
        <f>IF(X38&lt;&gt;"",X38,IF(U38="Helmond",IF(COUNTIFS(RC_Lane,B38,RC_Band,E38,RC_CostPS,"&gt;0")=0,"",SUMIFS(RC_CostPS,RC_Lane,B38,RC_Band,E38)),IF(U38="Other","",IF(INDEX(RS_Rate,MATCH(B38,RS_Lane,0))="","",INDEX(RS_Rate,MATCH(B38,RS_Lane,0))))))</f>
        <v/>
      </c>
    </row>
    <row r="39">
      <c r="A39" s="95" t="inlineStr">
        <is>
          <t>A-035</t>
        </is>
      </c>
      <c r="B39" s="112" t="inlineStr">
        <is>
          <t>L05</t>
        </is>
      </c>
      <c r="C39" s="101" t="inlineStr">
        <is>
          <t>Türkiye</t>
        </is>
      </c>
      <c r="D39" s="101" t="inlineStr">
        <is>
          <t>Istanbul</t>
        </is>
      </c>
      <c r="E39" s="101" t="inlineStr">
        <is>
          <t>B3  100 to 500 kg</t>
        </is>
      </c>
      <c r="F39" s="123" t="n">
        <v>391.2</v>
      </c>
      <c r="G39" s="86">
        <f>F39*0.006477</f>
        <v/>
      </c>
      <c r="H39" s="123">
        <f>F39*1.079436</f>
        <v/>
      </c>
      <c r="I39" s="122">
        <f>MAX(1,ROUNDUP(G39/0.096,0))</f>
        <v/>
      </c>
      <c r="J39" s="84" t="n">
        <v>46477</v>
      </c>
      <c r="K39" s="87">
        <f>J39-WEEKDAY(J39,2)+1</f>
        <v/>
      </c>
      <c r="L39" s="84">
        <f>J39</f>
        <v/>
      </c>
      <c r="M39" s="52">
        <f>INDEX(LR_Target,MATCH(B39,LR_Lane,0))</f>
        <v/>
      </c>
      <c r="N39" s="84">
        <f>WORKDAY.INTL(L39,M39,INDEX(LR_Code,MATCH(B39,LR_Lane,0)),INDEX(DH_Table,0,MATCH(B39&amp;"*",DH_Head,0)))</f>
        <v/>
      </c>
      <c r="O39" s="65">
        <f>IF(W39&lt;&gt;"",W39,IF(U39="Helmond",IF(COUNTIFS(RC_Lane,B39,RC_Band,E39,RC_Transit,"&lt;&gt;")=0,"",SUMIFS(RC_Transit,RC_Lane,B39,RC_Band,E39)),IF(U39="Other","",IF(INDEX(RS_Transit,MATCH(B39,RS_Lane,0))="","",INDEX(RS_Transit,MATCH(B39,RS_Lane,0))))))</f>
        <v/>
      </c>
      <c r="P39" s="140" t="n"/>
      <c r="Q39" s="84">
        <f>IF(P39&lt;&gt;"",P39,IF(O39="","",WORKDAY.INTL(L39,ROUNDUP(O39,0),INDEX(LR_Code,MATCH(B39,LR_Lane,0)),INDEX(DH_Table,0,MATCH(B39&amp;"*",DH_Head,0)))))</f>
        <v/>
      </c>
      <c r="R39" s="100">
        <f>IF(Q39="","",IF(Q39&lt;=N39,"Yes","No"))</f>
        <v/>
      </c>
      <c r="S39" s="52">
        <f>IF(Q39="","",IF(Q39&lt;=N39,0,NETWORKDAYS.INTL(N39,Q39,INDEX(LR_Code,MATCH(B39,LR_Lane,0)),INDEX(DH_Table,0,MATCH(B39&amp;"*",DH_Head,0)))-1))</f>
        <v/>
      </c>
      <c r="T39" s="127" t="n"/>
      <c r="U39" s="112">
        <f>IF(V39&lt;&gt;"",V39,IF(IFERROR(INDEX(RS_Flag,MATCH(B39,RS_Lane,0)),"")="Yes",IF(IFERROR(INDEX(RS_Loc,MATCH(B39,RS_Lane,0)),"")="","Regional stock",IFERROR(INDEX(RS_Loc,MATCH(B39,RS_Lane,0)),"")),"Helmond"))</f>
        <v/>
      </c>
      <c r="V39" s="141" t="n"/>
      <c r="W39" s="142" t="n"/>
      <c r="X39" s="143" t="n"/>
      <c r="Y39" s="116">
        <f>IF(X39&lt;&gt;"",X39,IF(U39="Helmond",IF(COUNTIFS(RC_Lane,B39,RC_Band,E39,RC_CostPS,"&gt;0")=0,"",SUMIFS(RC_CostPS,RC_Lane,B39,RC_Band,E39)),IF(U39="Other","",IF(INDEX(RS_Rate,MATCH(B39,RS_Lane,0))="","",INDEX(RS_Rate,MATCH(B39,RS_Lane,0))))))</f>
        <v/>
      </c>
    </row>
    <row r="40">
      <c r="A40" s="95" t="inlineStr">
        <is>
          <t>A-036</t>
        </is>
      </c>
      <c r="B40" s="112" t="inlineStr">
        <is>
          <t>L01</t>
        </is>
      </c>
      <c r="C40" s="101" t="inlineStr">
        <is>
          <t>Saudi Arabia</t>
        </is>
      </c>
      <c r="D40" s="101" t="inlineStr">
        <is>
          <t>Jeddah</t>
        </is>
      </c>
      <c r="E40" s="101" t="inlineStr">
        <is>
          <t>B1  0 to 30 kg</t>
        </is>
      </c>
      <c r="F40" s="123" t="n">
        <v>13.6</v>
      </c>
      <c r="G40" s="86">
        <f>F40*0.006477</f>
        <v/>
      </c>
      <c r="H40" s="123">
        <f>F40*1.079436</f>
        <v/>
      </c>
      <c r="I40" s="122">
        <f>MAX(1,ROUNDUP(G40/0.096,0))</f>
        <v/>
      </c>
      <c r="J40" s="84" t="n">
        <v>46478</v>
      </c>
      <c r="K40" s="87">
        <f>J40-WEEKDAY(J40,2)+1</f>
        <v/>
      </c>
      <c r="L40" s="84">
        <f>J40</f>
        <v/>
      </c>
      <c r="M40" s="52">
        <f>INDEX(LR_Target,MATCH(B40,LR_Lane,0))</f>
        <v/>
      </c>
      <c r="N40" s="84">
        <f>WORKDAY.INTL(L40,M40,INDEX(LR_Code,MATCH(B40,LR_Lane,0)),INDEX(DH_Table,0,MATCH(B40&amp;"*",DH_Head,0)))</f>
        <v/>
      </c>
      <c r="O40" s="65">
        <f>IF(W40&lt;&gt;"",W40,IF(U40="Helmond",IF(COUNTIFS(RC_Lane,B40,RC_Band,E40,RC_Transit,"&lt;&gt;")=0,"",SUMIFS(RC_Transit,RC_Lane,B40,RC_Band,E40)),IF(U40="Other","",IF(INDEX(RS_Transit,MATCH(B40,RS_Lane,0))="","",INDEX(RS_Transit,MATCH(B40,RS_Lane,0))))))</f>
        <v/>
      </c>
      <c r="P40" s="140" t="n"/>
      <c r="Q40" s="84">
        <f>IF(P40&lt;&gt;"",P40,IF(O40="","",WORKDAY.INTL(L40,ROUNDUP(O40,0),INDEX(LR_Code,MATCH(B40,LR_Lane,0)),INDEX(DH_Table,0,MATCH(B40&amp;"*",DH_Head,0)))))</f>
        <v/>
      </c>
      <c r="R40" s="100">
        <f>IF(Q40="","",IF(Q40&lt;=N40,"Yes","No"))</f>
        <v/>
      </c>
      <c r="S40" s="52">
        <f>IF(Q40="","",IF(Q40&lt;=N40,0,NETWORKDAYS.INTL(N40,Q40,INDEX(LR_Code,MATCH(B40,LR_Lane,0)),INDEX(DH_Table,0,MATCH(B40&amp;"*",DH_Head,0)))-1))</f>
        <v/>
      </c>
      <c r="T40" s="127" t="n"/>
      <c r="U40" s="112">
        <f>IF(V40&lt;&gt;"",V40,IF(IFERROR(INDEX(RS_Flag,MATCH(B40,RS_Lane,0)),"")="Yes",IF(IFERROR(INDEX(RS_Loc,MATCH(B40,RS_Lane,0)),"")="","Regional stock",IFERROR(INDEX(RS_Loc,MATCH(B40,RS_Lane,0)),"")),"Helmond"))</f>
        <v/>
      </c>
      <c r="V40" s="141" t="n"/>
      <c r="W40" s="142" t="n"/>
      <c r="X40" s="143" t="n"/>
      <c r="Y40" s="116">
        <f>IF(X40&lt;&gt;"",X40,IF(U40="Helmond",IF(COUNTIFS(RC_Lane,B40,RC_Band,E40,RC_CostPS,"&gt;0")=0,"",SUMIFS(RC_CostPS,RC_Lane,B40,RC_Band,E40)),IF(U40="Other","",IF(INDEX(RS_Rate,MATCH(B40,RS_Lane,0))="","",INDEX(RS_Rate,MATCH(B40,RS_Lane,0))))))</f>
        <v/>
      </c>
    </row>
    <row r="41">
      <c r="A41" s="95" t="inlineStr">
        <is>
          <t>A-037</t>
        </is>
      </c>
      <c r="B41" s="112" t="inlineStr">
        <is>
          <t>L02</t>
        </is>
      </c>
      <c r="C41" s="101" t="inlineStr">
        <is>
          <t>United Arab Emirates</t>
        </is>
      </c>
      <c r="D41" s="101" t="inlineStr">
        <is>
          <t>Dubai</t>
        </is>
      </c>
      <c r="E41" s="101" t="inlineStr">
        <is>
          <t>B1  0 to 30 kg</t>
        </is>
      </c>
      <c r="F41" s="123" t="n">
        <v>11</v>
      </c>
      <c r="G41" s="86">
        <f>F41*0.006477</f>
        <v/>
      </c>
      <c r="H41" s="123">
        <f>F41*1.079436</f>
        <v/>
      </c>
      <c r="I41" s="122">
        <f>MAX(1,ROUNDUP(G41/0.096,0))</f>
        <v/>
      </c>
      <c r="J41" s="84" t="n">
        <v>46482</v>
      </c>
      <c r="K41" s="87">
        <f>J41-WEEKDAY(J41,2)+1</f>
        <v/>
      </c>
      <c r="L41" s="84">
        <f>J41</f>
        <v/>
      </c>
      <c r="M41" s="52">
        <f>INDEX(LR_Target,MATCH(B41,LR_Lane,0))</f>
        <v/>
      </c>
      <c r="N41" s="84">
        <f>WORKDAY.INTL(L41,M41,INDEX(LR_Code,MATCH(B41,LR_Lane,0)),INDEX(DH_Table,0,MATCH(B41&amp;"*",DH_Head,0)))</f>
        <v/>
      </c>
      <c r="O41" s="65">
        <f>IF(W41&lt;&gt;"",W41,IF(U41="Helmond",IF(COUNTIFS(RC_Lane,B41,RC_Band,E41,RC_Transit,"&lt;&gt;")=0,"",SUMIFS(RC_Transit,RC_Lane,B41,RC_Band,E41)),IF(U41="Other","",IF(INDEX(RS_Transit,MATCH(B41,RS_Lane,0))="","",INDEX(RS_Transit,MATCH(B41,RS_Lane,0))))))</f>
        <v/>
      </c>
      <c r="P41" s="140" t="n"/>
      <c r="Q41" s="84">
        <f>IF(P41&lt;&gt;"",P41,IF(O41="","",WORKDAY.INTL(L41,ROUNDUP(O41,0),INDEX(LR_Code,MATCH(B41,LR_Lane,0)),INDEX(DH_Table,0,MATCH(B41&amp;"*",DH_Head,0)))))</f>
        <v/>
      </c>
      <c r="R41" s="100">
        <f>IF(Q41="","",IF(Q41&lt;=N41,"Yes","No"))</f>
        <v/>
      </c>
      <c r="S41" s="52">
        <f>IF(Q41="","",IF(Q41&lt;=N41,0,NETWORKDAYS.INTL(N41,Q41,INDEX(LR_Code,MATCH(B41,LR_Lane,0)),INDEX(DH_Table,0,MATCH(B41&amp;"*",DH_Head,0)))-1))</f>
        <v/>
      </c>
      <c r="T41" s="127" t="n"/>
      <c r="U41" s="112">
        <f>IF(V41&lt;&gt;"",V41,IF(IFERROR(INDEX(RS_Flag,MATCH(B41,RS_Lane,0)),"")="Yes",IF(IFERROR(INDEX(RS_Loc,MATCH(B41,RS_Lane,0)),"")="","Regional stock",IFERROR(INDEX(RS_Loc,MATCH(B41,RS_Lane,0)),"")),"Helmond"))</f>
        <v/>
      </c>
      <c r="V41" s="141" t="n"/>
      <c r="W41" s="142" t="n"/>
      <c r="X41" s="143" t="n"/>
      <c r="Y41" s="116">
        <f>IF(X41&lt;&gt;"",X41,IF(U41="Helmond",IF(COUNTIFS(RC_Lane,B41,RC_Band,E41,RC_CostPS,"&gt;0")=0,"",SUMIFS(RC_CostPS,RC_Lane,B41,RC_Band,E41)),IF(U41="Other","",IF(INDEX(RS_Rate,MATCH(B41,RS_Lane,0))="","",INDEX(RS_Rate,MATCH(B41,RS_Lane,0))))))</f>
        <v/>
      </c>
    </row>
    <row r="42">
      <c r="A42" s="95" t="inlineStr">
        <is>
          <t>A-038</t>
        </is>
      </c>
      <c r="B42" s="112" t="inlineStr">
        <is>
          <t>L04</t>
        </is>
      </c>
      <c r="C42" s="101" t="inlineStr">
        <is>
          <t>Qatar</t>
        </is>
      </c>
      <c r="D42" s="101" t="inlineStr">
        <is>
          <t>Doha</t>
        </is>
      </c>
      <c r="E42" s="101" t="inlineStr">
        <is>
          <t>B2  30 to 100 kg</t>
        </is>
      </c>
      <c r="F42" s="123" t="n">
        <v>45</v>
      </c>
      <c r="G42" s="86">
        <f>F42*0.006477</f>
        <v/>
      </c>
      <c r="H42" s="123">
        <f>F42*1.079436</f>
        <v/>
      </c>
      <c r="I42" s="122">
        <f>MAX(1,ROUNDUP(G42/0.096,0))</f>
        <v/>
      </c>
      <c r="J42" s="84" t="n">
        <v>46483</v>
      </c>
      <c r="K42" s="87">
        <f>J42-WEEKDAY(J42,2)+1</f>
        <v/>
      </c>
      <c r="L42" s="84">
        <f>J42</f>
        <v/>
      </c>
      <c r="M42" s="52">
        <f>INDEX(LR_Target,MATCH(B42,LR_Lane,0))</f>
        <v/>
      </c>
      <c r="N42" s="84">
        <f>WORKDAY.INTL(L42,M42,INDEX(LR_Code,MATCH(B42,LR_Lane,0)),INDEX(DH_Table,0,MATCH(B42&amp;"*",DH_Head,0)))</f>
        <v/>
      </c>
      <c r="O42" s="65">
        <f>IF(W42&lt;&gt;"",W42,IF(U42="Helmond",IF(COUNTIFS(RC_Lane,B42,RC_Band,E42,RC_Transit,"&lt;&gt;")=0,"",SUMIFS(RC_Transit,RC_Lane,B42,RC_Band,E42)),IF(U42="Other","",IF(INDEX(RS_Transit,MATCH(B42,RS_Lane,0))="","",INDEX(RS_Transit,MATCH(B42,RS_Lane,0))))))</f>
        <v/>
      </c>
      <c r="P42" s="140" t="n"/>
      <c r="Q42" s="84">
        <f>IF(P42&lt;&gt;"",P42,IF(O42="","",WORKDAY.INTL(L42,ROUNDUP(O42,0),INDEX(LR_Code,MATCH(B42,LR_Lane,0)),INDEX(DH_Table,0,MATCH(B42&amp;"*",DH_Head,0)))))</f>
        <v/>
      </c>
      <c r="R42" s="100">
        <f>IF(Q42="","",IF(Q42&lt;=N42,"Yes","No"))</f>
        <v/>
      </c>
      <c r="S42" s="52">
        <f>IF(Q42="","",IF(Q42&lt;=N42,0,NETWORKDAYS.INTL(N42,Q42,INDEX(LR_Code,MATCH(B42,LR_Lane,0)),INDEX(DH_Table,0,MATCH(B42&amp;"*",DH_Head,0)))-1))</f>
        <v/>
      </c>
      <c r="T42" s="127" t="n"/>
      <c r="U42" s="112">
        <f>IF(V42&lt;&gt;"",V42,IF(IFERROR(INDEX(RS_Flag,MATCH(B42,RS_Lane,0)),"")="Yes",IF(IFERROR(INDEX(RS_Loc,MATCH(B42,RS_Lane,0)),"")="","Regional stock",IFERROR(INDEX(RS_Loc,MATCH(B42,RS_Lane,0)),"")),"Helmond"))</f>
        <v/>
      </c>
      <c r="V42" s="141" t="n"/>
      <c r="W42" s="142" t="n"/>
      <c r="X42" s="143" t="n"/>
      <c r="Y42" s="116">
        <f>IF(X42&lt;&gt;"",X42,IF(U42="Helmond",IF(COUNTIFS(RC_Lane,B42,RC_Band,E42,RC_CostPS,"&gt;0")=0,"",SUMIFS(RC_CostPS,RC_Lane,B42,RC_Band,E42)),IF(U42="Other","",IF(INDEX(RS_Rate,MATCH(B42,RS_Lane,0))="","",INDEX(RS_Rate,MATCH(B42,RS_Lane,0))))))</f>
        <v/>
      </c>
    </row>
    <row r="43">
      <c r="A43" s="95" t="inlineStr">
        <is>
          <t>A-039</t>
        </is>
      </c>
      <c r="B43" s="112" t="inlineStr">
        <is>
          <t>L01</t>
        </is>
      </c>
      <c r="C43" s="101" t="inlineStr">
        <is>
          <t>Saudi Arabia</t>
        </is>
      </c>
      <c r="D43" s="101" t="inlineStr">
        <is>
          <t>Jeddah</t>
        </is>
      </c>
      <c r="E43" s="101" t="inlineStr">
        <is>
          <t>B3  100 to 500 kg</t>
        </is>
      </c>
      <c r="F43" s="123" t="n">
        <v>288.5</v>
      </c>
      <c r="G43" s="86">
        <f>F43*0.006477</f>
        <v/>
      </c>
      <c r="H43" s="123">
        <f>F43*1.079436</f>
        <v/>
      </c>
      <c r="I43" s="122">
        <f>MAX(1,ROUNDUP(G43/0.096,0))</f>
        <v/>
      </c>
      <c r="J43" s="84" t="n">
        <v>46491</v>
      </c>
      <c r="K43" s="87">
        <f>J43-WEEKDAY(J43,2)+1</f>
        <v/>
      </c>
      <c r="L43" s="84">
        <f>J43</f>
        <v/>
      </c>
      <c r="M43" s="52">
        <f>INDEX(LR_Target,MATCH(B43,LR_Lane,0))</f>
        <v/>
      </c>
      <c r="N43" s="84">
        <f>WORKDAY.INTL(L43,M43,INDEX(LR_Code,MATCH(B43,LR_Lane,0)),INDEX(DH_Table,0,MATCH(B43&amp;"*",DH_Head,0)))</f>
        <v/>
      </c>
      <c r="O43" s="65">
        <f>IF(W43&lt;&gt;"",W43,IF(U43="Helmond",IF(COUNTIFS(RC_Lane,B43,RC_Band,E43,RC_Transit,"&lt;&gt;")=0,"",SUMIFS(RC_Transit,RC_Lane,B43,RC_Band,E43)),IF(U43="Other","",IF(INDEX(RS_Transit,MATCH(B43,RS_Lane,0))="","",INDEX(RS_Transit,MATCH(B43,RS_Lane,0))))))</f>
        <v/>
      </c>
      <c r="P43" s="140" t="n"/>
      <c r="Q43" s="84">
        <f>IF(P43&lt;&gt;"",P43,IF(O43="","",WORKDAY.INTL(L43,ROUNDUP(O43,0),INDEX(LR_Code,MATCH(B43,LR_Lane,0)),INDEX(DH_Table,0,MATCH(B43&amp;"*",DH_Head,0)))))</f>
        <v/>
      </c>
      <c r="R43" s="100">
        <f>IF(Q43="","",IF(Q43&lt;=N43,"Yes","No"))</f>
        <v/>
      </c>
      <c r="S43" s="52">
        <f>IF(Q43="","",IF(Q43&lt;=N43,0,NETWORKDAYS.INTL(N43,Q43,INDEX(LR_Code,MATCH(B43,LR_Lane,0)),INDEX(DH_Table,0,MATCH(B43&amp;"*",DH_Head,0)))-1))</f>
        <v/>
      </c>
      <c r="T43" s="127" t="n"/>
      <c r="U43" s="112">
        <f>IF(V43&lt;&gt;"",V43,IF(IFERROR(INDEX(RS_Flag,MATCH(B43,RS_Lane,0)),"")="Yes",IF(IFERROR(INDEX(RS_Loc,MATCH(B43,RS_Lane,0)),"")="","Regional stock",IFERROR(INDEX(RS_Loc,MATCH(B43,RS_Lane,0)),"")),"Helmond"))</f>
        <v/>
      </c>
      <c r="V43" s="141" t="n"/>
      <c r="W43" s="142" t="n"/>
      <c r="X43" s="143" t="n"/>
      <c r="Y43" s="116">
        <f>IF(X43&lt;&gt;"",X43,IF(U43="Helmond",IF(COUNTIFS(RC_Lane,B43,RC_Band,E43,RC_CostPS,"&gt;0")=0,"",SUMIFS(RC_CostPS,RC_Lane,B43,RC_Band,E43)),IF(U43="Other","",IF(INDEX(RS_Rate,MATCH(B43,RS_Lane,0))="","",INDEX(RS_Rate,MATCH(B43,RS_Lane,0))))))</f>
        <v/>
      </c>
    </row>
    <row r="44">
      <c r="A44" s="95" t="inlineStr">
        <is>
          <t>A-040</t>
        </is>
      </c>
      <c r="B44" s="112" t="inlineStr">
        <is>
          <t>L02</t>
        </is>
      </c>
      <c r="C44" s="101" t="inlineStr">
        <is>
          <t>United Arab Emirates</t>
        </is>
      </c>
      <c r="D44" s="101" t="inlineStr">
        <is>
          <t>Dubai</t>
        </is>
      </c>
      <c r="E44" s="101" t="inlineStr">
        <is>
          <t>B1  0 to 30 kg</t>
        </is>
      </c>
      <c r="F44" s="123" t="n">
        <v>1.8</v>
      </c>
      <c r="G44" s="86">
        <f>F44*0.006477</f>
        <v/>
      </c>
      <c r="H44" s="123">
        <f>F44*1.079436</f>
        <v/>
      </c>
      <c r="I44" s="122">
        <f>MAX(1,ROUNDUP(G44/0.096,0))</f>
        <v/>
      </c>
      <c r="J44" s="84" t="n">
        <v>46493</v>
      </c>
      <c r="K44" s="87">
        <f>J44-WEEKDAY(J44,2)+1</f>
        <v/>
      </c>
      <c r="L44" s="84">
        <f>J44</f>
        <v/>
      </c>
      <c r="M44" s="52">
        <f>INDEX(LR_Target,MATCH(B44,LR_Lane,0))</f>
        <v/>
      </c>
      <c r="N44" s="84">
        <f>WORKDAY.INTL(L44,M44,INDEX(LR_Code,MATCH(B44,LR_Lane,0)),INDEX(DH_Table,0,MATCH(B44&amp;"*",DH_Head,0)))</f>
        <v/>
      </c>
      <c r="O44" s="65">
        <f>IF(W44&lt;&gt;"",W44,IF(U44="Helmond",IF(COUNTIFS(RC_Lane,B44,RC_Band,E44,RC_Transit,"&lt;&gt;")=0,"",SUMIFS(RC_Transit,RC_Lane,B44,RC_Band,E44)),IF(U44="Other","",IF(INDEX(RS_Transit,MATCH(B44,RS_Lane,0))="","",INDEX(RS_Transit,MATCH(B44,RS_Lane,0))))))</f>
        <v/>
      </c>
      <c r="P44" s="140" t="n"/>
      <c r="Q44" s="84">
        <f>IF(P44&lt;&gt;"",P44,IF(O44="","",WORKDAY.INTL(L44,ROUNDUP(O44,0),INDEX(LR_Code,MATCH(B44,LR_Lane,0)),INDEX(DH_Table,0,MATCH(B44&amp;"*",DH_Head,0)))))</f>
        <v/>
      </c>
      <c r="R44" s="100">
        <f>IF(Q44="","",IF(Q44&lt;=N44,"Yes","No"))</f>
        <v/>
      </c>
      <c r="S44" s="52">
        <f>IF(Q44="","",IF(Q44&lt;=N44,0,NETWORKDAYS.INTL(N44,Q44,INDEX(LR_Code,MATCH(B44,LR_Lane,0)),INDEX(DH_Table,0,MATCH(B44&amp;"*",DH_Head,0)))-1))</f>
        <v/>
      </c>
      <c r="T44" s="127" t="n"/>
      <c r="U44" s="112">
        <f>IF(V44&lt;&gt;"",V44,IF(IFERROR(INDEX(RS_Flag,MATCH(B44,RS_Lane,0)),"")="Yes",IF(IFERROR(INDEX(RS_Loc,MATCH(B44,RS_Lane,0)),"")="","Regional stock",IFERROR(INDEX(RS_Loc,MATCH(B44,RS_Lane,0)),"")),"Helmond"))</f>
        <v/>
      </c>
      <c r="V44" s="141" t="n"/>
      <c r="W44" s="142" t="n"/>
      <c r="X44" s="143" t="n"/>
      <c r="Y44" s="116">
        <f>IF(X44&lt;&gt;"",X44,IF(U44="Helmond",IF(COUNTIFS(RC_Lane,B44,RC_Band,E44,RC_CostPS,"&gt;0")=0,"",SUMIFS(RC_CostPS,RC_Lane,B44,RC_Band,E44)),IF(U44="Other","",IF(INDEX(RS_Rate,MATCH(B44,RS_Lane,0))="","",INDEX(RS_Rate,MATCH(B44,RS_Lane,0))))))</f>
        <v/>
      </c>
    </row>
    <row r="45">
      <c r="A45" s="95" t="inlineStr">
        <is>
          <t>A-041</t>
        </is>
      </c>
      <c r="B45" s="112" t="inlineStr">
        <is>
          <t>L03</t>
        </is>
      </c>
      <c r="C45" s="101" t="inlineStr">
        <is>
          <t>Kuwait</t>
        </is>
      </c>
      <c r="D45" s="101" t="inlineStr">
        <is>
          <t>Kuwait City</t>
        </is>
      </c>
      <c r="E45" s="101" t="inlineStr">
        <is>
          <t>B3  100 to 500 kg</t>
        </is>
      </c>
      <c r="F45" s="123" t="n">
        <v>170</v>
      </c>
      <c r="G45" s="86">
        <f>F45*0.006477</f>
        <v/>
      </c>
      <c r="H45" s="123">
        <f>F45*1.079436</f>
        <v/>
      </c>
      <c r="I45" s="122">
        <f>MAX(1,ROUNDUP(G45/0.096,0))</f>
        <v/>
      </c>
      <c r="J45" s="84" t="n">
        <v>46493</v>
      </c>
      <c r="K45" s="87">
        <f>J45-WEEKDAY(J45,2)+1</f>
        <v/>
      </c>
      <c r="L45" s="84">
        <f>J45</f>
        <v/>
      </c>
      <c r="M45" s="52">
        <f>INDEX(LR_Target,MATCH(B45,LR_Lane,0))</f>
        <v/>
      </c>
      <c r="N45" s="84">
        <f>WORKDAY.INTL(L45,M45,INDEX(LR_Code,MATCH(B45,LR_Lane,0)),INDEX(DH_Table,0,MATCH(B45&amp;"*",DH_Head,0)))</f>
        <v/>
      </c>
      <c r="O45" s="65">
        <f>IF(W45&lt;&gt;"",W45,IF(U45="Helmond",IF(COUNTIFS(RC_Lane,B45,RC_Band,E45,RC_Transit,"&lt;&gt;")=0,"",SUMIFS(RC_Transit,RC_Lane,B45,RC_Band,E45)),IF(U45="Other","",IF(INDEX(RS_Transit,MATCH(B45,RS_Lane,0))="","",INDEX(RS_Transit,MATCH(B45,RS_Lane,0))))))</f>
        <v/>
      </c>
      <c r="P45" s="140" t="n"/>
      <c r="Q45" s="84">
        <f>IF(P45&lt;&gt;"",P45,IF(O45="","",WORKDAY.INTL(L45,ROUNDUP(O45,0),INDEX(LR_Code,MATCH(B45,LR_Lane,0)),INDEX(DH_Table,0,MATCH(B45&amp;"*",DH_Head,0)))))</f>
        <v/>
      </c>
      <c r="R45" s="100">
        <f>IF(Q45="","",IF(Q45&lt;=N45,"Yes","No"))</f>
        <v/>
      </c>
      <c r="S45" s="52">
        <f>IF(Q45="","",IF(Q45&lt;=N45,0,NETWORKDAYS.INTL(N45,Q45,INDEX(LR_Code,MATCH(B45,LR_Lane,0)),INDEX(DH_Table,0,MATCH(B45&amp;"*",DH_Head,0)))-1))</f>
        <v/>
      </c>
      <c r="T45" s="127" t="n"/>
      <c r="U45" s="112">
        <f>IF(V45&lt;&gt;"",V45,IF(IFERROR(INDEX(RS_Flag,MATCH(B45,RS_Lane,0)),"")="Yes",IF(IFERROR(INDEX(RS_Loc,MATCH(B45,RS_Lane,0)),"")="","Regional stock",IFERROR(INDEX(RS_Loc,MATCH(B45,RS_Lane,0)),"")),"Helmond"))</f>
        <v/>
      </c>
      <c r="V45" s="141" t="n"/>
      <c r="W45" s="142" t="n"/>
      <c r="X45" s="143" t="n"/>
      <c r="Y45" s="116">
        <f>IF(X45&lt;&gt;"",X45,IF(U45="Helmond",IF(COUNTIFS(RC_Lane,B45,RC_Band,E45,RC_CostPS,"&gt;0")=0,"",SUMIFS(RC_CostPS,RC_Lane,B45,RC_Band,E45)),IF(U45="Other","",IF(INDEX(RS_Rate,MATCH(B45,RS_Lane,0))="","",INDEX(RS_Rate,MATCH(B45,RS_Lane,0))))))</f>
        <v/>
      </c>
    </row>
    <row r="46">
      <c r="A46" s="95" t="inlineStr">
        <is>
          <t>A-042</t>
        </is>
      </c>
      <c r="B46" s="112" t="inlineStr">
        <is>
          <t>L06</t>
        </is>
      </c>
      <c r="C46" s="101" t="inlineStr">
        <is>
          <t>Morocco</t>
        </is>
      </c>
      <c r="D46" s="101" t="inlineStr">
        <is>
          <t>Rabat</t>
        </is>
      </c>
      <c r="E46" s="101" t="inlineStr">
        <is>
          <t>B1  0 to 30 kg</t>
        </is>
      </c>
      <c r="F46" s="123" t="n">
        <v>6.1</v>
      </c>
      <c r="G46" s="86">
        <f>F46*0.006477</f>
        <v/>
      </c>
      <c r="H46" s="123">
        <f>F46*1.079436</f>
        <v/>
      </c>
      <c r="I46" s="122">
        <f>MAX(1,ROUNDUP(G46/0.096,0))</f>
        <v/>
      </c>
      <c r="J46" s="84" t="n">
        <v>46493</v>
      </c>
      <c r="K46" s="87">
        <f>J46-WEEKDAY(J46,2)+1</f>
        <v/>
      </c>
      <c r="L46" s="84">
        <f>J46</f>
        <v/>
      </c>
      <c r="M46" s="52">
        <f>INDEX(LR_Target,MATCH(B46,LR_Lane,0))</f>
        <v/>
      </c>
      <c r="N46" s="84">
        <f>WORKDAY.INTL(L46,M46,INDEX(LR_Code,MATCH(B46,LR_Lane,0)),INDEX(DH_Table,0,MATCH(B46&amp;"*",DH_Head,0)))</f>
        <v/>
      </c>
      <c r="O46" s="65">
        <f>IF(W46&lt;&gt;"",W46,IF(U46="Helmond",IF(COUNTIFS(RC_Lane,B46,RC_Band,E46,RC_Transit,"&lt;&gt;")=0,"",SUMIFS(RC_Transit,RC_Lane,B46,RC_Band,E46)),IF(U46="Other","",IF(INDEX(RS_Transit,MATCH(B46,RS_Lane,0))="","",INDEX(RS_Transit,MATCH(B46,RS_Lane,0))))))</f>
        <v/>
      </c>
      <c r="P46" s="140" t="n"/>
      <c r="Q46" s="84">
        <f>IF(P46&lt;&gt;"",P46,IF(O46="","",WORKDAY.INTL(L46,ROUNDUP(O46,0),INDEX(LR_Code,MATCH(B46,LR_Lane,0)),INDEX(DH_Table,0,MATCH(B46&amp;"*",DH_Head,0)))))</f>
        <v/>
      </c>
      <c r="R46" s="100">
        <f>IF(Q46="","",IF(Q46&lt;=N46,"Yes","No"))</f>
        <v/>
      </c>
      <c r="S46" s="52">
        <f>IF(Q46="","",IF(Q46&lt;=N46,0,NETWORKDAYS.INTL(N46,Q46,INDEX(LR_Code,MATCH(B46,LR_Lane,0)),INDEX(DH_Table,0,MATCH(B46&amp;"*",DH_Head,0)))-1))</f>
        <v/>
      </c>
      <c r="T46" s="127" t="n"/>
      <c r="U46" s="112">
        <f>IF(V46&lt;&gt;"",V46,IF(IFERROR(INDEX(RS_Flag,MATCH(B46,RS_Lane,0)),"")="Yes",IF(IFERROR(INDEX(RS_Loc,MATCH(B46,RS_Lane,0)),"")="","Regional stock",IFERROR(INDEX(RS_Loc,MATCH(B46,RS_Lane,0)),"")),"Helmond"))</f>
        <v/>
      </c>
      <c r="V46" s="141" t="n"/>
      <c r="W46" s="142" t="n"/>
      <c r="X46" s="143" t="n"/>
      <c r="Y46" s="116">
        <f>IF(X46&lt;&gt;"",X46,IF(U46="Helmond",IF(COUNTIFS(RC_Lane,B46,RC_Band,E46,RC_CostPS,"&gt;0")=0,"",SUMIFS(RC_CostPS,RC_Lane,B46,RC_Band,E46)),IF(U46="Other","",IF(INDEX(RS_Rate,MATCH(B46,RS_Lane,0))="","",INDEX(RS_Rate,MATCH(B46,RS_Lane,0))))))</f>
        <v/>
      </c>
    </row>
    <row r="47">
      <c r="A47" s="95" t="inlineStr">
        <is>
          <t>A-043</t>
        </is>
      </c>
      <c r="B47" s="112" t="inlineStr">
        <is>
          <t>L01</t>
        </is>
      </c>
      <c r="C47" s="101" t="inlineStr">
        <is>
          <t>Saudi Arabia</t>
        </is>
      </c>
      <c r="D47" s="101" t="inlineStr">
        <is>
          <t>Jeddah</t>
        </is>
      </c>
      <c r="E47" s="101" t="inlineStr">
        <is>
          <t>B4  500 to 2,000 kg</t>
        </is>
      </c>
      <c r="F47" s="123" t="n">
        <v>1181.4</v>
      </c>
      <c r="G47" s="86">
        <f>F47*0.006477</f>
        <v/>
      </c>
      <c r="H47" s="123">
        <f>F47*1.079436</f>
        <v/>
      </c>
      <c r="I47" s="122">
        <f>MAX(1,ROUNDUP(G47/0.096,0))</f>
        <v/>
      </c>
      <c r="J47" s="84" t="n">
        <v>46497</v>
      </c>
      <c r="K47" s="87">
        <f>J47-WEEKDAY(J47,2)+1</f>
        <v/>
      </c>
      <c r="L47" s="84">
        <f>J47</f>
        <v/>
      </c>
      <c r="M47" s="52">
        <f>INDEX(LR_Target,MATCH(B47,LR_Lane,0))</f>
        <v/>
      </c>
      <c r="N47" s="84">
        <f>WORKDAY.INTL(L47,M47,INDEX(LR_Code,MATCH(B47,LR_Lane,0)),INDEX(DH_Table,0,MATCH(B47&amp;"*",DH_Head,0)))</f>
        <v/>
      </c>
      <c r="O47" s="65">
        <f>IF(W47&lt;&gt;"",W47,IF(U47="Helmond",IF(COUNTIFS(RC_Lane,B47,RC_Band,E47,RC_Transit,"&lt;&gt;")=0,"",SUMIFS(RC_Transit,RC_Lane,B47,RC_Band,E47)),IF(U47="Other","",IF(INDEX(RS_Transit,MATCH(B47,RS_Lane,0))="","",INDEX(RS_Transit,MATCH(B47,RS_Lane,0))))))</f>
        <v/>
      </c>
      <c r="P47" s="140" t="n"/>
      <c r="Q47" s="84">
        <f>IF(P47&lt;&gt;"",P47,IF(O47="","",WORKDAY.INTL(L47,ROUNDUP(O47,0),INDEX(LR_Code,MATCH(B47,LR_Lane,0)),INDEX(DH_Table,0,MATCH(B47&amp;"*",DH_Head,0)))))</f>
        <v/>
      </c>
      <c r="R47" s="100">
        <f>IF(Q47="","",IF(Q47&lt;=N47,"Yes","No"))</f>
        <v/>
      </c>
      <c r="S47" s="52">
        <f>IF(Q47="","",IF(Q47&lt;=N47,0,NETWORKDAYS.INTL(N47,Q47,INDEX(LR_Code,MATCH(B47,LR_Lane,0)),INDEX(DH_Table,0,MATCH(B47&amp;"*",DH_Head,0)))-1))</f>
        <v/>
      </c>
      <c r="T47" s="127" t="n"/>
      <c r="U47" s="112">
        <f>IF(V47&lt;&gt;"",V47,IF(IFERROR(INDEX(RS_Flag,MATCH(B47,RS_Lane,0)),"")="Yes",IF(IFERROR(INDEX(RS_Loc,MATCH(B47,RS_Lane,0)),"")="","Regional stock",IFERROR(INDEX(RS_Loc,MATCH(B47,RS_Lane,0)),"")),"Helmond"))</f>
        <v/>
      </c>
      <c r="V47" s="141" t="n"/>
      <c r="W47" s="142" t="n"/>
      <c r="X47" s="143" t="n"/>
      <c r="Y47" s="116">
        <f>IF(X47&lt;&gt;"",X47,IF(U47="Helmond",IF(COUNTIFS(RC_Lane,B47,RC_Band,E47,RC_CostPS,"&gt;0")=0,"",SUMIFS(RC_CostPS,RC_Lane,B47,RC_Band,E47)),IF(U47="Other","",IF(INDEX(RS_Rate,MATCH(B47,RS_Lane,0))="","",INDEX(RS_Rate,MATCH(B47,RS_Lane,0))))))</f>
        <v/>
      </c>
    </row>
    <row r="48">
      <c r="A48" s="95" t="inlineStr">
        <is>
          <t>A-044</t>
        </is>
      </c>
      <c r="B48" s="112" t="inlineStr">
        <is>
          <t>L05</t>
        </is>
      </c>
      <c r="C48" s="101" t="inlineStr">
        <is>
          <t>Türkiye</t>
        </is>
      </c>
      <c r="D48" s="101" t="inlineStr">
        <is>
          <t>Istanbul</t>
        </is>
      </c>
      <c r="E48" s="101" t="inlineStr">
        <is>
          <t>B2  30 to 100 kg</t>
        </is>
      </c>
      <c r="F48" s="123" t="n">
        <v>60.7</v>
      </c>
      <c r="G48" s="86">
        <f>F48*0.006477</f>
        <v/>
      </c>
      <c r="H48" s="123">
        <f>F48*1.079436</f>
        <v/>
      </c>
      <c r="I48" s="122">
        <f>MAX(1,ROUNDUP(G48/0.096,0))</f>
        <v/>
      </c>
      <c r="J48" s="84" t="n">
        <v>46497</v>
      </c>
      <c r="K48" s="87">
        <f>J48-WEEKDAY(J48,2)+1</f>
        <v/>
      </c>
      <c r="L48" s="84">
        <f>J48</f>
        <v/>
      </c>
      <c r="M48" s="52">
        <f>INDEX(LR_Target,MATCH(B48,LR_Lane,0))</f>
        <v/>
      </c>
      <c r="N48" s="84">
        <f>WORKDAY.INTL(L48,M48,INDEX(LR_Code,MATCH(B48,LR_Lane,0)),INDEX(DH_Table,0,MATCH(B48&amp;"*",DH_Head,0)))</f>
        <v/>
      </c>
      <c r="O48" s="65">
        <f>IF(W48&lt;&gt;"",W48,IF(U48="Helmond",IF(COUNTIFS(RC_Lane,B48,RC_Band,E48,RC_Transit,"&lt;&gt;")=0,"",SUMIFS(RC_Transit,RC_Lane,B48,RC_Band,E48)),IF(U48="Other","",IF(INDEX(RS_Transit,MATCH(B48,RS_Lane,0))="","",INDEX(RS_Transit,MATCH(B48,RS_Lane,0))))))</f>
        <v/>
      </c>
      <c r="P48" s="140" t="n"/>
      <c r="Q48" s="84">
        <f>IF(P48&lt;&gt;"",P48,IF(O48="","",WORKDAY.INTL(L48,ROUNDUP(O48,0),INDEX(LR_Code,MATCH(B48,LR_Lane,0)),INDEX(DH_Table,0,MATCH(B48&amp;"*",DH_Head,0)))))</f>
        <v/>
      </c>
      <c r="R48" s="100">
        <f>IF(Q48="","",IF(Q48&lt;=N48,"Yes","No"))</f>
        <v/>
      </c>
      <c r="S48" s="52">
        <f>IF(Q48="","",IF(Q48&lt;=N48,0,NETWORKDAYS.INTL(N48,Q48,INDEX(LR_Code,MATCH(B48,LR_Lane,0)),INDEX(DH_Table,0,MATCH(B48&amp;"*",DH_Head,0)))-1))</f>
        <v/>
      </c>
      <c r="T48" s="127" t="n"/>
      <c r="U48" s="112">
        <f>IF(V48&lt;&gt;"",V48,IF(IFERROR(INDEX(RS_Flag,MATCH(B48,RS_Lane,0)),"")="Yes",IF(IFERROR(INDEX(RS_Loc,MATCH(B48,RS_Lane,0)),"")="","Regional stock",IFERROR(INDEX(RS_Loc,MATCH(B48,RS_Lane,0)),"")),"Helmond"))</f>
        <v/>
      </c>
      <c r="V48" s="141" t="n"/>
      <c r="W48" s="142" t="n"/>
      <c r="X48" s="143" t="n"/>
      <c r="Y48" s="116">
        <f>IF(X48&lt;&gt;"",X48,IF(U48="Helmond",IF(COUNTIFS(RC_Lane,B48,RC_Band,E48,RC_CostPS,"&gt;0")=0,"",SUMIFS(RC_CostPS,RC_Lane,B48,RC_Band,E48)),IF(U48="Other","",IF(INDEX(RS_Rate,MATCH(B48,RS_Lane,0))="","",INDEX(RS_Rate,MATCH(B48,RS_Lane,0))))))</f>
        <v/>
      </c>
    </row>
    <row r="49">
      <c r="A49" s="95" t="inlineStr">
        <is>
          <t>A-045</t>
        </is>
      </c>
      <c r="B49" s="112" t="inlineStr">
        <is>
          <t>L07</t>
        </is>
      </c>
      <c r="C49" s="101" t="inlineStr">
        <is>
          <t>Algeria</t>
        </is>
      </c>
      <c r="D49" s="101" t="inlineStr">
        <is>
          <t>Algiers</t>
        </is>
      </c>
      <c r="E49" s="101" t="inlineStr">
        <is>
          <t>B3  100 to 500 kg</t>
        </is>
      </c>
      <c r="F49" s="123" t="n">
        <v>260.6</v>
      </c>
      <c r="G49" s="86">
        <f>F49*0.006477</f>
        <v/>
      </c>
      <c r="H49" s="123">
        <f>F49*1.079436</f>
        <v/>
      </c>
      <c r="I49" s="122">
        <f>MAX(1,ROUNDUP(G49/0.096,0))</f>
        <v/>
      </c>
      <c r="J49" s="84" t="n">
        <v>46497</v>
      </c>
      <c r="K49" s="87">
        <f>J49-WEEKDAY(J49,2)+1</f>
        <v/>
      </c>
      <c r="L49" s="84">
        <f>J49</f>
        <v/>
      </c>
      <c r="M49" s="52">
        <f>INDEX(LR_Target,MATCH(B49,LR_Lane,0))</f>
        <v/>
      </c>
      <c r="N49" s="84">
        <f>WORKDAY.INTL(L49,M49,INDEX(LR_Code,MATCH(B49,LR_Lane,0)),INDEX(DH_Table,0,MATCH(B49&amp;"*",DH_Head,0)))</f>
        <v/>
      </c>
      <c r="O49" s="65">
        <f>IF(W49&lt;&gt;"",W49,IF(U49="Helmond",IF(COUNTIFS(RC_Lane,B49,RC_Band,E49,RC_Transit,"&lt;&gt;")=0,"",SUMIFS(RC_Transit,RC_Lane,B49,RC_Band,E49)),IF(U49="Other","",IF(INDEX(RS_Transit,MATCH(B49,RS_Lane,0))="","",INDEX(RS_Transit,MATCH(B49,RS_Lane,0))))))</f>
        <v/>
      </c>
      <c r="P49" s="140" t="n"/>
      <c r="Q49" s="84">
        <f>IF(P49&lt;&gt;"",P49,IF(O49="","",WORKDAY.INTL(L49,ROUNDUP(O49,0),INDEX(LR_Code,MATCH(B49,LR_Lane,0)),INDEX(DH_Table,0,MATCH(B49&amp;"*",DH_Head,0)))))</f>
        <v/>
      </c>
      <c r="R49" s="100">
        <f>IF(Q49="","",IF(Q49&lt;=N49,"Yes","No"))</f>
        <v/>
      </c>
      <c r="S49" s="52">
        <f>IF(Q49="","",IF(Q49&lt;=N49,0,NETWORKDAYS.INTL(N49,Q49,INDEX(LR_Code,MATCH(B49,LR_Lane,0)),INDEX(DH_Table,0,MATCH(B49&amp;"*",DH_Head,0)))-1))</f>
        <v/>
      </c>
      <c r="T49" s="127" t="n"/>
      <c r="U49" s="112">
        <f>IF(V49&lt;&gt;"",V49,IF(IFERROR(INDEX(RS_Flag,MATCH(B49,RS_Lane,0)),"")="Yes",IF(IFERROR(INDEX(RS_Loc,MATCH(B49,RS_Lane,0)),"")="","Regional stock",IFERROR(INDEX(RS_Loc,MATCH(B49,RS_Lane,0)),"")),"Helmond"))</f>
        <v/>
      </c>
      <c r="V49" s="141" t="n"/>
      <c r="W49" s="142" t="n"/>
      <c r="X49" s="143" t="n"/>
      <c r="Y49" s="116">
        <f>IF(X49&lt;&gt;"",X49,IF(U49="Helmond",IF(COUNTIFS(RC_Lane,B49,RC_Band,E49,RC_CostPS,"&gt;0")=0,"",SUMIFS(RC_CostPS,RC_Lane,B49,RC_Band,E49)),IF(U49="Other","",IF(INDEX(RS_Rate,MATCH(B49,RS_Lane,0))="","",INDEX(RS_Rate,MATCH(B49,RS_Lane,0))))))</f>
        <v/>
      </c>
    </row>
    <row r="50">
      <c r="A50" s="95" t="inlineStr">
        <is>
          <t>A-046</t>
        </is>
      </c>
      <c r="B50" s="112" t="inlineStr">
        <is>
          <t>L02</t>
        </is>
      </c>
      <c r="C50" s="101" t="inlineStr">
        <is>
          <t>United Arab Emirates</t>
        </is>
      </c>
      <c r="D50" s="101" t="inlineStr">
        <is>
          <t>Dubai</t>
        </is>
      </c>
      <c r="E50" s="101" t="inlineStr">
        <is>
          <t>B1  0 to 30 kg</t>
        </is>
      </c>
      <c r="F50" s="123" t="n">
        <v>10.5</v>
      </c>
      <c r="G50" s="86">
        <f>F50*0.006477</f>
        <v/>
      </c>
      <c r="H50" s="123">
        <f>F50*1.079436</f>
        <v/>
      </c>
      <c r="I50" s="122">
        <f>MAX(1,ROUNDUP(G50/0.096,0))</f>
        <v/>
      </c>
      <c r="J50" s="84" t="n">
        <v>46500</v>
      </c>
      <c r="K50" s="87">
        <f>J50-WEEKDAY(J50,2)+1</f>
        <v/>
      </c>
      <c r="L50" s="84">
        <f>J50</f>
        <v/>
      </c>
      <c r="M50" s="52">
        <f>INDEX(LR_Target,MATCH(B50,LR_Lane,0))</f>
        <v/>
      </c>
      <c r="N50" s="84">
        <f>WORKDAY.INTL(L50,M50,INDEX(LR_Code,MATCH(B50,LR_Lane,0)),INDEX(DH_Table,0,MATCH(B50&amp;"*",DH_Head,0)))</f>
        <v/>
      </c>
      <c r="O50" s="65">
        <f>IF(W50&lt;&gt;"",W50,IF(U50="Helmond",IF(COUNTIFS(RC_Lane,B50,RC_Band,E50,RC_Transit,"&lt;&gt;")=0,"",SUMIFS(RC_Transit,RC_Lane,B50,RC_Band,E50)),IF(U50="Other","",IF(INDEX(RS_Transit,MATCH(B50,RS_Lane,0))="","",INDEX(RS_Transit,MATCH(B50,RS_Lane,0))))))</f>
        <v/>
      </c>
      <c r="P50" s="140" t="n"/>
      <c r="Q50" s="84">
        <f>IF(P50&lt;&gt;"",P50,IF(O50="","",WORKDAY.INTL(L50,ROUNDUP(O50,0),INDEX(LR_Code,MATCH(B50,LR_Lane,0)),INDEX(DH_Table,0,MATCH(B50&amp;"*",DH_Head,0)))))</f>
        <v/>
      </c>
      <c r="R50" s="100">
        <f>IF(Q50="","",IF(Q50&lt;=N50,"Yes","No"))</f>
        <v/>
      </c>
      <c r="S50" s="52">
        <f>IF(Q50="","",IF(Q50&lt;=N50,0,NETWORKDAYS.INTL(N50,Q50,INDEX(LR_Code,MATCH(B50,LR_Lane,0)),INDEX(DH_Table,0,MATCH(B50&amp;"*",DH_Head,0)))-1))</f>
        <v/>
      </c>
      <c r="T50" s="127" t="n"/>
      <c r="U50" s="112">
        <f>IF(V50&lt;&gt;"",V50,IF(IFERROR(INDEX(RS_Flag,MATCH(B50,RS_Lane,0)),"")="Yes",IF(IFERROR(INDEX(RS_Loc,MATCH(B50,RS_Lane,0)),"")="","Regional stock",IFERROR(INDEX(RS_Loc,MATCH(B50,RS_Lane,0)),"")),"Helmond"))</f>
        <v/>
      </c>
      <c r="V50" s="141" t="n"/>
      <c r="W50" s="142" t="n"/>
      <c r="X50" s="143" t="n"/>
      <c r="Y50" s="116">
        <f>IF(X50&lt;&gt;"",X50,IF(U50="Helmond",IF(COUNTIFS(RC_Lane,B50,RC_Band,E50,RC_CostPS,"&gt;0")=0,"",SUMIFS(RC_CostPS,RC_Lane,B50,RC_Band,E50)),IF(U50="Other","",IF(INDEX(RS_Rate,MATCH(B50,RS_Lane,0))="","",INDEX(RS_Rate,MATCH(B50,RS_Lane,0))))))</f>
        <v/>
      </c>
    </row>
    <row r="51">
      <c r="A51" s="95" t="inlineStr">
        <is>
          <t>A-047</t>
        </is>
      </c>
      <c r="B51" s="112" t="inlineStr">
        <is>
          <t>L01</t>
        </is>
      </c>
      <c r="C51" s="101" t="inlineStr">
        <is>
          <t>Saudi Arabia</t>
        </is>
      </c>
      <c r="D51" s="101" t="inlineStr">
        <is>
          <t>Riyadh</t>
        </is>
      </c>
      <c r="E51" s="101" t="inlineStr">
        <is>
          <t>B3  100 to 500 kg</t>
        </is>
      </c>
      <c r="F51" s="123" t="n">
        <v>129.6</v>
      </c>
      <c r="G51" s="86">
        <f>F51*0.006477</f>
        <v/>
      </c>
      <c r="H51" s="123">
        <f>F51*1.079436</f>
        <v/>
      </c>
      <c r="I51" s="122">
        <f>MAX(1,ROUNDUP(G51/0.096,0))</f>
        <v/>
      </c>
      <c r="J51" s="84" t="n">
        <v>46505</v>
      </c>
      <c r="K51" s="87">
        <f>J51-WEEKDAY(J51,2)+1</f>
        <v/>
      </c>
      <c r="L51" s="84">
        <f>J51</f>
        <v/>
      </c>
      <c r="M51" s="52">
        <f>INDEX(LR_Target,MATCH(B51,LR_Lane,0))</f>
        <v/>
      </c>
      <c r="N51" s="84">
        <f>WORKDAY.INTL(L51,M51,INDEX(LR_Code,MATCH(B51,LR_Lane,0)),INDEX(DH_Table,0,MATCH(B51&amp;"*",DH_Head,0)))</f>
        <v/>
      </c>
      <c r="O51" s="65">
        <f>IF(W51&lt;&gt;"",W51,IF(U51="Helmond",IF(COUNTIFS(RC_Lane,B51,RC_Band,E51,RC_Transit,"&lt;&gt;")=0,"",SUMIFS(RC_Transit,RC_Lane,B51,RC_Band,E51)),IF(U51="Other","",IF(INDEX(RS_Transit,MATCH(B51,RS_Lane,0))="","",INDEX(RS_Transit,MATCH(B51,RS_Lane,0))))))</f>
        <v/>
      </c>
      <c r="P51" s="140" t="n"/>
      <c r="Q51" s="84">
        <f>IF(P51&lt;&gt;"",P51,IF(O51="","",WORKDAY.INTL(L51,ROUNDUP(O51,0),INDEX(LR_Code,MATCH(B51,LR_Lane,0)),INDEX(DH_Table,0,MATCH(B51&amp;"*",DH_Head,0)))))</f>
        <v/>
      </c>
      <c r="R51" s="100">
        <f>IF(Q51="","",IF(Q51&lt;=N51,"Yes","No"))</f>
        <v/>
      </c>
      <c r="S51" s="52">
        <f>IF(Q51="","",IF(Q51&lt;=N51,0,NETWORKDAYS.INTL(N51,Q51,INDEX(LR_Code,MATCH(B51,LR_Lane,0)),INDEX(DH_Table,0,MATCH(B51&amp;"*",DH_Head,0)))-1))</f>
        <v/>
      </c>
      <c r="T51" s="127" t="n"/>
      <c r="U51" s="112">
        <f>IF(V51&lt;&gt;"",V51,IF(IFERROR(INDEX(RS_Flag,MATCH(B51,RS_Lane,0)),"")="Yes",IF(IFERROR(INDEX(RS_Loc,MATCH(B51,RS_Lane,0)),"")="","Regional stock",IFERROR(INDEX(RS_Loc,MATCH(B51,RS_Lane,0)),"")),"Helmond"))</f>
        <v/>
      </c>
      <c r="V51" s="141" t="n"/>
      <c r="W51" s="142" t="n"/>
      <c r="X51" s="143" t="n"/>
      <c r="Y51" s="116">
        <f>IF(X51&lt;&gt;"",X51,IF(U51="Helmond",IF(COUNTIFS(RC_Lane,B51,RC_Band,E51,RC_CostPS,"&gt;0")=0,"",SUMIFS(RC_CostPS,RC_Lane,B51,RC_Band,E51)),IF(U51="Other","",IF(INDEX(RS_Rate,MATCH(B51,RS_Lane,0))="","",INDEX(RS_Rate,MATCH(B51,RS_Lane,0))))))</f>
        <v/>
      </c>
    </row>
    <row r="52">
      <c r="A52" s="95" t="inlineStr">
        <is>
          <t>A-048</t>
        </is>
      </c>
      <c r="B52" s="112" t="inlineStr">
        <is>
          <t>L02</t>
        </is>
      </c>
      <c r="C52" s="101" t="inlineStr">
        <is>
          <t>United Arab Emirates</t>
        </is>
      </c>
      <c r="D52" s="101" t="inlineStr">
        <is>
          <t>Dubai</t>
        </is>
      </c>
      <c r="E52" s="101" t="inlineStr">
        <is>
          <t>B1  0 to 30 kg</t>
        </is>
      </c>
      <c r="F52" s="123" t="n">
        <v>9.6</v>
      </c>
      <c r="G52" s="86">
        <f>F52*0.006477</f>
        <v/>
      </c>
      <c r="H52" s="123">
        <f>F52*1.079436</f>
        <v/>
      </c>
      <c r="I52" s="122">
        <f>MAX(1,ROUNDUP(G52/0.096,0))</f>
        <v/>
      </c>
      <c r="J52" s="84" t="n">
        <v>46505</v>
      </c>
      <c r="K52" s="87">
        <f>J52-WEEKDAY(J52,2)+1</f>
        <v/>
      </c>
      <c r="L52" s="84">
        <f>J52</f>
        <v/>
      </c>
      <c r="M52" s="52">
        <f>INDEX(LR_Target,MATCH(B52,LR_Lane,0))</f>
        <v/>
      </c>
      <c r="N52" s="84">
        <f>WORKDAY.INTL(L52,M52,INDEX(LR_Code,MATCH(B52,LR_Lane,0)),INDEX(DH_Table,0,MATCH(B52&amp;"*",DH_Head,0)))</f>
        <v/>
      </c>
      <c r="O52" s="65">
        <f>IF(W52&lt;&gt;"",W52,IF(U52="Helmond",IF(COUNTIFS(RC_Lane,B52,RC_Band,E52,RC_Transit,"&lt;&gt;")=0,"",SUMIFS(RC_Transit,RC_Lane,B52,RC_Band,E52)),IF(U52="Other","",IF(INDEX(RS_Transit,MATCH(B52,RS_Lane,0))="","",INDEX(RS_Transit,MATCH(B52,RS_Lane,0))))))</f>
        <v/>
      </c>
      <c r="P52" s="140" t="n"/>
      <c r="Q52" s="84">
        <f>IF(P52&lt;&gt;"",P52,IF(O52="","",WORKDAY.INTL(L52,ROUNDUP(O52,0),INDEX(LR_Code,MATCH(B52,LR_Lane,0)),INDEX(DH_Table,0,MATCH(B52&amp;"*",DH_Head,0)))))</f>
        <v/>
      </c>
      <c r="R52" s="100">
        <f>IF(Q52="","",IF(Q52&lt;=N52,"Yes","No"))</f>
        <v/>
      </c>
      <c r="S52" s="52">
        <f>IF(Q52="","",IF(Q52&lt;=N52,0,NETWORKDAYS.INTL(N52,Q52,INDEX(LR_Code,MATCH(B52,LR_Lane,0)),INDEX(DH_Table,0,MATCH(B52&amp;"*",DH_Head,0)))-1))</f>
        <v/>
      </c>
      <c r="T52" s="127" t="n"/>
      <c r="U52" s="112">
        <f>IF(V52&lt;&gt;"",V52,IF(IFERROR(INDEX(RS_Flag,MATCH(B52,RS_Lane,0)),"")="Yes",IF(IFERROR(INDEX(RS_Loc,MATCH(B52,RS_Lane,0)),"")="","Regional stock",IFERROR(INDEX(RS_Loc,MATCH(B52,RS_Lane,0)),"")),"Helmond"))</f>
        <v/>
      </c>
      <c r="V52" s="141" t="n"/>
      <c r="W52" s="142" t="n"/>
      <c r="X52" s="143" t="n"/>
      <c r="Y52" s="116">
        <f>IF(X52&lt;&gt;"",X52,IF(U52="Helmond",IF(COUNTIFS(RC_Lane,B52,RC_Band,E52,RC_CostPS,"&gt;0")=0,"",SUMIFS(RC_CostPS,RC_Lane,B52,RC_Band,E52)),IF(U52="Other","",IF(INDEX(RS_Rate,MATCH(B52,RS_Lane,0))="","",INDEX(RS_Rate,MATCH(B52,RS_Lane,0))))))</f>
        <v/>
      </c>
    </row>
    <row r="53">
      <c r="A53" s="95" t="inlineStr">
        <is>
          <t>A-049</t>
        </is>
      </c>
      <c r="B53" s="112" t="inlineStr">
        <is>
          <t>L05</t>
        </is>
      </c>
      <c r="C53" s="101" t="inlineStr">
        <is>
          <t>Türkiye</t>
        </is>
      </c>
      <c r="D53" s="101" t="inlineStr">
        <is>
          <t>Istanbul</t>
        </is>
      </c>
      <c r="E53" s="101" t="inlineStr">
        <is>
          <t>B3  100 to 500 kg</t>
        </is>
      </c>
      <c r="F53" s="123" t="n">
        <v>121.1</v>
      </c>
      <c r="G53" s="86">
        <f>F53*0.006477</f>
        <v/>
      </c>
      <c r="H53" s="123">
        <f>F53*1.079436</f>
        <v/>
      </c>
      <c r="I53" s="122">
        <f>MAX(1,ROUNDUP(G53/0.096,0))</f>
        <v/>
      </c>
      <c r="J53" s="84" t="n">
        <v>46506</v>
      </c>
      <c r="K53" s="87">
        <f>J53-WEEKDAY(J53,2)+1</f>
        <v/>
      </c>
      <c r="L53" s="84">
        <f>J53</f>
        <v/>
      </c>
      <c r="M53" s="52">
        <f>INDEX(LR_Target,MATCH(B53,LR_Lane,0))</f>
        <v/>
      </c>
      <c r="N53" s="84">
        <f>WORKDAY.INTL(L53,M53,INDEX(LR_Code,MATCH(B53,LR_Lane,0)),INDEX(DH_Table,0,MATCH(B53&amp;"*",DH_Head,0)))</f>
        <v/>
      </c>
      <c r="O53" s="65">
        <f>IF(W53&lt;&gt;"",W53,IF(U53="Helmond",IF(COUNTIFS(RC_Lane,B53,RC_Band,E53,RC_Transit,"&lt;&gt;")=0,"",SUMIFS(RC_Transit,RC_Lane,B53,RC_Band,E53)),IF(U53="Other","",IF(INDEX(RS_Transit,MATCH(B53,RS_Lane,0))="","",INDEX(RS_Transit,MATCH(B53,RS_Lane,0))))))</f>
        <v/>
      </c>
      <c r="P53" s="140" t="n"/>
      <c r="Q53" s="84">
        <f>IF(P53&lt;&gt;"",P53,IF(O53="","",WORKDAY.INTL(L53,ROUNDUP(O53,0),INDEX(LR_Code,MATCH(B53,LR_Lane,0)),INDEX(DH_Table,0,MATCH(B53&amp;"*",DH_Head,0)))))</f>
        <v/>
      </c>
      <c r="R53" s="100">
        <f>IF(Q53="","",IF(Q53&lt;=N53,"Yes","No"))</f>
        <v/>
      </c>
      <c r="S53" s="52">
        <f>IF(Q53="","",IF(Q53&lt;=N53,0,NETWORKDAYS.INTL(N53,Q53,INDEX(LR_Code,MATCH(B53,LR_Lane,0)),INDEX(DH_Table,0,MATCH(B53&amp;"*",DH_Head,0)))-1))</f>
        <v/>
      </c>
      <c r="T53" s="127" t="n"/>
      <c r="U53" s="112">
        <f>IF(V53&lt;&gt;"",V53,IF(IFERROR(INDEX(RS_Flag,MATCH(B53,RS_Lane,0)),"")="Yes",IF(IFERROR(INDEX(RS_Loc,MATCH(B53,RS_Lane,0)),"")="","Regional stock",IFERROR(INDEX(RS_Loc,MATCH(B53,RS_Lane,0)),"")),"Helmond"))</f>
        <v/>
      </c>
      <c r="V53" s="141" t="n"/>
      <c r="W53" s="142" t="n"/>
      <c r="X53" s="143" t="n"/>
      <c r="Y53" s="116">
        <f>IF(X53&lt;&gt;"",X53,IF(U53="Helmond",IF(COUNTIFS(RC_Lane,B53,RC_Band,E53,RC_CostPS,"&gt;0")=0,"",SUMIFS(RC_CostPS,RC_Lane,B53,RC_Band,E53)),IF(U53="Other","",IF(INDEX(RS_Rate,MATCH(B53,RS_Lane,0))="","",INDEX(RS_Rate,MATCH(B53,RS_Lane,0))))))</f>
        <v/>
      </c>
    </row>
    <row r="54">
      <c r="A54" s="95" t="inlineStr">
        <is>
          <t>A-050</t>
        </is>
      </c>
      <c r="B54" s="112" t="inlineStr">
        <is>
          <t>L01</t>
        </is>
      </c>
      <c r="C54" s="101" t="inlineStr">
        <is>
          <t>Saudi Arabia</t>
        </is>
      </c>
      <c r="D54" s="101" t="inlineStr">
        <is>
          <t>Jeddah</t>
        </is>
      </c>
      <c r="E54" s="101" t="inlineStr">
        <is>
          <t>B2  30 to 100 kg</t>
        </is>
      </c>
      <c r="F54" s="123" t="n">
        <v>58.7</v>
      </c>
      <c r="G54" s="86">
        <f>F54*0.006477</f>
        <v/>
      </c>
      <c r="H54" s="123">
        <f>F54*1.079436</f>
        <v/>
      </c>
      <c r="I54" s="122">
        <f>MAX(1,ROUNDUP(G54/0.096,0))</f>
        <v/>
      </c>
      <c r="J54" s="84" t="n">
        <v>46507</v>
      </c>
      <c r="K54" s="87">
        <f>J54-WEEKDAY(J54,2)+1</f>
        <v/>
      </c>
      <c r="L54" s="84">
        <f>J54</f>
        <v/>
      </c>
      <c r="M54" s="52">
        <f>INDEX(LR_Target,MATCH(B54,LR_Lane,0))</f>
        <v/>
      </c>
      <c r="N54" s="84">
        <f>WORKDAY.INTL(L54,M54,INDEX(LR_Code,MATCH(B54,LR_Lane,0)),INDEX(DH_Table,0,MATCH(B54&amp;"*",DH_Head,0)))</f>
        <v/>
      </c>
      <c r="O54" s="65">
        <f>IF(W54&lt;&gt;"",W54,IF(U54="Helmond",IF(COUNTIFS(RC_Lane,B54,RC_Band,E54,RC_Transit,"&lt;&gt;")=0,"",SUMIFS(RC_Transit,RC_Lane,B54,RC_Band,E54)),IF(U54="Other","",IF(INDEX(RS_Transit,MATCH(B54,RS_Lane,0))="","",INDEX(RS_Transit,MATCH(B54,RS_Lane,0))))))</f>
        <v/>
      </c>
      <c r="P54" s="140" t="n"/>
      <c r="Q54" s="84">
        <f>IF(P54&lt;&gt;"",P54,IF(O54="","",WORKDAY.INTL(L54,ROUNDUP(O54,0),INDEX(LR_Code,MATCH(B54,LR_Lane,0)),INDEX(DH_Table,0,MATCH(B54&amp;"*",DH_Head,0)))))</f>
        <v/>
      </c>
      <c r="R54" s="100">
        <f>IF(Q54="","",IF(Q54&lt;=N54,"Yes","No"))</f>
        <v/>
      </c>
      <c r="S54" s="52">
        <f>IF(Q54="","",IF(Q54&lt;=N54,0,NETWORKDAYS.INTL(N54,Q54,INDEX(LR_Code,MATCH(B54,LR_Lane,0)),INDEX(DH_Table,0,MATCH(B54&amp;"*",DH_Head,0)))-1))</f>
        <v/>
      </c>
      <c r="T54" s="127" t="n"/>
      <c r="U54" s="112">
        <f>IF(V54&lt;&gt;"",V54,IF(IFERROR(INDEX(RS_Flag,MATCH(B54,RS_Lane,0)),"")="Yes",IF(IFERROR(INDEX(RS_Loc,MATCH(B54,RS_Lane,0)),"")="","Regional stock",IFERROR(INDEX(RS_Loc,MATCH(B54,RS_Lane,0)),"")),"Helmond"))</f>
        <v/>
      </c>
      <c r="V54" s="141" t="n"/>
      <c r="W54" s="142" t="n"/>
      <c r="X54" s="143" t="n"/>
      <c r="Y54" s="116">
        <f>IF(X54&lt;&gt;"",X54,IF(U54="Helmond",IF(COUNTIFS(RC_Lane,B54,RC_Band,E54,RC_CostPS,"&gt;0")=0,"",SUMIFS(RC_CostPS,RC_Lane,B54,RC_Band,E54)),IF(U54="Other","",IF(INDEX(RS_Rate,MATCH(B54,RS_Lane,0))="","",INDEX(RS_Rate,MATCH(B54,RS_Lane,0))))))</f>
        <v/>
      </c>
    </row>
    <row r="55">
      <c r="A55" s="95" t="inlineStr">
        <is>
          <t>A-051</t>
        </is>
      </c>
      <c r="B55" s="112" t="inlineStr">
        <is>
          <t>L01</t>
        </is>
      </c>
      <c r="C55" s="101" t="inlineStr">
        <is>
          <t>Saudi Arabia</t>
        </is>
      </c>
      <c r="D55" s="101" t="inlineStr">
        <is>
          <t>Jeddah</t>
        </is>
      </c>
      <c r="E55" s="101" t="inlineStr">
        <is>
          <t>B4  500 to 2,000 kg</t>
        </is>
      </c>
      <c r="F55" s="123" t="n">
        <v>653</v>
      </c>
      <c r="G55" s="86">
        <f>F55*0.006477</f>
        <v/>
      </c>
      <c r="H55" s="123">
        <f>F55*1.079436</f>
        <v/>
      </c>
      <c r="I55" s="122">
        <f>MAX(1,ROUNDUP(G55/0.096,0))</f>
        <v/>
      </c>
      <c r="J55" s="84" t="n">
        <v>46511</v>
      </c>
      <c r="K55" s="87">
        <f>J55-WEEKDAY(J55,2)+1</f>
        <v/>
      </c>
      <c r="L55" s="84">
        <f>J55</f>
        <v/>
      </c>
      <c r="M55" s="52">
        <f>INDEX(LR_Target,MATCH(B55,LR_Lane,0))</f>
        <v/>
      </c>
      <c r="N55" s="84">
        <f>WORKDAY.INTL(L55,M55,INDEX(LR_Code,MATCH(B55,LR_Lane,0)),INDEX(DH_Table,0,MATCH(B55&amp;"*",DH_Head,0)))</f>
        <v/>
      </c>
      <c r="O55" s="65">
        <f>IF(W55&lt;&gt;"",W55,IF(U55="Helmond",IF(COUNTIFS(RC_Lane,B55,RC_Band,E55,RC_Transit,"&lt;&gt;")=0,"",SUMIFS(RC_Transit,RC_Lane,B55,RC_Band,E55)),IF(U55="Other","",IF(INDEX(RS_Transit,MATCH(B55,RS_Lane,0))="","",INDEX(RS_Transit,MATCH(B55,RS_Lane,0))))))</f>
        <v/>
      </c>
      <c r="P55" s="140" t="n"/>
      <c r="Q55" s="84">
        <f>IF(P55&lt;&gt;"",P55,IF(O55="","",WORKDAY.INTL(L55,ROUNDUP(O55,0),INDEX(LR_Code,MATCH(B55,LR_Lane,0)),INDEX(DH_Table,0,MATCH(B55&amp;"*",DH_Head,0)))))</f>
        <v/>
      </c>
      <c r="R55" s="100">
        <f>IF(Q55="","",IF(Q55&lt;=N55,"Yes","No"))</f>
        <v/>
      </c>
      <c r="S55" s="52">
        <f>IF(Q55="","",IF(Q55&lt;=N55,0,NETWORKDAYS.INTL(N55,Q55,INDEX(LR_Code,MATCH(B55,LR_Lane,0)),INDEX(DH_Table,0,MATCH(B55&amp;"*",DH_Head,0)))-1))</f>
        <v/>
      </c>
      <c r="T55" s="127" t="n"/>
      <c r="U55" s="112">
        <f>IF(V55&lt;&gt;"",V55,IF(IFERROR(INDEX(RS_Flag,MATCH(B55,RS_Lane,0)),"")="Yes",IF(IFERROR(INDEX(RS_Loc,MATCH(B55,RS_Lane,0)),"")="","Regional stock",IFERROR(INDEX(RS_Loc,MATCH(B55,RS_Lane,0)),"")),"Helmond"))</f>
        <v/>
      </c>
      <c r="V55" s="141" t="n"/>
      <c r="W55" s="142" t="n"/>
      <c r="X55" s="143" t="n"/>
      <c r="Y55" s="116">
        <f>IF(X55&lt;&gt;"",X55,IF(U55="Helmond",IF(COUNTIFS(RC_Lane,B55,RC_Band,E55,RC_CostPS,"&gt;0")=0,"",SUMIFS(RC_CostPS,RC_Lane,B55,RC_Band,E55)),IF(U55="Other","",IF(INDEX(RS_Rate,MATCH(B55,RS_Lane,0))="","",INDEX(RS_Rate,MATCH(B55,RS_Lane,0))))))</f>
        <v/>
      </c>
    </row>
    <row r="56">
      <c r="A56" s="95" t="inlineStr">
        <is>
          <t>A-052</t>
        </is>
      </c>
      <c r="B56" s="112" t="inlineStr">
        <is>
          <t>L01</t>
        </is>
      </c>
      <c r="C56" s="101" t="inlineStr">
        <is>
          <t>Saudi Arabia</t>
        </is>
      </c>
      <c r="D56" s="101" t="inlineStr">
        <is>
          <t>Jeddah</t>
        </is>
      </c>
      <c r="E56" s="101" t="inlineStr">
        <is>
          <t>B4  500 to 2,000 kg</t>
        </is>
      </c>
      <c r="F56" s="123" t="n">
        <v>883.9</v>
      </c>
      <c r="G56" s="86">
        <f>F56*0.006477</f>
        <v/>
      </c>
      <c r="H56" s="123">
        <f>F56*1.079436</f>
        <v/>
      </c>
      <c r="I56" s="122">
        <f>MAX(1,ROUNDUP(G56/0.096,0))</f>
        <v/>
      </c>
      <c r="J56" s="84" t="n">
        <v>46514</v>
      </c>
      <c r="K56" s="87">
        <f>J56-WEEKDAY(J56,2)+1</f>
        <v/>
      </c>
      <c r="L56" s="84">
        <f>J56</f>
        <v/>
      </c>
      <c r="M56" s="52">
        <f>INDEX(LR_Target,MATCH(B56,LR_Lane,0))</f>
        <v/>
      </c>
      <c r="N56" s="84">
        <f>WORKDAY.INTL(L56,M56,INDEX(LR_Code,MATCH(B56,LR_Lane,0)),INDEX(DH_Table,0,MATCH(B56&amp;"*",DH_Head,0)))</f>
        <v/>
      </c>
      <c r="O56" s="65">
        <f>IF(W56&lt;&gt;"",W56,IF(U56="Helmond",IF(COUNTIFS(RC_Lane,B56,RC_Band,E56,RC_Transit,"&lt;&gt;")=0,"",SUMIFS(RC_Transit,RC_Lane,B56,RC_Band,E56)),IF(U56="Other","",IF(INDEX(RS_Transit,MATCH(B56,RS_Lane,0))="","",INDEX(RS_Transit,MATCH(B56,RS_Lane,0))))))</f>
        <v/>
      </c>
      <c r="P56" s="140" t="n"/>
      <c r="Q56" s="84">
        <f>IF(P56&lt;&gt;"",P56,IF(O56="","",WORKDAY.INTL(L56,ROUNDUP(O56,0),INDEX(LR_Code,MATCH(B56,LR_Lane,0)),INDEX(DH_Table,0,MATCH(B56&amp;"*",DH_Head,0)))))</f>
        <v/>
      </c>
      <c r="R56" s="100">
        <f>IF(Q56="","",IF(Q56&lt;=N56,"Yes","No"))</f>
        <v/>
      </c>
      <c r="S56" s="52">
        <f>IF(Q56="","",IF(Q56&lt;=N56,0,NETWORKDAYS.INTL(N56,Q56,INDEX(LR_Code,MATCH(B56,LR_Lane,0)),INDEX(DH_Table,0,MATCH(B56&amp;"*",DH_Head,0)))-1))</f>
        <v/>
      </c>
      <c r="T56" s="127" t="n"/>
      <c r="U56" s="112">
        <f>IF(V56&lt;&gt;"",V56,IF(IFERROR(INDEX(RS_Flag,MATCH(B56,RS_Lane,0)),"")="Yes",IF(IFERROR(INDEX(RS_Loc,MATCH(B56,RS_Lane,0)),"")="","Regional stock",IFERROR(INDEX(RS_Loc,MATCH(B56,RS_Lane,0)),"")),"Helmond"))</f>
        <v/>
      </c>
      <c r="V56" s="141" t="n"/>
      <c r="W56" s="142" t="n"/>
      <c r="X56" s="143" t="n"/>
      <c r="Y56" s="116">
        <f>IF(X56&lt;&gt;"",X56,IF(U56="Helmond",IF(COUNTIFS(RC_Lane,B56,RC_Band,E56,RC_CostPS,"&gt;0")=0,"",SUMIFS(RC_CostPS,RC_Lane,B56,RC_Band,E56)),IF(U56="Other","",IF(INDEX(RS_Rate,MATCH(B56,RS_Lane,0))="","",INDEX(RS_Rate,MATCH(B56,RS_Lane,0))))))</f>
        <v/>
      </c>
    </row>
    <row r="57">
      <c r="A57" s="95" t="inlineStr">
        <is>
          <t>A-053</t>
        </is>
      </c>
      <c r="B57" s="112" t="inlineStr">
        <is>
          <t>L02</t>
        </is>
      </c>
      <c r="C57" s="101" t="inlineStr">
        <is>
          <t>United Arab Emirates</t>
        </is>
      </c>
      <c r="D57" s="101" t="inlineStr">
        <is>
          <t>Dubai</t>
        </is>
      </c>
      <c r="E57" s="101" t="inlineStr">
        <is>
          <t>B1  0 to 30 kg</t>
        </is>
      </c>
      <c r="F57" s="123" t="n">
        <v>6.8</v>
      </c>
      <c r="G57" s="86">
        <f>F57*0.006477</f>
        <v/>
      </c>
      <c r="H57" s="123">
        <f>F57*1.079436</f>
        <v/>
      </c>
      <c r="I57" s="122">
        <f>MAX(1,ROUNDUP(G57/0.096,0))</f>
        <v/>
      </c>
      <c r="J57" s="84" t="n">
        <v>46514</v>
      </c>
      <c r="K57" s="87">
        <f>J57-WEEKDAY(J57,2)+1</f>
        <v/>
      </c>
      <c r="L57" s="84">
        <f>J57</f>
        <v/>
      </c>
      <c r="M57" s="52">
        <f>INDEX(LR_Target,MATCH(B57,LR_Lane,0))</f>
        <v/>
      </c>
      <c r="N57" s="84">
        <f>WORKDAY.INTL(L57,M57,INDEX(LR_Code,MATCH(B57,LR_Lane,0)),INDEX(DH_Table,0,MATCH(B57&amp;"*",DH_Head,0)))</f>
        <v/>
      </c>
      <c r="O57" s="65">
        <f>IF(W57&lt;&gt;"",W57,IF(U57="Helmond",IF(COUNTIFS(RC_Lane,B57,RC_Band,E57,RC_Transit,"&lt;&gt;")=0,"",SUMIFS(RC_Transit,RC_Lane,B57,RC_Band,E57)),IF(U57="Other","",IF(INDEX(RS_Transit,MATCH(B57,RS_Lane,0))="","",INDEX(RS_Transit,MATCH(B57,RS_Lane,0))))))</f>
        <v/>
      </c>
      <c r="P57" s="140" t="n"/>
      <c r="Q57" s="84">
        <f>IF(P57&lt;&gt;"",P57,IF(O57="","",WORKDAY.INTL(L57,ROUNDUP(O57,0),INDEX(LR_Code,MATCH(B57,LR_Lane,0)),INDEX(DH_Table,0,MATCH(B57&amp;"*",DH_Head,0)))))</f>
        <v/>
      </c>
      <c r="R57" s="100">
        <f>IF(Q57="","",IF(Q57&lt;=N57,"Yes","No"))</f>
        <v/>
      </c>
      <c r="S57" s="52">
        <f>IF(Q57="","",IF(Q57&lt;=N57,0,NETWORKDAYS.INTL(N57,Q57,INDEX(LR_Code,MATCH(B57,LR_Lane,0)),INDEX(DH_Table,0,MATCH(B57&amp;"*",DH_Head,0)))-1))</f>
        <v/>
      </c>
      <c r="T57" s="127" t="n"/>
      <c r="U57" s="112">
        <f>IF(V57&lt;&gt;"",V57,IF(IFERROR(INDEX(RS_Flag,MATCH(B57,RS_Lane,0)),"")="Yes",IF(IFERROR(INDEX(RS_Loc,MATCH(B57,RS_Lane,0)),"")="","Regional stock",IFERROR(INDEX(RS_Loc,MATCH(B57,RS_Lane,0)),"")),"Helmond"))</f>
        <v/>
      </c>
      <c r="V57" s="141" t="n"/>
      <c r="W57" s="142" t="n"/>
      <c r="X57" s="143" t="n"/>
      <c r="Y57" s="116">
        <f>IF(X57&lt;&gt;"",X57,IF(U57="Helmond",IF(COUNTIFS(RC_Lane,B57,RC_Band,E57,RC_CostPS,"&gt;0")=0,"",SUMIFS(RC_CostPS,RC_Lane,B57,RC_Band,E57)),IF(U57="Other","",IF(INDEX(RS_Rate,MATCH(B57,RS_Lane,0))="","",INDEX(RS_Rate,MATCH(B57,RS_Lane,0))))))</f>
        <v/>
      </c>
    </row>
    <row r="58">
      <c r="A58" s="95" t="inlineStr">
        <is>
          <t>A-054</t>
        </is>
      </c>
      <c r="B58" s="112" t="inlineStr">
        <is>
          <t>L04</t>
        </is>
      </c>
      <c r="C58" s="101" t="inlineStr">
        <is>
          <t>Qatar</t>
        </is>
      </c>
      <c r="D58" s="101" t="inlineStr">
        <is>
          <t>Doha</t>
        </is>
      </c>
      <c r="E58" s="101" t="inlineStr">
        <is>
          <t>B1  0 to 30 kg</t>
        </is>
      </c>
      <c r="F58" s="123" t="n">
        <v>6</v>
      </c>
      <c r="G58" s="86">
        <f>F58*0.006477</f>
        <v/>
      </c>
      <c r="H58" s="123">
        <f>F58*1.079436</f>
        <v/>
      </c>
      <c r="I58" s="122">
        <f>MAX(1,ROUNDUP(G58/0.096,0))</f>
        <v/>
      </c>
      <c r="J58" s="84" t="n">
        <v>46517</v>
      </c>
      <c r="K58" s="87">
        <f>J58-WEEKDAY(J58,2)+1</f>
        <v/>
      </c>
      <c r="L58" s="84">
        <f>J58</f>
        <v/>
      </c>
      <c r="M58" s="52">
        <f>INDEX(LR_Target,MATCH(B58,LR_Lane,0))</f>
        <v/>
      </c>
      <c r="N58" s="84">
        <f>WORKDAY.INTL(L58,M58,INDEX(LR_Code,MATCH(B58,LR_Lane,0)),INDEX(DH_Table,0,MATCH(B58&amp;"*",DH_Head,0)))</f>
        <v/>
      </c>
      <c r="O58" s="65">
        <f>IF(W58&lt;&gt;"",W58,IF(U58="Helmond",IF(COUNTIFS(RC_Lane,B58,RC_Band,E58,RC_Transit,"&lt;&gt;")=0,"",SUMIFS(RC_Transit,RC_Lane,B58,RC_Band,E58)),IF(U58="Other","",IF(INDEX(RS_Transit,MATCH(B58,RS_Lane,0))="","",INDEX(RS_Transit,MATCH(B58,RS_Lane,0))))))</f>
        <v/>
      </c>
      <c r="P58" s="140" t="n"/>
      <c r="Q58" s="84">
        <f>IF(P58&lt;&gt;"",P58,IF(O58="","",WORKDAY.INTL(L58,ROUNDUP(O58,0),INDEX(LR_Code,MATCH(B58,LR_Lane,0)),INDEX(DH_Table,0,MATCH(B58&amp;"*",DH_Head,0)))))</f>
        <v/>
      </c>
      <c r="R58" s="100">
        <f>IF(Q58="","",IF(Q58&lt;=N58,"Yes","No"))</f>
        <v/>
      </c>
      <c r="S58" s="52">
        <f>IF(Q58="","",IF(Q58&lt;=N58,0,NETWORKDAYS.INTL(N58,Q58,INDEX(LR_Code,MATCH(B58,LR_Lane,0)),INDEX(DH_Table,0,MATCH(B58&amp;"*",DH_Head,0)))-1))</f>
        <v/>
      </c>
      <c r="T58" s="127" t="n"/>
      <c r="U58" s="112">
        <f>IF(V58&lt;&gt;"",V58,IF(IFERROR(INDEX(RS_Flag,MATCH(B58,RS_Lane,0)),"")="Yes",IF(IFERROR(INDEX(RS_Loc,MATCH(B58,RS_Lane,0)),"")="","Regional stock",IFERROR(INDEX(RS_Loc,MATCH(B58,RS_Lane,0)),"")),"Helmond"))</f>
        <v/>
      </c>
      <c r="V58" s="141" t="n"/>
      <c r="W58" s="142" t="n"/>
      <c r="X58" s="143" t="n"/>
      <c r="Y58" s="116">
        <f>IF(X58&lt;&gt;"",X58,IF(U58="Helmond",IF(COUNTIFS(RC_Lane,B58,RC_Band,E58,RC_CostPS,"&gt;0")=0,"",SUMIFS(RC_CostPS,RC_Lane,B58,RC_Band,E58)),IF(U58="Other","",IF(INDEX(RS_Rate,MATCH(B58,RS_Lane,0))="","",INDEX(RS_Rate,MATCH(B58,RS_Lane,0))))))</f>
        <v/>
      </c>
    </row>
    <row r="59">
      <c r="A59" s="95" t="inlineStr">
        <is>
          <t>A-055</t>
        </is>
      </c>
      <c r="B59" s="112" t="inlineStr">
        <is>
          <t>L01</t>
        </is>
      </c>
      <c r="C59" s="101" t="inlineStr">
        <is>
          <t>Saudi Arabia</t>
        </is>
      </c>
      <c r="D59" s="101" t="inlineStr">
        <is>
          <t>Jeddah</t>
        </is>
      </c>
      <c r="E59" s="101" t="inlineStr">
        <is>
          <t>B3  100 to 500 kg</t>
        </is>
      </c>
      <c r="F59" s="123" t="n">
        <v>205.5</v>
      </c>
      <c r="G59" s="86">
        <f>F59*0.006477</f>
        <v/>
      </c>
      <c r="H59" s="123">
        <f>F59*1.079436</f>
        <v/>
      </c>
      <c r="I59" s="122">
        <f>MAX(1,ROUNDUP(G59/0.096,0))</f>
        <v/>
      </c>
      <c r="J59" s="84" t="n">
        <v>46519</v>
      </c>
      <c r="K59" s="87">
        <f>J59-WEEKDAY(J59,2)+1</f>
        <v/>
      </c>
      <c r="L59" s="84">
        <f>J59</f>
        <v/>
      </c>
      <c r="M59" s="52">
        <f>INDEX(LR_Target,MATCH(B59,LR_Lane,0))</f>
        <v/>
      </c>
      <c r="N59" s="84">
        <f>WORKDAY.INTL(L59,M59,INDEX(LR_Code,MATCH(B59,LR_Lane,0)),INDEX(DH_Table,0,MATCH(B59&amp;"*",DH_Head,0)))</f>
        <v/>
      </c>
      <c r="O59" s="65">
        <f>IF(W59&lt;&gt;"",W59,IF(U59="Helmond",IF(COUNTIFS(RC_Lane,B59,RC_Band,E59,RC_Transit,"&lt;&gt;")=0,"",SUMIFS(RC_Transit,RC_Lane,B59,RC_Band,E59)),IF(U59="Other","",IF(INDEX(RS_Transit,MATCH(B59,RS_Lane,0))="","",INDEX(RS_Transit,MATCH(B59,RS_Lane,0))))))</f>
        <v/>
      </c>
      <c r="P59" s="140" t="n"/>
      <c r="Q59" s="84">
        <f>IF(P59&lt;&gt;"",P59,IF(O59="","",WORKDAY.INTL(L59,ROUNDUP(O59,0),INDEX(LR_Code,MATCH(B59,LR_Lane,0)),INDEX(DH_Table,0,MATCH(B59&amp;"*",DH_Head,0)))))</f>
        <v/>
      </c>
      <c r="R59" s="100">
        <f>IF(Q59="","",IF(Q59&lt;=N59,"Yes","No"))</f>
        <v/>
      </c>
      <c r="S59" s="52">
        <f>IF(Q59="","",IF(Q59&lt;=N59,0,NETWORKDAYS.INTL(N59,Q59,INDEX(LR_Code,MATCH(B59,LR_Lane,0)),INDEX(DH_Table,0,MATCH(B59&amp;"*",DH_Head,0)))-1))</f>
        <v/>
      </c>
      <c r="T59" s="127" t="n"/>
      <c r="U59" s="112">
        <f>IF(V59&lt;&gt;"",V59,IF(IFERROR(INDEX(RS_Flag,MATCH(B59,RS_Lane,0)),"")="Yes",IF(IFERROR(INDEX(RS_Loc,MATCH(B59,RS_Lane,0)),"")="","Regional stock",IFERROR(INDEX(RS_Loc,MATCH(B59,RS_Lane,0)),"")),"Helmond"))</f>
        <v/>
      </c>
      <c r="V59" s="141" t="n"/>
      <c r="W59" s="142" t="n"/>
      <c r="X59" s="143" t="n"/>
      <c r="Y59" s="116">
        <f>IF(X59&lt;&gt;"",X59,IF(U59="Helmond",IF(COUNTIFS(RC_Lane,B59,RC_Band,E59,RC_CostPS,"&gt;0")=0,"",SUMIFS(RC_CostPS,RC_Lane,B59,RC_Band,E59)),IF(U59="Other","",IF(INDEX(RS_Rate,MATCH(B59,RS_Lane,0))="","",INDEX(RS_Rate,MATCH(B59,RS_Lane,0))))))</f>
        <v/>
      </c>
    </row>
    <row r="60">
      <c r="A60" s="95" t="inlineStr">
        <is>
          <t>A-056</t>
        </is>
      </c>
      <c r="B60" s="112" t="inlineStr">
        <is>
          <t>L02</t>
        </is>
      </c>
      <c r="C60" s="101" t="inlineStr">
        <is>
          <t>United Arab Emirates</t>
        </is>
      </c>
      <c r="D60" s="101" t="inlineStr">
        <is>
          <t>Dubai</t>
        </is>
      </c>
      <c r="E60" s="101" t="inlineStr">
        <is>
          <t>B1  0 to 30 kg</t>
        </is>
      </c>
      <c r="F60" s="123" t="n">
        <v>3.5</v>
      </c>
      <c r="G60" s="86">
        <f>F60*0.006477</f>
        <v/>
      </c>
      <c r="H60" s="123">
        <f>F60*1.079436</f>
        <v/>
      </c>
      <c r="I60" s="122">
        <f>MAX(1,ROUNDUP(G60/0.096,0))</f>
        <v/>
      </c>
      <c r="J60" s="84" t="n">
        <v>46519</v>
      </c>
      <c r="K60" s="87">
        <f>J60-WEEKDAY(J60,2)+1</f>
        <v/>
      </c>
      <c r="L60" s="84">
        <f>J60</f>
        <v/>
      </c>
      <c r="M60" s="52">
        <f>INDEX(LR_Target,MATCH(B60,LR_Lane,0))</f>
        <v/>
      </c>
      <c r="N60" s="84">
        <f>WORKDAY.INTL(L60,M60,INDEX(LR_Code,MATCH(B60,LR_Lane,0)),INDEX(DH_Table,0,MATCH(B60&amp;"*",DH_Head,0)))</f>
        <v/>
      </c>
      <c r="O60" s="65">
        <f>IF(W60&lt;&gt;"",W60,IF(U60="Helmond",IF(COUNTIFS(RC_Lane,B60,RC_Band,E60,RC_Transit,"&lt;&gt;")=0,"",SUMIFS(RC_Transit,RC_Lane,B60,RC_Band,E60)),IF(U60="Other","",IF(INDEX(RS_Transit,MATCH(B60,RS_Lane,0))="","",INDEX(RS_Transit,MATCH(B60,RS_Lane,0))))))</f>
        <v/>
      </c>
      <c r="P60" s="140" t="n"/>
      <c r="Q60" s="84">
        <f>IF(P60&lt;&gt;"",P60,IF(O60="","",WORKDAY.INTL(L60,ROUNDUP(O60,0),INDEX(LR_Code,MATCH(B60,LR_Lane,0)),INDEX(DH_Table,0,MATCH(B60&amp;"*",DH_Head,0)))))</f>
        <v/>
      </c>
      <c r="R60" s="100">
        <f>IF(Q60="","",IF(Q60&lt;=N60,"Yes","No"))</f>
        <v/>
      </c>
      <c r="S60" s="52">
        <f>IF(Q60="","",IF(Q60&lt;=N60,0,NETWORKDAYS.INTL(N60,Q60,INDEX(LR_Code,MATCH(B60,LR_Lane,0)),INDEX(DH_Table,0,MATCH(B60&amp;"*",DH_Head,0)))-1))</f>
        <v/>
      </c>
      <c r="T60" s="127" t="n"/>
      <c r="U60" s="112">
        <f>IF(V60&lt;&gt;"",V60,IF(IFERROR(INDEX(RS_Flag,MATCH(B60,RS_Lane,0)),"")="Yes",IF(IFERROR(INDEX(RS_Loc,MATCH(B60,RS_Lane,0)),"")="","Regional stock",IFERROR(INDEX(RS_Loc,MATCH(B60,RS_Lane,0)),"")),"Helmond"))</f>
        <v/>
      </c>
      <c r="V60" s="141" t="n"/>
      <c r="W60" s="142" t="n"/>
      <c r="X60" s="143" t="n"/>
      <c r="Y60" s="116">
        <f>IF(X60&lt;&gt;"",X60,IF(U60="Helmond",IF(COUNTIFS(RC_Lane,B60,RC_Band,E60,RC_CostPS,"&gt;0")=0,"",SUMIFS(RC_CostPS,RC_Lane,B60,RC_Band,E60)),IF(U60="Other","",IF(INDEX(RS_Rate,MATCH(B60,RS_Lane,0))="","",INDEX(RS_Rate,MATCH(B60,RS_Lane,0))))))</f>
        <v/>
      </c>
    </row>
    <row r="61">
      <c r="A61" s="95" t="inlineStr">
        <is>
          <t>A-057</t>
        </is>
      </c>
      <c r="B61" s="112" t="inlineStr">
        <is>
          <t>L03</t>
        </is>
      </c>
      <c r="C61" s="101" t="inlineStr">
        <is>
          <t>Kuwait</t>
        </is>
      </c>
      <c r="D61" s="101" t="inlineStr">
        <is>
          <t>Kuwait City</t>
        </is>
      </c>
      <c r="E61" s="101" t="inlineStr">
        <is>
          <t>B1  0 to 30 kg</t>
        </is>
      </c>
      <c r="F61" s="123" t="n">
        <v>11.9</v>
      </c>
      <c r="G61" s="86">
        <f>F61*0.006477</f>
        <v/>
      </c>
      <c r="H61" s="123">
        <f>F61*1.079436</f>
        <v/>
      </c>
      <c r="I61" s="122">
        <f>MAX(1,ROUNDUP(G61/0.096,0))</f>
        <v/>
      </c>
      <c r="J61" s="84" t="n">
        <v>46532</v>
      </c>
      <c r="K61" s="87">
        <f>J61-WEEKDAY(J61,2)+1</f>
        <v/>
      </c>
      <c r="L61" s="84">
        <f>J61</f>
        <v/>
      </c>
      <c r="M61" s="52">
        <f>INDEX(LR_Target,MATCH(B61,LR_Lane,0))</f>
        <v/>
      </c>
      <c r="N61" s="84">
        <f>WORKDAY.INTL(L61,M61,INDEX(LR_Code,MATCH(B61,LR_Lane,0)),INDEX(DH_Table,0,MATCH(B61&amp;"*",DH_Head,0)))</f>
        <v/>
      </c>
      <c r="O61" s="65">
        <f>IF(W61&lt;&gt;"",W61,IF(U61="Helmond",IF(COUNTIFS(RC_Lane,B61,RC_Band,E61,RC_Transit,"&lt;&gt;")=0,"",SUMIFS(RC_Transit,RC_Lane,B61,RC_Band,E61)),IF(U61="Other","",IF(INDEX(RS_Transit,MATCH(B61,RS_Lane,0))="","",INDEX(RS_Transit,MATCH(B61,RS_Lane,0))))))</f>
        <v/>
      </c>
      <c r="P61" s="140" t="n"/>
      <c r="Q61" s="84">
        <f>IF(P61&lt;&gt;"",P61,IF(O61="","",WORKDAY.INTL(L61,ROUNDUP(O61,0),INDEX(LR_Code,MATCH(B61,LR_Lane,0)),INDEX(DH_Table,0,MATCH(B61&amp;"*",DH_Head,0)))))</f>
        <v/>
      </c>
      <c r="R61" s="100">
        <f>IF(Q61="","",IF(Q61&lt;=N61,"Yes","No"))</f>
        <v/>
      </c>
      <c r="S61" s="52">
        <f>IF(Q61="","",IF(Q61&lt;=N61,0,NETWORKDAYS.INTL(N61,Q61,INDEX(LR_Code,MATCH(B61,LR_Lane,0)),INDEX(DH_Table,0,MATCH(B61&amp;"*",DH_Head,0)))-1))</f>
        <v/>
      </c>
      <c r="T61" s="127" t="n"/>
      <c r="U61" s="112">
        <f>IF(V61&lt;&gt;"",V61,IF(IFERROR(INDEX(RS_Flag,MATCH(B61,RS_Lane,0)),"")="Yes",IF(IFERROR(INDEX(RS_Loc,MATCH(B61,RS_Lane,0)),"")="","Regional stock",IFERROR(INDEX(RS_Loc,MATCH(B61,RS_Lane,0)),"")),"Helmond"))</f>
        <v/>
      </c>
      <c r="V61" s="141" t="n"/>
      <c r="W61" s="142" t="n"/>
      <c r="X61" s="143" t="n"/>
      <c r="Y61" s="116">
        <f>IF(X61&lt;&gt;"",X61,IF(U61="Helmond",IF(COUNTIFS(RC_Lane,B61,RC_Band,E61,RC_CostPS,"&gt;0")=0,"",SUMIFS(RC_CostPS,RC_Lane,B61,RC_Band,E61)),IF(U61="Other","",IF(INDEX(RS_Rate,MATCH(B61,RS_Lane,0))="","",INDEX(RS_Rate,MATCH(B61,RS_Lane,0))))))</f>
        <v/>
      </c>
    </row>
    <row r="62">
      <c r="A62" s="95" t="inlineStr">
        <is>
          <t>A-058</t>
        </is>
      </c>
      <c r="B62" s="112" t="inlineStr">
        <is>
          <t>L05</t>
        </is>
      </c>
      <c r="C62" s="101" t="inlineStr">
        <is>
          <t>Türkiye</t>
        </is>
      </c>
      <c r="D62" s="101" t="inlineStr">
        <is>
          <t>Istanbul</t>
        </is>
      </c>
      <c r="E62" s="101" t="inlineStr">
        <is>
          <t>B1  0 to 30 kg</t>
        </is>
      </c>
      <c r="F62" s="123" t="n">
        <v>5.1</v>
      </c>
      <c r="G62" s="86">
        <f>F62*0.006477</f>
        <v/>
      </c>
      <c r="H62" s="123">
        <f>F62*1.079436</f>
        <v/>
      </c>
      <c r="I62" s="122">
        <f>MAX(1,ROUNDUP(G62/0.096,0))</f>
        <v/>
      </c>
      <c r="J62" s="84" t="n">
        <v>46532</v>
      </c>
      <c r="K62" s="87">
        <f>J62-WEEKDAY(J62,2)+1</f>
        <v/>
      </c>
      <c r="L62" s="84">
        <f>J62</f>
        <v/>
      </c>
      <c r="M62" s="52">
        <f>INDEX(LR_Target,MATCH(B62,LR_Lane,0))</f>
        <v/>
      </c>
      <c r="N62" s="84">
        <f>WORKDAY.INTL(L62,M62,INDEX(LR_Code,MATCH(B62,LR_Lane,0)),INDEX(DH_Table,0,MATCH(B62&amp;"*",DH_Head,0)))</f>
        <v/>
      </c>
      <c r="O62" s="65">
        <f>IF(W62&lt;&gt;"",W62,IF(U62="Helmond",IF(COUNTIFS(RC_Lane,B62,RC_Band,E62,RC_Transit,"&lt;&gt;")=0,"",SUMIFS(RC_Transit,RC_Lane,B62,RC_Band,E62)),IF(U62="Other","",IF(INDEX(RS_Transit,MATCH(B62,RS_Lane,0))="","",INDEX(RS_Transit,MATCH(B62,RS_Lane,0))))))</f>
        <v/>
      </c>
      <c r="P62" s="140" t="n"/>
      <c r="Q62" s="84">
        <f>IF(P62&lt;&gt;"",P62,IF(O62="","",WORKDAY.INTL(L62,ROUNDUP(O62,0),INDEX(LR_Code,MATCH(B62,LR_Lane,0)),INDEX(DH_Table,0,MATCH(B62&amp;"*",DH_Head,0)))))</f>
        <v/>
      </c>
      <c r="R62" s="100">
        <f>IF(Q62="","",IF(Q62&lt;=N62,"Yes","No"))</f>
        <v/>
      </c>
      <c r="S62" s="52">
        <f>IF(Q62="","",IF(Q62&lt;=N62,0,NETWORKDAYS.INTL(N62,Q62,INDEX(LR_Code,MATCH(B62,LR_Lane,0)),INDEX(DH_Table,0,MATCH(B62&amp;"*",DH_Head,0)))-1))</f>
        <v/>
      </c>
      <c r="T62" s="127" t="n"/>
      <c r="U62" s="112">
        <f>IF(V62&lt;&gt;"",V62,IF(IFERROR(INDEX(RS_Flag,MATCH(B62,RS_Lane,0)),"")="Yes",IF(IFERROR(INDEX(RS_Loc,MATCH(B62,RS_Lane,0)),"")="","Regional stock",IFERROR(INDEX(RS_Loc,MATCH(B62,RS_Lane,0)),"")),"Helmond"))</f>
        <v/>
      </c>
      <c r="V62" s="141" t="n"/>
      <c r="W62" s="142" t="n"/>
      <c r="X62" s="143" t="n"/>
      <c r="Y62" s="116">
        <f>IF(X62&lt;&gt;"",X62,IF(U62="Helmond",IF(COUNTIFS(RC_Lane,B62,RC_Band,E62,RC_CostPS,"&gt;0")=0,"",SUMIFS(RC_CostPS,RC_Lane,B62,RC_Band,E62)),IF(U62="Other","",IF(INDEX(RS_Rate,MATCH(B62,RS_Lane,0))="","",INDEX(RS_Rate,MATCH(B62,RS_Lane,0))))))</f>
        <v/>
      </c>
    </row>
    <row r="63">
      <c r="A63" s="95" t="inlineStr">
        <is>
          <t>A-059</t>
        </is>
      </c>
      <c r="B63" s="112" t="inlineStr">
        <is>
          <t>L02</t>
        </is>
      </c>
      <c r="C63" s="101" t="inlineStr">
        <is>
          <t>United Arab Emirates</t>
        </is>
      </c>
      <c r="D63" s="101" t="inlineStr">
        <is>
          <t>Dubai</t>
        </is>
      </c>
      <c r="E63" s="101" t="inlineStr">
        <is>
          <t>B1  0 to 30 kg</t>
        </is>
      </c>
      <c r="F63" s="123" t="n">
        <v>8.300000000000001</v>
      </c>
      <c r="G63" s="86">
        <f>F63*0.006477</f>
        <v/>
      </c>
      <c r="H63" s="123">
        <f>F63*1.079436</f>
        <v/>
      </c>
      <c r="I63" s="122">
        <f>MAX(1,ROUNDUP(G63/0.096,0))</f>
        <v/>
      </c>
      <c r="J63" s="84" t="n">
        <v>46534</v>
      </c>
      <c r="K63" s="87">
        <f>J63-WEEKDAY(J63,2)+1</f>
        <v/>
      </c>
      <c r="L63" s="84">
        <f>J63</f>
        <v/>
      </c>
      <c r="M63" s="52">
        <f>INDEX(LR_Target,MATCH(B63,LR_Lane,0))</f>
        <v/>
      </c>
      <c r="N63" s="84">
        <f>WORKDAY.INTL(L63,M63,INDEX(LR_Code,MATCH(B63,LR_Lane,0)),INDEX(DH_Table,0,MATCH(B63&amp;"*",DH_Head,0)))</f>
        <v/>
      </c>
      <c r="O63" s="65">
        <f>IF(W63&lt;&gt;"",W63,IF(U63="Helmond",IF(COUNTIFS(RC_Lane,B63,RC_Band,E63,RC_Transit,"&lt;&gt;")=0,"",SUMIFS(RC_Transit,RC_Lane,B63,RC_Band,E63)),IF(U63="Other","",IF(INDEX(RS_Transit,MATCH(B63,RS_Lane,0))="","",INDEX(RS_Transit,MATCH(B63,RS_Lane,0))))))</f>
        <v/>
      </c>
      <c r="P63" s="140" t="n"/>
      <c r="Q63" s="84">
        <f>IF(P63&lt;&gt;"",P63,IF(O63="","",WORKDAY.INTL(L63,ROUNDUP(O63,0),INDEX(LR_Code,MATCH(B63,LR_Lane,0)),INDEX(DH_Table,0,MATCH(B63&amp;"*",DH_Head,0)))))</f>
        <v/>
      </c>
      <c r="R63" s="100">
        <f>IF(Q63="","",IF(Q63&lt;=N63,"Yes","No"))</f>
        <v/>
      </c>
      <c r="S63" s="52">
        <f>IF(Q63="","",IF(Q63&lt;=N63,0,NETWORKDAYS.INTL(N63,Q63,INDEX(LR_Code,MATCH(B63,LR_Lane,0)),INDEX(DH_Table,0,MATCH(B63&amp;"*",DH_Head,0)))-1))</f>
        <v/>
      </c>
      <c r="T63" s="127" t="n"/>
      <c r="U63" s="112">
        <f>IF(V63&lt;&gt;"",V63,IF(IFERROR(INDEX(RS_Flag,MATCH(B63,RS_Lane,0)),"")="Yes",IF(IFERROR(INDEX(RS_Loc,MATCH(B63,RS_Lane,0)),"")="","Regional stock",IFERROR(INDEX(RS_Loc,MATCH(B63,RS_Lane,0)),"")),"Helmond"))</f>
        <v/>
      </c>
      <c r="V63" s="141" t="n"/>
      <c r="W63" s="142" t="n"/>
      <c r="X63" s="143" t="n"/>
      <c r="Y63" s="116">
        <f>IF(X63&lt;&gt;"",X63,IF(U63="Helmond",IF(COUNTIFS(RC_Lane,B63,RC_Band,E63,RC_CostPS,"&gt;0")=0,"",SUMIFS(RC_CostPS,RC_Lane,B63,RC_Band,E63)),IF(U63="Other","",IF(INDEX(RS_Rate,MATCH(B63,RS_Lane,0))="","",INDEX(RS_Rate,MATCH(B63,RS_Lane,0))))))</f>
        <v/>
      </c>
    </row>
    <row r="64">
      <c r="A64" s="95" t="inlineStr">
        <is>
          <t>A-060</t>
        </is>
      </c>
      <c r="B64" s="112" t="inlineStr">
        <is>
          <t>L01</t>
        </is>
      </c>
      <c r="C64" s="101" t="inlineStr">
        <is>
          <t>Saudi Arabia</t>
        </is>
      </c>
      <c r="D64" s="101" t="inlineStr">
        <is>
          <t>Jeddah</t>
        </is>
      </c>
      <c r="E64" s="101" t="inlineStr">
        <is>
          <t>B4  500 to 2,000 kg</t>
        </is>
      </c>
      <c r="F64" s="123" t="n">
        <v>1078.4</v>
      </c>
      <c r="G64" s="86">
        <f>F64*0.006477</f>
        <v/>
      </c>
      <c r="H64" s="123">
        <f>F64*1.079436</f>
        <v/>
      </c>
      <c r="I64" s="122">
        <f>MAX(1,ROUNDUP(G64/0.096,0))</f>
        <v/>
      </c>
      <c r="J64" s="84" t="n">
        <v>46535</v>
      </c>
      <c r="K64" s="87">
        <f>J64-WEEKDAY(J64,2)+1</f>
        <v/>
      </c>
      <c r="L64" s="84">
        <f>J64</f>
        <v/>
      </c>
      <c r="M64" s="52">
        <f>INDEX(LR_Target,MATCH(B64,LR_Lane,0))</f>
        <v/>
      </c>
      <c r="N64" s="84">
        <f>WORKDAY.INTL(L64,M64,INDEX(LR_Code,MATCH(B64,LR_Lane,0)),INDEX(DH_Table,0,MATCH(B64&amp;"*",DH_Head,0)))</f>
        <v/>
      </c>
      <c r="O64" s="65">
        <f>IF(W64&lt;&gt;"",W64,IF(U64="Helmond",IF(COUNTIFS(RC_Lane,B64,RC_Band,E64,RC_Transit,"&lt;&gt;")=0,"",SUMIFS(RC_Transit,RC_Lane,B64,RC_Band,E64)),IF(U64="Other","",IF(INDEX(RS_Transit,MATCH(B64,RS_Lane,0))="","",INDEX(RS_Transit,MATCH(B64,RS_Lane,0))))))</f>
        <v/>
      </c>
      <c r="P64" s="140" t="n"/>
      <c r="Q64" s="84">
        <f>IF(P64&lt;&gt;"",P64,IF(O64="","",WORKDAY.INTL(L64,ROUNDUP(O64,0),INDEX(LR_Code,MATCH(B64,LR_Lane,0)),INDEX(DH_Table,0,MATCH(B64&amp;"*",DH_Head,0)))))</f>
        <v/>
      </c>
      <c r="R64" s="100">
        <f>IF(Q64="","",IF(Q64&lt;=N64,"Yes","No"))</f>
        <v/>
      </c>
      <c r="S64" s="52">
        <f>IF(Q64="","",IF(Q64&lt;=N64,0,NETWORKDAYS.INTL(N64,Q64,INDEX(LR_Code,MATCH(B64,LR_Lane,0)),INDEX(DH_Table,0,MATCH(B64&amp;"*",DH_Head,0)))-1))</f>
        <v/>
      </c>
      <c r="T64" s="127" t="n"/>
      <c r="U64" s="112">
        <f>IF(V64&lt;&gt;"",V64,IF(IFERROR(INDEX(RS_Flag,MATCH(B64,RS_Lane,0)),"")="Yes",IF(IFERROR(INDEX(RS_Loc,MATCH(B64,RS_Lane,0)),"")="","Regional stock",IFERROR(INDEX(RS_Loc,MATCH(B64,RS_Lane,0)),"")),"Helmond"))</f>
        <v/>
      </c>
      <c r="V64" s="141" t="n"/>
      <c r="W64" s="142" t="n"/>
      <c r="X64" s="143" t="n"/>
      <c r="Y64" s="116">
        <f>IF(X64&lt;&gt;"",X64,IF(U64="Helmond",IF(COUNTIFS(RC_Lane,B64,RC_Band,E64,RC_CostPS,"&gt;0")=0,"",SUMIFS(RC_CostPS,RC_Lane,B64,RC_Band,E64)),IF(U64="Other","",IF(INDEX(RS_Rate,MATCH(B64,RS_Lane,0))="","",INDEX(RS_Rate,MATCH(B64,RS_Lane,0))))))</f>
        <v/>
      </c>
    </row>
    <row r="65">
      <c r="A65" s="95" t="inlineStr">
        <is>
          <t>A-061</t>
        </is>
      </c>
      <c r="B65" s="112" t="inlineStr">
        <is>
          <t>L02</t>
        </is>
      </c>
      <c r="C65" s="101" t="inlineStr">
        <is>
          <t>United Arab Emirates</t>
        </is>
      </c>
      <c r="D65" s="101" t="inlineStr">
        <is>
          <t>Dubai</t>
        </is>
      </c>
      <c r="E65" s="101" t="inlineStr">
        <is>
          <t>B1  0 to 30 kg</t>
        </is>
      </c>
      <c r="F65" s="123" t="n">
        <v>6.4</v>
      </c>
      <c r="G65" s="86">
        <f>F65*0.006477</f>
        <v/>
      </c>
      <c r="H65" s="123">
        <f>F65*1.079436</f>
        <v/>
      </c>
      <c r="I65" s="122">
        <f>MAX(1,ROUNDUP(G65/0.096,0))</f>
        <v/>
      </c>
      <c r="J65" s="84" t="n">
        <v>46541</v>
      </c>
      <c r="K65" s="87">
        <f>J65-WEEKDAY(J65,2)+1</f>
        <v/>
      </c>
      <c r="L65" s="84">
        <f>J65</f>
        <v/>
      </c>
      <c r="M65" s="52">
        <f>INDEX(LR_Target,MATCH(B65,LR_Lane,0))</f>
        <v/>
      </c>
      <c r="N65" s="84">
        <f>WORKDAY.INTL(L65,M65,INDEX(LR_Code,MATCH(B65,LR_Lane,0)),INDEX(DH_Table,0,MATCH(B65&amp;"*",DH_Head,0)))</f>
        <v/>
      </c>
      <c r="O65" s="65">
        <f>IF(W65&lt;&gt;"",W65,IF(U65="Helmond",IF(COUNTIFS(RC_Lane,B65,RC_Band,E65,RC_Transit,"&lt;&gt;")=0,"",SUMIFS(RC_Transit,RC_Lane,B65,RC_Band,E65)),IF(U65="Other","",IF(INDEX(RS_Transit,MATCH(B65,RS_Lane,0))="","",INDEX(RS_Transit,MATCH(B65,RS_Lane,0))))))</f>
        <v/>
      </c>
      <c r="P65" s="140" t="n"/>
      <c r="Q65" s="84">
        <f>IF(P65&lt;&gt;"",P65,IF(O65="","",WORKDAY.INTL(L65,ROUNDUP(O65,0),INDEX(LR_Code,MATCH(B65,LR_Lane,0)),INDEX(DH_Table,0,MATCH(B65&amp;"*",DH_Head,0)))))</f>
        <v/>
      </c>
      <c r="R65" s="100">
        <f>IF(Q65="","",IF(Q65&lt;=N65,"Yes","No"))</f>
        <v/>
      </c>
      <c r="S65" s="52">
        <f>IF(Q65="","",IF(Q65&lt;=N65,0,NETWORKDAYS.INTL(N65,Q65,INDEX(LR_Code,MATCH(B65,LR_Lane,0)),INDEX(DH_Table,0,MATCH(B65&amp;"*",DH_Head,0)))-1))</f>
        <v/>
      </c>
      <c r="T65" s="127" t="n"/>
      <c r="U65" s="112">
        <f>IF(V65&lt;&gt;"",V65,IF(IFERROR(INDEX(RS_Flag,MATCH(B65,RS_Lane,0)),"")="Yes",IF(IFERROR(INDEX(RS_Loc,MATCH(B65,RS_Lane,0)),"")="","Regional stock",IFERROR(INDEX(RS_Loc,MATCH(B65,RS_Lane,0)),"")),"Helmond"))</f>
        <v/>
      </c>
      <c r="V65" s="141" t="n"/>
      <c r="W65" s="142" t="n"/>
      <c r="X65" s="143" t="n"/>
      <c r="Y65" s="116">
        <f>IF(X65&lt;&gt;"",X65,IF(U65="Helmond",IF(COUNTIFS(RC_Lane,B65,RC_Band,E65,RC_CostPS,"&gt;0")=0,"",SUMIFS(RC_CostPS,RC_Lane,B65,RC_Band,E65)),IF(U65="Other","",IF(INDEX(RS_Rate,MATCH(B65,RS_Lane,0))="","",INDEX(RS_Rate,MATCH(B65,RS_Lane,0))))))</f>
        <v/>
      </c>
    </row>
    <row r="66">
      <c r="A66" s="95" t="inlineStr">
        <is>
          <t>A-062</t>
        </is>
      </c>
      <c r="B66" s="112" t="inlineStr">
        <is>
          <t>L03</t>
        </is>
      </c>
      <c r="C66" s="101" t="inlineStr">
        <is>
          <t>Kuwait</t>
        </is>
      </c>
      <c r="D66" s="101" t="inlineStr">
        <is>
          <t>Kuwait City</t>
        </is>
      </c>
      <c r="E66" s="101" t="inlineStr">
        <is>
          <t>B3  100 to 500 kg</t>
        </is>
      </c>
      <c r="F66" s="123" t="n">
        <v>272.7</v>
      </c>
      <c r="G66" s="86">
        <f>F66*0.006477</f>
        <v/>
      </c>
      <c r="H66" s="123">
        <f>F66*1.079436</f>
        <v/>
      </c>
      <c r="I66" s="122">
        <f>MAX(1,ROUNDUP(G66/0.096,0))</f>
        <v/>
      </c>
      <c r="J66" s="84" t="n">
        <v>46542</v>
      </c>
      <c r="K66" s="87">
        <f>J66-WEEKDAY(J66,2)+1</f>
        <v/>
      </c>
      <c r="L66" s="84">
        <f>J66</f>
        <v/>
      </c>
      <c r="M66" s="52">
        <f>INDEX(LR_Target,MATCH(B66,LR_Lane,0))</f>
        <v/>
      </c>
      <c r="N66" s="84">
        <f>WORKDAY.INTL(L66,M66,INDEX(LR_Code,MATCH(B66,LR_Lane,0)),INDEX(DH_Table,0,MATCH(B66&amp;"*",DH_Head,0)))</f>
        <v/>
      </c>
      <c r="O66" s="65">
        <f>IF(W66&lt;&gt;"",W66,IF(U66="Helmond",IF(COUNTIFS(RC_Lane,B66,RC_Band,E66,RC_Transit,"&lt;&gt;")=0,"",SUMIFS(RC_Transit,RC_Lane,B66,RC_Band,E66)),IF(U66="Other","",IF(INDEX(RS_Transit,MATCH(B66,RS_Lane,0))="","",INDEX(RS_Transit,MATCH(B66,RS_Lane,0))))))</f>
        <v/>
      </c>
      <c r="P66" s="140" t="n"/>
      <c r="Q66" s="84">
        <f>IF(P66&lt;&gt;"",P66,IF(O66="","",WORKDAY.INTL(L66,ROUNDUP(O66,0),INDEX(LR_Code,MATCH(B66,LR_Lane,0)),INDEX(DH_Table,0,MATCH(B66&amp;"*",DH_Head,0)))))</f>
        <v/>
      </c>
      <c r="R66" s="100">
        <f>IF(Q66="","",IF(Q66&lt;=N66,"Yes","No"))</f>
        <v/>
      </c>
      <c r="S66" s="52">
        <f>IF(Q66="","",IF(Q66&lt;=N66,0,NETWORKDAYS.INTL(N66,Q66,INDEX(LR_Code,MATCH(B66,LR_Lane,0)),INDEX(DH_Table,0,MATCH(B66&amp;"*",DH_Head,0)))-1))</f>
        <v/>
      </c>
      <c r="T66" s="127" t="n"/>
      <c r="U66" s="112">
        <f>IF(V66&lt;&gt;"",V66,IF(IFERROR(INDEX(RS_Flag,MATCH(B66,RS_Lane,0)),"")="Yes",IF(IFERROR(INDEX(RS_Loc,MATCH(B66,RS_Lane,0)),"")="","Regional stock",IFERROR(INDEX(RS_Loc,MATCH(B66,RS_Lane,0)),"")),"Helmond"))</f>
        <v/>
      </c>
      <c r="V66" s="141" t="n"/>
      <c r="W66" s="142" t="n"/>
      <c r="X66" s="143" t="n"/>
      <c r="Y66" s="116">
        <f>IF(X66&lt;&gt;"",X66,IF(U66="Helmond",IF(COUNTIFS(RC_Lane,B66,RC_Band,E66,RC_CostPS,"&gt;0")=0,"",SUMIFS(RC_CostPS,RC_Lane,B66,RC_Band,E66)),IF(U66="Other","",IF(INDEX(RS_Rate,MATCH(B66,RS_Lane,0))="","",INDEX(RS_Rate,MATCH(B66,RS_Lane,0))))))</f>
        <v/>
      </c>
    </row>
    <row r="67">
      <c r="A67" s="95" t="inlineStr">
        <is>
          <t>A-063</t>
        </is>
      </c>
      <c r="B67" s="112" t="inlineStr">
        <is>
          <t>L01</t>
        </is>
      </c>
      <c r="C67" s="101" t="inlineStr">
        <is>
          <t>Saudi Arabia</t>
        </is>
      </c>
      <c r="D67" s="101" t="inlineStr">
        <is>
          <t>Jeddah</t>
        </is>
      </c>
      <c r="E67" s="101" t="inlineStr">
        <is>
          <t>B2  30 to 100 kg</t>
        </is>
      </c>
      <c r="F67" s="123" t="n">
        <v>40.6</v>
      </c>
      <c r="G67" s="86">
        <f>F67*0.006477</f>
        <v/>
      </c>
      <c r="H67" s="123">
        <f>F67*1.079436</f>
        <v/>
      </c>
      <c r="I67" s="122">
        <f>MAX(1,ROUNDUP(G67/0.096,0))</f>
        <v/>
      </c>
      <c r="J67" s="84" t="n">
        <v>46548</v>
      </c>
      <c r="K67" s="87">
        <f>J67-WEEKDAY(J67,2)+1</f>
        <v/>
      </c>
      <c r="L67" s="84">
        <f>J67</f>
        <v/>
      </c>
      <c r="M67" s="52">
        <f>INDEX(LR_Target,MATCH(B67,LR_Lane,0))</f>
        <v/>
      </c>
      <c r="N67" s="84">
        <f>WORKDAY.INTL(L67,M67,INDEX(LR_Code,MATCH(B67,LR_Lane,0)),INDEX(DH_Table,0,MATCH(B67&amp;"*",DH_Head,0)))</f>
        <v/>
      </c>
      <c r="O67" s="65">
        <f>IF(W67&lt;&gt;"",W67,IF(U67="Helmond",IF(COUNTIFS(RC_Lane,B67,RC_Band,E67,RC_Transit,"&lt;&gt;")=0,"",SUMIFS(RC_Transit,RC_Lane,B67,RC_Band,E67)),IF(U67="Other","",IF(INDEX(RS_Transit,MATCH(B67,RS_Lane,0))="","",INDEX(RS_Transit,MATCH(B67,RS_Lane,0))))))</f>
        <v/>
      </c>
      <c r="P67" s="140" t="n"/>
      <c r="Q67" s="84">
        <f>IF(P67&lt;&gt;"",P67,IF(O67="","",WORKDAY.INTL(L67,ROUNDUP(O67,0),INDEX(LR_Code,MATCH(B67,LR_Lane,0)),INDEX(DH_Table,0,MATCH(B67&amp;"*",DH_Head,0)))))</f>
        <v/>
      </c>
      <c r="R67" s="100">
        <f>IF(Q67="","",IF(Q67&lt;=N67,"Yes","No"))</f>
        <v/>
      </c>
      <c r="S67" s="52">
        <f>IF(Q67="","",IF(Q67&lt;=N67,0,NETWORKDAYS.INTL(N67,Q67,INDEX(LR_Code,MATCH(B67,LR_Lane,0)),INDEX(DH_Table,0,MATCH(B67&amp;"*",DH_Head,0)))-1))</f>
        <v/>
      </c>
      <c r="T67" s="127" t="n"/>
      <c r="U67" s="112">
        <f>IF(V67&lt;&gt;"",V67,IF(IFERROR(INDEX(RS_Flag,MATCH(B67,RS_Lane,0)),"")="Yes",IF(IFERROR(INDEX(RS_Loc,MATCH(B67,RS_Lane,0)),"")="","Regional stock",IFERROR(INDEX(RS_Loc,MATCH(B67,RS_Lane,0)),"")),"Helmond"))</f>
        <v/>
      </c>
      <c r="V67" s="141" t="n"/>
      <c r="W67" s="142" t="n"/>
      <c r="X67" s="143" t="n"/>
      <c r="Y67" s="116">
        <f>IF(X67&lt;&gt;"",X67,IF(U67="Helmond",IF(COUNTIFS(RC_Lane,B67,RC_Band,E67,RC_CostPS,"&gt;0")=0,"",SUMIFS(RC_CostPS,RC_Lane,B67,RC_Band,E67)),IF(U67="Other","",IF(INDEX(RS_Rate,MATCH(B67,RS_Lane,0))="","",INDEX(RS_Rate,MATCH(B67,RS_Lane,0))))))</f>
        <v/>
      </c>
    </row>
    <row r="68">
      <c r="A68" s="95" t="inlineStr">
        <is>
          <t>A-064</t>
        </is>
      </c>
      <c r="B68" s="112" t="inlineStr">
        <is>
          <t>L02</t>
        </is>
      </c>
      <c r="C68" s="101" t="inlineStr">
        <is>
          <t>United Arab Emirates</t>
        </is>
      </c>
      <c r="D68" s="101" t="inlineStr">
        <is>
          <t>Dubai</t>
        </is>
      </c>
      <c r="E68" s="101" t="inlineStr">
        <is>
          <t>B3  100 to 500 kg</t>
        </is>
      </c>
      <c r="F68" s="123" t="n">
        <v>190.2</v>
      </c>
      <c r="G68" s="86">
        <f>F68*0.006477</f>
        <v/>
      </c>
      <c r="H68" s="123">
        <f>F68*1.079436</f>
        <v/>
      </c>
      <c r="I68" s="122">
        <f>MAX(1,ROUNDUP(G68/0.096,0))</f>
        <v/>
      </c>
      <c r="J68" s="84" t="n">
        <v>46552</v>
      </c>
      <c r="K68" s="87">
        <f>J68-WEEKDAY(J68,2)+1</f>
        <v/>
      </c>
      <c r="L68" s="84">
        <f>J68</f>
        <v/>
      </c>
      <c r="M68" s="52">
        <f>INDEX(LR_Target,MATCH(B68,LR_Lane,0))</f>
        <v/>
      </c>
      <c r="N68" s="84">
        <f>WORKDAY.INTL(L68,M68,INDEX(LR_Code,MATCH(B68,LR_Lane,0)),INDEX(DH_Table,0,MATCH(B68&amp;"*",DH_Head,0)))</f>
        <v/>
      </c>
      <c r="O68" s="65">
        <f>IF(W68&lt;&gt;"",W68,IF(U68="Helmond",IF(COUNTIFS(RC_Lane,B68,RC_Band,E68,RC_Transit,"&lt;&gt;")=0,"",SUMIFS(RC_Transit,RC_Lane,B68,RC_Band,E68)),IF(U68="Other","",IF(INDEX(RS_Transit,MATCH(B68,RS_Lane,0))="","",INDEX(RS_Transit,MATCH(B68,RS_Lane,0))))))</f>
        <v/>
      </c>
      <c r="P68" s="140" t="n"/>
      <c r="Q68" s="84">
        <f>IF(P68&lt;&gt;"",P68,IF(O68="","",WORKDAY.INTL(L68,ROUNDUP(O68,0),INDEX(LR_Code,MATCH(B68,LR_Lane,0)),INDEX(DH_Table,0,MATCH(B68&amp;"*",DH_Head,0)))))</f>
        <v/>
      </c>
      <c r="R68" s="100">
        <f>IF(Q68="","",IF(Q68&lt;=N68,"Yes","No"))</f>
        <v/>
      </c>
      <c r="S68" s="52">
        <f>IF(Q68="","",IF(Q68&lt;=N68,0,NETWORKDAYS.INTL(N68,Q68,INDEX(LR_Code,MATCH(B68,LR_Lane,0)),INDEX(DH_Table,0,MATCH(B68&amp;"*",DH_Head,0)))-1))</f>
        <v/>
      </c>
      <c r="T68" s="127" t="n"/>
      <c r="U68" s="112">
        <f>IF(V68&lt;&gt;"",V68,IF(IFERROR(INDEX(RS_Flag,MATCH(B68,RS_Lane,0)),"")="Yes",IF(IFERROR(INDEX(RS_Loc,MATCH(B68,RS_Lane,0)),"")="","Regional stock",IFERROR(INDEX(RS_Loc,MATCH(B68,RS_Lane,0)),"")),"Helmond"))</f>
        <v/>
      </c>
      <c r="V68" s="141" t="n"/>
      <c r="W68" s="142" t="n"/>
      <c r="X68" s="143" t="n"/>
      <c r="Y68" s="116">
        <f>IF(X68&lt;&gt;"",X68,IF(U68="Helmond",IF(COUNTIFS(RC_Lane,B68,RC_Band,E68,RC_CostPS,"&gt;0")=0,"",SUMIFS(RC_CostPS,RC_Lane,B68,RC_Band,E68)),IF(U68="Other","",IF(INDEX(RS_Rate,MATCH(B68,RS_Lane,0))="","",INDEX(RS_Rate,MATCH(B68,RS_Lane,0))))))</f>
        <v/>
      </c>
    </row>
    <row r="69">
      <c r="A69" s="95" t="inlineStr">
        <is>
          <t>A-065</t>
        </is>
      </c>
      <c r="B69" s="112" t="inlineStr">
        <is>
          <t>L05</t>
        </is>
      </c>
      <c r="C69" s="101" t="inlineStr">
        <is>
          <t>Türkiye</t>
        </is>
      </c>
      <c r="D69" s="101" t="inlineStr">
        <is>
          <t>Istanbul</t>
        </is>
      </c>
      <c r="E69" s="101" t="inlineStr">
        <is>
          <t>B3  100 to 500 kg</t>
        </is>
      </c>
      <c r="F69" s="123" t="n">
        <v>160.6</v>
      </c>
      <c r="G69" s="86">
        <f>F69*0.006477</f>
        <v/>
      </c>
      <c r="H69" s="123">
        <f>F69*1.079436</f>
        <v/>
      </c>
      <c r="I69" s="122">
        <f>MAX(1,ROUNDUP(G69/0.096,0))</f>
        <v/>
      </c>
      <c r="J69" s="84" t="n">
        <v>46553</v>
      </c>
      <c r="K69" s="87">
        <f>J69-WEEKDAY(J69,2)+1</f>
        <v/>
      </c>
      <c r="L69" s="84">
        <f>J69</f>
        <v/>
      </c>
      <c r="M69" s="52">
        <f>INDEX(LR_Target,MATCH(B69,LR_Lane,0))</f>
        <v/>
      </c>
      <c r="N69" s="84">
        <f>WORKDAY.INTL(L69,M69,INDEX(LR_Code,MATCH(B69,LR_Lane,0)),INDEX(DH_Table,0,MATCH(B69&amp;"*",DH_Head,0)))</f>
        <v/>
      </c>
      <c r="O69" s="65">
        <f>IF(W69&lt;&gt;"",W69,IF(U69="Helmond",IF(COUNTIFS(RC_Lane,B69,RC_Band,E69,RC_Transit,"&lt;&gt;")=0,"",SUMIFS(RC_Transit,RC_Lane,B69,RC_Band,E69)),IF(U69="Other","",IF(INDEX(RS_Transit,MATCH(B69,RS_Lane,0))="","",INDEX(RS_Transit,MATCH(B69,RS_Lane,0))))))</f>
        <v/>
      </c>
      <c r="P69" s="140" t="n"/>
      <c r="Q69" s="84">
        <f>IF(P69&lt;&gt;"",P69,IF(O69="","",WORKDAY.INTL(L69,ROUNDUP(O69,0),INDEX(LR_Code,MATCH(B69,LR_Lane,0)),INDEX(DH_Table,0,MATCH(B69&amp;"*",DH_Head,0)))))</f>
        <v/>
      </c>
      <c r="R69" s="100">
        <f>IF(Q69="","",IF(Q69&lt;=N69,"Yes","No"))</f>
        <v/>
      </c>
      <c r="S69" s="52">
        <f>IF(Q69="","",IF(Q69&lt;=N69,0,NETWORKDAYS.INTL(N69,Q69,INDEX(LR_Code,MATCH(B69,LR_Lane,0)),INDEX(DH_Table,0,MATCH(B69&amp;"*",DH_Head,0)))-1))</f>
        <v/>
      </c>
      <c r="T69" s="127" t="n"/>
      <c r="U69" s="112">
        <f>IF(V69&lt;&gt;"",V69,IF(IFERROR(INDEX(RS_Flag,MATCH(B69,RS_Lane,0)),"")="Yes",IF(IFERROR(INDEX(RS_Loc,MATCH(B69,RS_Lane,0)),"")="","Regional stock",IFERROR(INDEX(RS_Loc,MATCH(B69,RS_Lane,0)),"")),"Helmond"))</f>
        <v/>
      </c>
      <c r="V69" s="141" t="n"/>
      <c r="W69" s="142" t="n"/>
      <c r="X69" s="143" t="n"/>
      <c r="Y69" s="116">
        <f>IF(X69&lt;&gt;"",X69,IF(U69="Helmond",IF(COUNTIFS(RC_Lane,B69,RC_Band,E69,RC_CostPS,"&gt;0")=0,"",SUMIFS(RC_CostPS,RC_Lane,B69,RC_Band,E69)),IF(U69="Other","",IF(INDEX(RS_Rate,MATCH(B69,RS_Lane,0))="","",INDEX(RS_Rate,MATCH(B69,RS_Lane,0))))))</f>
        <v/>
      </c>
    </row>
    <row r="70">
      <c r="A70" s="95" t="inlineStr">
        <is>
          <t>A-066</t>
        </is>
      </c>
      <c r="B70" s="112" t="inlineStr">
        <is>
          <t>L01</t>
        </is>
      </c>
      <c r="C70" s="101" t="inlineStr">
        <is>
          <t>Saudi Arabia</t>
        </is>
      </c>
      <c r="D70" s="101" t="inlineStr">
        <is>
          <t>Jeddah</t>
        </is>
      </c>
      <c r="E70" s="101" t="inlineStr">
        <is>
          <t>B1  0 to 30 kg</t>
        </is>
      </c>
      <c r="F70" s="123" t="n">
        <v>7</v>
      </c>
      <c r="G70" s="86">
        <f>F70*0.006477</f>
        <v/>
      </c>
      <c r="H70" s="123">
        <f>F70*1.079436</f>
        <v/>
      </c>
      <c r="I70" s="122">
        <f>MAX(1,ROUNDUP(G70/0.096,0))</f>
        <v/>
      </c>
      <c r="J70" s="84" t="n">
        <v>46554</v>
      </c>
      <c r="K70" s="87">
        <f>J70-WEEKDAY(J70,2)+1</f>
        <v/>
      </c>
      <c r="L70" s="84">
        <f>J70</f>
        <v/>
      </c>
      <c r="M70" s="52">
        <f>INDEX(LR_Target,MATCH(B70,LR_Lane,0))</f>
        <v/>
      </c>
      <c r="N70" s="84">
        <f>WORKDAY.INTL(L70,M70,INDEX(LR_Code,MATCH(B70,LR_Lane,0)),INDEX(DH_Table,0,MATCH(B70&amp;"*",DH_Head,0)))</f>
        <v/>
      </c>
      <c r="O70" s="65">
        <f>IF(W70&lt;&gt;"",W70,IF(U70="Helmond",IF(COUNTIFS(RC_Lane,B70,RC_Band,E70,RC_Transit,"&lt;&gt;")=0,"",SUMIFS(RC_Transit,RC_Lane,B70,RC_Band,E70)),IF(U70="Other","",IF(INDEX(RS_Transit,MATCH(B70,RS_Lane,0))="","",INDEX(RS_Transit,MATCH(B70,RS_Lane,0))))))</f>
        <v/>
      </c>
      <c r="P70" s="140" t="n"/>
      <c r="Q70" s="84">
        <f>IF(P70&lt;&gt;"",P70,IF(O70="","",WORKDAY.INTL(L70,ROUNDUP(O70,0),INDEX(LR_Code,MATCH(B70,LR_Lane,0)),INDEX(DH_Table,0,MATCH(B70&amp;"*",DH_Head,0)))))</f>
        <v/>
      </c>
      <c r="R70" s="100">
        <f>IF(Q70="","",IF(Q70&lt;=N70,"Yes","No"))</f>
        <v/>
      </c>
      <c r="S70" s="52">
        <f>IF(Q70="","",IF(Q70&lt;=N70,0,NETWORKDAYS.INTL(N70,Q70,INDEX(LR_Code,MATCH(B70,LR_Lane,0)),INDEX(DH_Table,0,MATCH(B70&amp;"*",DH_Head,0)))-1))</f>
        <v/>
      </c>
      <c r="T70" s="127" t="n"/>
      <c r="U70" s="112">
        <f>IF(V70&lt;&gt;"",V70,IF(IFERROR(INDEX(RS_Flag,MATCH(B70,RS_Lane,0)),"")="Yes",IF(IFERROR(INDEX(RS_Loc,MATCH(B70,RS_Lane,0)),"")="","Regional stock",IFERROR(INDEX(RS_Loc,MATCH(B70,RS_Lane,0)),"")),"Helmond"))</f>
        <v/>
      </c>
      <c r="V70" s="141" t="n"/>
      <c r="W70" s="142" t="n"/>
      <c r="X70" s="143" t="n"/>
      <c r="Y70" s="116">
        <f>IF(X70&lt;&gt;"",X70,IF(U70="Helmond",IF(COUNTIFS(RC_Lane,B70,RC_Band,E70,RC_CostPS,"&gt;0")=0,"",SUMIFS(RC_CostPS,RC_Lane,B70,RC_Band,E70)),IF(U70="Other","",IF(INDEX(RS_Rate,MATCH(B70,RS_Lane,0))="","",INDEX(RS_Rate,MATCH(B70,RS_Lane,0))))))</f>
        <v/>
      </c>
    </row>
    <row r="71">
      <c r="A71" s="95" t="inlineStr">
        <is>
          <t>A-067</t>
        </is>
      </c>
      <c r="B71" s="112" t="inlineStr">
        <is>
          <t>L04</t>
        </is>
      </c>
      <c r="C71" s="101" t="inlineStr">
        <is>
          <t>Qatar</t>
        </is>
      </c>
      <c r="D71" s="101" t="inlineStr">
        <is>
          <t>Doha</t>
        </is>
      </c>
      <c r="E71" s="101" t="inlineStr">
        <is>
          <t>B2  30 to 100 kg</t>
        </is>
      </c>
      <c r="F71" s="123" t="n">
        <v>55.6</v>
      </c>
      <c r="G71" s="86">
        <f>F71*0.006477</f>
        <v/>
      </c>
      <c r="H71" s="123">
        <f>F71*1.079436</f>
        <v/>
      </c>
      <c r="I71" s="122">
        <f>MAX(1,ROUNDUP(G71/0.096,0))</f>
        <v/>
      </c>
      <c r="J71" s="84" t="n">
        <v>46556</v>
      </c>
      <c r="K71" s="87">
        <f>J71-WEEKDAY(J71,2)+1</f>
        <v/>
      </c>
      <c r="L71" s="84">
        <f>J71</f>
        <v/>
      </c>
      <c r="M71" s="52">
        <f>INDEX(LR_Target,MATCH(B71,LR_Lane,0))</f>
        <v/>
      </c>
      <c r="N71" s="84">
        <f>WORKDAY.INTL(L71,M71,INDEX(LR_Code,MATCH(B71,LR_Lane,0)),INDEX(DH_Table,0,MATCH(B71&amp;"*",DH_Head,0)))</f>
        <v/>
      </c>
      <c r="O71" s="65">
        <f>IF(W71&lt;&gt;"",W71,IF(U71="Helmond",IF(COUNTIFS(RC_Lane,B71,RC_Band,E71,RC_Transit,"&lt;&gt;")=0,"",SUMIFS(RC_Transit,RC_Lane,B71,RC_Band,E71)),IF(U71="Other","",IF(INDEX(RS_Transit,MATCH(B71,RS_Lane,0))="","",INDEX(RS_Transit,MATCH(B71,RS_Lane,0))))))</f>
        <v/>
      </c>
      <c r="P71" s="140" t="n"/>
      <c r="Q71" s="84">
        <f>IF(P71&lt;&gt;"",P71,IF(O71="","",WORKDAY.INTL(L71,ROUNDUP(O71,0),INDEX(LR_Code,MATCH(B71,LR_Lane,0)),INDEX(DH_Table,0,MATCH(B71&amp;"*",DH_Head,0)))))</f>
        <v/>
      </c>
      <c r="R71" s="100">
        <f>IF(Q71="","",IF(Q71&lt;=N71,"Yes","No"))</f>
        <v/>
      </c>
      <c r="S71" s="52">
        <f>IF(Q71="","",IF(Q71&lt;=N71,0,NETWORKDAYS.INTL(N71,Q71,INDEX(LR_Code,MATCH(B71,LR_Lane,0)),INDEX(DH_Table,0,MATCH(B71&amp;"*",DH_Head,0)))-1))</f>
        <v/>
      </c>
      <c r="T71" s="127" t="n"/>
      <c r="U71" s="112">
        <f>IF(V71&lt;&gt;"",V71,IF(IFERROR(INDEX(RS_Flag,MATCH(B71,RS_Lane,0)),"")="Yes",IF(IFERROR(INDEX(RS_Loc,MATCH(B71,RS_Lane,0)),"")="","Regional stock",IFERROR(INDEX(RS_Loc,MATCH(B71,RS_Lane,0)),"")),"Helmond"))</f>
        <v/>
      </c>
      <c r="V71" s="141" t="n"/>
      <c r="W71" s="142" t="n"/>
      <c r="X71" s="143" t="n"/>
      <c r="Y71" s="116">
        <f>IF(X71&lt;&gt;"",X71,IF(U71="Helmond",IF(COUNTIFS(RC_Lane,B71,RC_Band,E71,RC_CostPS,"&gt;0")=0,"",SUMIFS(RC_CostPS,RC_Lane,B71,RC_Band,E71)),IF(U71="Other","",IF(INDEX(RS_Rate,MATCH(B71,RS_Lane,0))="","",INDEX(RS_Rate,MATCH(B71,RS_Lane,0))))))</f>
        <v/>
      </c>
    </row>
    <row r="72">
      <c r="A72" s="95" t="inlineStr">
        <is>
          <t>A-068</t>
        </is>
      </c>
      <c r="B72" s="112" t="inlineStr">
        <is>
          <t>L08</t>
        </is>
      </c>
      <c r="C72" s="101" t="inlineStr">
        <is>
          <t>Egypt</t>
        </is>
      </c>
      <c r="D72" s="101" t="inlineStr">
        <is>
          <t>Cairo area</t>
        </is>
      </c>
      <c r="E72" s="101" t="inlineStr">
        <is>
          <t>B1  0 to 30 kg</t>
        </is>
      </c>
      <c r="F72" s="123" t="n">
        <v>6</v>
      </c>
      <c r="G72" s="86">
        <f>F72*0.006477</f>
        <v/>
      </c>
      <c r="H72" s="123">
        <f>F72*1.079436</f>
        <v/>
      </c>
      <c r="I72" s="122">
        <f>MAX(1,ROUNDUP(G72/0.096,0))</f>
        <v/>
      </c>
      <c r="J72" s="84" t="n">
        <v>46556</v>
      </c>
      <c r="K72" s="87">
        <f>J72-WEEKDAY(J72,2)+1</f>
        <v/>
      </c>
      <c r="L72" s="84">
        <f>J72</f>
        <v/>
      </c>
      <c r="M72" s="52">
        <f>INDEX(LR_Target,MATCH(B72,LR_Lane,0))</f>
        <v/>
      </c>
      <c r="N72" s="84">
        <f>WORKDAY.INTL(L72,M72,INDEX(LR_Code,MATCH(B72,LR_Lane,0)),INDEX(DH_Table,0,MATCH(B72&amp;"*",DH_Head,0)))</f>
        <v/>
      </c>
      <c r="O72" s="65">
        <f>IF(W72&lt;&gt;"",W72,IF(U72="Helmond",IF(COUNTIFS(RC_Lane,B72,RC_Band,E72,RC_Transit,"&lt;&gt;")=0,"",SUMIFS(RC_Transit,RC_Lane,B72,RC_Band,E72)),IF(U72="Other","",IF(INDEX(RS_Transit,MATCH(B72,RS_Lane,0))="","",INDEX(RS_Transit,MATCH(B72,RS_Lane,0))))))</f>
        <v/>
      </c>
      <c r="P72" s="140" t="n"/>
      <c r="Q72" s="84">
        <f>IF(P72&lt;&gt;"",P72,IF(O72="","",WORKDAY.INTL(L72,ROUNDUP(O72,0),INDEX(LR_Code,MATCH(B72,LR_Lane,0)),INDEX(DH_Table,0,MATCH(B72&amp;"*",DH_Head,0)))))</f>
        <v/>
      </c>
      <c r="R72" s="100">
        <f>IF(Q72="","",IF(Q72&lt;=N72,"Yes","No"))</f>
        <v/>
      </c>
      <c r="S72" s="52">
        <f>IF(Q72="","",IF(Q72&lt;=N72,0,NETWORKDAYS.INTL(N72,Q72,INDEX(LR_Code,MATCH(B72,LR_Lane,0)),INDEX(DH_Table,0,MATCH(B72&amp;"*",DH_Head,0)))-1))</f>
        <v/>
      </c>
      <c r="T72" s="127" t="n"/>
      <c r="U72" s="112">
        <f>IF(V72&lt;&gt;"",V72,IF(IFERROR(INDEX(RS_Flag,MATCH(B72,RS_Lane,0)),"")="Yes",IF(IFERROR(INDEX(RS_Loc,MATCH(B72,RS_Lane,0)),"")="","Regional stock",IFERROR(INDEX(RS_Loc,MATCH(B72,RS_Lane,0)),"")),"Helmond"))</f>
        <v/>
      </c>
      <c r="V72" s="141" t="n"/>
      <c r="W72" s="142" t="n"/>
      <c r="X72" s="143" t="n"/>
      <c r="Y72" s="116">
        <f>IF(X72&lt;&gt;"",X72,IF(U72="Helmond",IF(COUNTIFS(RC_Lane,B72,RC_Band,E72,RC_CostPS,"&gt;0")=0,"",SUMIFS(RC_CostPS,RC_Lane,B72,RC_Band,E72)),IF(U72="Other","",IF(INDEX(RS_Rate,MATCH(B72,RS_Lane,0))="","",INDEX(RS_Rate,MATCH(B72,RS_Lane,0))))))</f>
        <v/>
      </c>
    </row>
    <row r="73">
      <c r="A73" s="95" t="inlineStr">
        <is>
          <t>A-069</t>
        </is>
      </c>
      <c r="B73" s="112" t="inlineStr">
        <is>
          <t>L01</t>
        </is>
      </c>
      <c r="C73" s="101" t="inlineStr">
        <is>
          <t>Saudi Arabia</t>
        </is>
      </c>
      <c r="D73" s="101" t="inlineStr">
        <is>
          <t>Jeddah</t>
        </is>
      </c>
      <c r="E73" s="101" t="inlineStr">
        <is>
          <t>B1  0 to 30 kg</t>
        </is>
      </c>
      <c r="F73" s="123" t="n">
        <v>8.5</v>
      </c>
      <c r="G73" s="86">
        <f>F73*0.006477</f>
        <v/>
      </c>
      <c r="H73" s="123">
        <f>F73*1.079436</f>
        <v/>
      </c>
      <c r="I73" s="122">
        <f>MAX(1,ROUNDUP(G73/0.096,0))</f>
        <v/>
      </c>
      <c r="J73" s="84" t="n">
        <v>46566</v>
      </c>
      <c r="K73" s="87">
        <f>J73-WEEKDAY(J73,2)+1</f>
        <v/>
      </c>
      <c r="L73" s="84">
        <f>J73</f>
        <v/>
      </c>
      <c r="M73" s="52">
        <f>INDEX(LR_Target,MATCH(B73,LR_Lane,0))</f>
        <v/>
      </c>
      <c r="N73" s="84">
        <f>WORKDAY.INTL(L73,M73,INDEX(LR_Code,MATCH(B73,LR_Lane,0)),INDEX(DH_Table,0,MATCH(B73&amp;"*",DH_Head,0)))</f>
        <v/>
      </c>
      <c r="O73" s="65">
        <f>IF(W73&lt;&gt;"",W73,IF(U73="Helmond",IF(COUNTIFS(RC_Lane,B73,RC_Band,E73,RC_Transit,"&lt;&gt;")=0,"",SUMIFS(RC_Transit,RC_Lane,B73,RC_Band,E73)),IF(U73="Other","",IF(INDEX(RS_Transit,MATCH(B73,RS_Lane,0))="","",INDEX(RS_Transit,MATCH(B73,RS_Lane,0))))))</f>
        <v/>
      </c>
      <c r="P73" s="140" t="n"/>
      <c r="Q73" s="84">
        <f>IF(P73&lt;&gt;"",P73,IF(O73="","",WORKDAY.INTL(L73,ROUNDUP(O73,0),INDEX(LR_Code,MATCH(B73,LR_Lane,0)),INDEX(DH_Table,0,MATCH(B73&amp;"*",DH_Head,0)))))</f>
        <v/>
      </c>
      <c r="R73" s="100">
        <f>IF(Q73="","",IF(Q73&lt;=N73,"Yes","No"))</f>
        <v/>
      </c>
      <c r="S73" s="52">
        <f>IF(Q73="","",IF(Q73&lt;=N73,0,NETWORKDAYS.INTL(N73,Q73,INDEX(LR_Code,MATCH(B73,LR_Lane,0)),INDEX(DH_Table,0,MATCH(B73&amp;"*",DH_Head,0)))-1))</f>
        <v/>
      </c>
      <c r="T73" s="127" t="n"/>
      <c r="U73" s="112">
        <f>IF(V73&lt;&gt;"",V73,IF(IFERROR(INDEX(RS_Flag,MATCH(B73,RS_Lane,0)),"")="Yes",IF(IFERROR(INDEX(RS_Loc,MATCH(B73,RS_Lane,0)),"")="","Regional stock",IFERROR(INDEX(RS_Loc,MATCH(B73,RS_Lane,0)),"")),"Helmond"))</f>
        <v/>
      </c>
      <c r="V73" s="141" t="n"/>
      <c r="W73" s="142" t="n"/>
      <c r="X73" s="143" t="n"/>
      <c r="Y73" s="116">
        <f>IF(X73&lt;&gt;"",X73,IF(U73="Helmond",IF(COUNTIFS(RC_Lane,B73,RC_Band,E73,RC_CostPS,"&gt;0")=0,"",SUMIFS(RC_CostPS,RC_Lane,B73,RC_Band,E73)),IF(U73="Other","",IF(INDEX(RS_Rate,MATCH(B73,RS_Lane,0))="","",INDEX(RS_Rate,MATCH(B73,RS_Lane,0))))))</f>
        <v/>
      </c>
    </row>
    <row r="74">
      <c r="A74" s="95" t="inlineStr">
        <is>
          <t>A-070</t>
        </is>
      </c>
      <c r="B74" s="112" t="inlineStr">
        <is>
          <t>L01</t>
        </is>
      </c>
      <c r="C74" s="101" t="inlineStr">
        <is>
          <t>Saudi Arabia</t>
        </is>
      </c>
      <c r="D74" s="101" t="inlineStr">
        <is>
          <t>Jeddah</t>
        </is>
      </c>
      <c r="E74" s="101" t="inlineStr">
        <is>
          <t>B4  500 to 2,000 kg</t>
        </is>
      </c>
      <c r="F74" s="123" t="n">
        <v>933.3</v>
      </c>
      <c r="G74" s="86">
        <f>F74*0.006477</f>
        <v/>
      </c>
      <c r="H74" s="123">
        <f>F74*1.079436</f>
        <v/>
      </c>
      <c r="I74" s="122">
        <f>MAX(1,ROUNDUP(G74/0.096,0))</f>
        <v/>
      </c>
      <c r="J74" s="84" t="n">
        <v>46567</v>
      </c>
      <c r="K74" s="87">
        <f>J74-WEEKDAY(J74,2)+1</f>
        <v/>
      </c>
      <c r="L74" s="84">
        <f>J74</f>
        <v/>
      </c>
      <c r="M74" s="52">
        <f>INDEX(LR_Target,MATCH(B74,LR_Lane,0))</f>
        <v/>
      </c>
      <c r="N74" s="84">
        <f>WORKDAY.INTL(L74,M74,INDEX(LR_Code,MATCH(B74,LR_Lane,0)),INDEX(DH_Table,0,MATCH(B74&amp;"*",DH_Head,0)))</f>
        <v/>
      </c>
      <c r="O74" s="65">
        <f>IF(W74&lt;&gt;"",W74,IF(U74="Helmond",IF(COUNTIFS(RC_Lane,B74,RC_Band,E74,RC_Transit,"&lt;&gt;")=0,"",SUMIFS(RC_Transit,RC_Lane,B74,RC_Band,E74)),IF(U74="Other","",IF(INDEX(RS_Transit,MATCH(B74,RS_Lane,0))="","",INDEX(RS_Transit,MATCH(B74,RS_Lane,0))))))</f>
        <v/>
      </c>
      <c r="P74" s="140" t="n"/>
      <c r="Q74" s="84">
        <f>IF(P74&lt;&gt;"",P74,IF(O74="","",WORKDAY.INTL(L74,ROUNDUP(O74,0),INDEX(LR_Code,MATCH(B74,LR_Lane,0)),INDEX(DH_Table,0,MATCH(B74&amp;"*",DH_Head,0)))))</f>
        <v/>
      </c>
      <c r="R74" s="100">
        <f>IF(Q74="","",IF(Q74&lt;=N74,"Yes","No"))</f>
        <v/>
      </c>
      <c r="S74" s="52">
        <f>IF(Q74="","",IF(Q74&lt;=N74,0,NETWORKDAYS.INTL(N74,Q74,INDEX(LR_Code,MATCH(B74,LR_Lane,0)),INDEX(DH_Table,0,MATCH(B74&amp;"*",DH_Head,0)))-1))</f>
        <v/>
      </c>
      <c r="T74" s="127" t="n"/>
      <c r="U74" s="112">
        <f>IF(V74&lt;&gt;"",V74,IF(IFERROR(INDEX(RS_Flag,MATCH(B74,RS_Lane,0)),"")="Yes",IF(IFERROR(INDEX(RS_Loc,MATCH(B74,RS_Lane,0)),"")="","Regional stock",IFERROR(INDEX(RS_Loc,MATCH(B74,RS_Lane,0)),"")),"Helmond"))</f>
        <v/>
      </c>
      <c r="V74" s="141" t="n"/>
      <c r="W74" s="142" t="n"/>
      <c r="X74" s="143" t="n"/>
      <c r="Y74" s="116">
        <f>IF(X74&lt;&gt;"",X74,IF(U74="Helmond",IF(COUNTIFS(RC_Lane,B74,RC_Band,E74,RC_CostPS,"&gt;0")=0,"",SUMIFS(RC_CostPS,RC_Lane,B74,RC_Band,E74)),IF(U74="Other","",IF(INDEX(RS_Rate,MATCH(B74,RS_Lane,0))="","",INDEX(RS_Rate,MATCH(B74,RS_Lane,0))))))</f>
        <v/>
      </c>
    </row>
    <row r="75">
      <c r="A75" s="95" t="inlineStr">
        <is>
          <t>A-071</t>
        </is>
      </c>
      <c r="B75" s="112" t="inlineStr">
        <is>
          <t>L02</t>
        </is>
      </c>
      <c r="C75" s="101" t="inlineStr">
        <is>
          <t>United Arab Emirates</t>
        </is>
      </c>
      <c r="D75" s="101" t="inlineStr">
        <is>
          <t>Dubai</t>
        </is>
      </c>
      <c r="E75" s="101" t="inlineStr">
        <is>
          <t>B1  0 to 30 kg</t>
        </is>
      </c>
      <c r="F75" s="123" t="n">
        <v>10.5</v>
      </c>
      <c r="G75" s="86">
        <f>F75*0.006477</f>
        <v/>
      </c>
      <c r="H75" s="123">
        <f>F75*1.079436</f>
        <v/>
      </c>
      <c r="I75" s="122">
        <f>MAX(1,ROUNDUP(G75/0.096,0))</f>
        <v/>
      </c>
      <c r="J75" s="84" t="n">
        <v>46568</v>
      </c>
      <c r="K75" s="87">
        <f>J75-WEEKDAY(J75,2)+1</f>
        <v/>
      </c>
      <c r="L75" s="84">
        <f>J75</f>
        <v/>
      </c>
      <c r="M75" s="52">
        <f>INDEX(LR_Target,MATCH(B75,LR_Lane,0))</f>
        <v/>
      </c>
      <c r="N75" s="84">
        <f>WORKDAY.INTL(L75,M75,INDEX(LR_Code,MATCH(B75,LR_Lane,0)),INDEX(DH_Table,0,MATCH(B75&amp;"*",DH_Head,0)))</f>
        <v/>
      </c>
      <c r="O75" s="65">
        <f>IF(W75&lt;&gt;"",W75,IF(U75="Helmond",IF(COUNTIFS(RC_Lane,B75,RC_Band,E75,RC_Transit,"&lt;&gt;")=0,"",SUMIFS(RC_Transit,RC_Lane,B75,RC_Band,E75)),IF(U75="Other","",IF(INDEX(RS_Transit,MATCH(B75,RS_Lane,0))="","",INDEX(RS_Transit,MATCH(B75,RS_Lane,0))))))</f>
        <v/>
      </c>
      <c r="P75" s="140" t="n"/>
      <c r="Q75" s="84">
        <f>IF(P75&lt;&gt;"",P75,IF(O75="","",WORKDAY.INTL(L75,ROUNDUP(O75,0),INDEX(LR_Code,MATCH(B75,LR_Lane,0)),INDEX(DH_Table,0,MATCH(B75&amp;"*",DH_Head,0)))))</f>
        <v/>
      </c>
      <c r="R75" s="100">
        <f>IF(Q75="","",IF(Q75&lt;=N75,"Yes","No"))</f>
        <v/>
      </c>
      <c r="S75" s="52">
        <f>IF(Q75="","",IF(Q75&lt;=N75,0,NETWORKDAYS.INTL(N75,Q75,INDEX(LR_Code,MATCH(B75,LR_Lane,0)),INDEX(DH_Table,0,MATCH(B75&amp;"*",DH_Head,0)))-1))</f>
        <v/>
      </c>
      <c r="T75" s="127" t="n"/>
      <c r="U75" s="112">
        <f>IF(V75&lt;&gt;"",V75,IF(IFERROR(INDEX(RS_Flag,MATCH(B75,RS_Lane,0)),"")="Yes",IF(IFERROR(INDEX(RS_Loc,MATCH(B75,RS_Lane,0)),"")="","Regional stock",IFERROR(INDEX(RS_Loc,MATCH(B75,RS_Lane,0)),"")),"Helmond"))</f>
        <v/>
      </c>
      <c r="V75" s="141" t="n"/>
      <c r="W75" s="142" t="n"/>
      <c r="X75" s="143" t="n"/>
      <c r="Y75" s="116">
        <f>IF(X75&lt;&gt;"",X75,IF(U75="Helmond",IF(COUNTIFS(RC_Lane,B75,RC_Band,E75,RC_CostPS,"&gt;0")=0,"",SUMIFS(RC_CostPS,RC_Lane,B75,RC_Band,E75)),IF(U75="Other","",IF(INDEX(RS_Rate,MATCH(B75,RS_Lane,0))="","",INDEX(RS_Rate,MATCH(B75,RS_Lane,0))))))</f>
        <v/>
      </c>
    </row>
    <row r="76">
      <c r="A76" s="95" t="inlineStr">
        <is>
          <t>A-072</t>
        </is>
      </c>
      <c r="B76" s="112" t="inlineStr">
        <is>
          <t>L02</t>
        </is>
      </c>
      <c r="C76" s="101" t="inlineStr">
        <is>
          <t>United Arab Emirates</t>
        </is>
      </c>
      <c r="D76" s="101" t="inlineStr">
        <is>
          <t>Dubai</t>
        </is>
      </c>
      <c r="E76" s="101" t="inlineStr">
        <is>
          <t>B1  0 to 30 kg</t>
        </is>
      </c>
      <c r="F76" s="123" t="n">
        <v>3.6</v>
      </c>
      <c r="G76" s="86">
        <f>F76*0.006477</f>
        <v/>
      </c>
      <c r="H76" s="123">
        <f>F76*1.079436</f>
        <v/>
      </c>
      <c r="I76" s="122">
        <f>MAX(1,ROUNDUP(G76/0.096,0))</f>
        <v/>
      </c>
      <c r="J76" s="84" t="n">
        <v>46574</v>
      </c>
      <c r="K76" s="87">
        <f>J76-WEEKDAY(J76,2)+1</f>
        <v/>
      </c>
      <c r="L76" s="84">
        <f>J76</f>
        <v/>
      </c>
      <c r="M76" s="52">
        <f>INDEX(LR_Target,MATCH(B76,LR_Lane,0))</f>
        <v/>
      </c>
      <c r="N76" s="84">
        <f>WORKDAY.INTL(L76,M76,INDEX(LR_Code,MATCH(B76,LR_Lane,0)),INDEX(DH_Table,0,MATCH(B76&amp;"*",DH_Head,0)))</f>
        <v/>
      </c>
      <c r="O76" s="65">
        <f>IF(W76&lt;&gt;"",W76,IF(U76="Helmond",IF(COUNTIFS(RC_Lane,B76,RC_Band,E76,RC_Transit,"&lt;&gt;")=0,"",SUMIFS(RC_Transit,RC_Lane,B76,RC_Band,E76)),IF(U76="Other","",IF(INDEX(RS_Transit,MATCH(B76,RS_Lane,0))="","",INDEX(RS_Transit,MATCH(B76,RS_Lane,0))))))</f>
        <v/>
      </c>
      <c r="P76" s="140" t="n"/>
      <c r="Q76" s="84">
        <f>IF(P76&lt;&gt;"",P76,IF(O76="","",WORKDAY.INTL(L76,ROUNDUP(O76,0),INDEX(LR_Code,MATCH(B76,LR_Lane,0)),INDEX(DH_Table,0,MATCH(B76&amp;"*",DH_Head,0)))))</f>
        <v/>
      </c>
      <c r="R76" s="100">
        <f>IF(Q76="","",IF(Q76&lt;=N76,"Yes","No"))</f>
        <v/>
      </c>
      <c r="S76" s="52">
        <f>IF(Q76="","",IF(Q76&lt;=N76,0,NETWORKDAYS.INTL(N76,Q76,INDEX(LR_Code,MATCH(B76,LR_Lane,0)),INDEX(DH_Table,0,MATCH(B76&amp;"*",DH_Head,0)))-1))</f>
        <v/>
      </c>
      <c r="T76" s="127" t="n"/>
      <c r="U76" s="112">
        <f>IF(V76&lt;&gt;"",V76,IF(IFERROR(INDEX(RS_Flag,MATCH(B76,RS_Lane,0)),"")="Yes",IF(IFERROR(INDEX(RS_Loc,MATCH(B76,RS_Lane,0)),"")="","Regional stock",IFERROR(INDEX(RS_Loc,MATCH(B76,RS_Lane,0)),"")),"Helmond"))</f>
        <v/>
      </c>
      <c r="V76" s="141" t="n"/>
      <c r="W76" s="142" t="n"/>
      <c r="X76" s="143" t="n"/>
      <c r="Y76" s="116">
        <f>IF(X76&lt;&gt;"",X76,IF(U76="Helmond",IF(COUNTIFS(RC_Lane,B76,RC_Band,E76,RC_CostPS,"&gt;0")=0,"",SUMIFS(RC_CostPS,RC_Lane,B76,RC_Band,E76)),IF(U76="Other","",IF(INDEX(RS_Rate,MATCH(B76,RS_Lane,0))="","",INDEX(RS_Rate,MATCH(B76,RS_Lane,0))))))</f>
        <v/>
      </c>
    </row>
    <row r="77">
      <c r="A77" s="95" t="inlineStr">
        <is>
          <t>A-073</t>
        </is>
      </c>
      <c r="B77" s="112" t="inlineStr">
        <is>
          <t>L03</t>
        </is>
      </c>
      <c r="C77" s="101" t="inlineStr">
        <is>
          <t>Kuwait</t>
        </is>
      </c>
      <c r="D77" s="101" t="inlineStr">
        <is>
          <t>Kuwait City</t>
        </is>
      </c>
      <c r="E77" s="101" t="inlineStr">
        <is>
          <t>B3  100 to 500 kg</t>
        </is>
      </c>
      <c r="F77" s="123" t="n">
        <v>339.9</v>
      </c>
      <c r="G77" s="86">
        <f>F77*0.006477</f>
        <v/>
      </c>
      <c r="H77" s="123">
        <f>F77*1.079436</f>
        <v/>
      </c>
      <c r="I77" s="122">
        <f>MAX(1,ROUNDUP(G77/0.096,0))</f>
        <v/>
      </c>
      <c r="J77" s="84" t="n">
        <v>46575</v>
      </c>
      <c r="K77" s="87">
        <f>J77-WEEKDAY(J77,2)+1</f>
        <v/>
      </c>
      <c r="L77" s="84">
        <f>J77</f>
        <v/>
      </c>
      <c r="M77" s="52">
        <f>INDEX(LR_Target,MATCH(B77,LR_Lane,0))</f>
        <v/>
      </c>
      <c r="N77" s="84">
        <f>WORKDAY.INTL(L77,M77,INDEX(LR_Code,MATCH(B77,LR_Lane,0)),INDEX(DH_Table,0,MATCH(B77&amp;"*",DH_Head,0)))</f>
        <v/>
      </c>
      <c r="O77" s="65">
        <f>IF(W77&lt;&gt;"",W77,IF(U77="Helmond",IF(COUNTIFS(RC_Lane,B77,RC_Band,E77,RC_Transit,"&lt;&gt;")=0,"",SUMIFS(RC_Transit,RC_Lane,B77,RC_Band,E77)),IF(U77="Other","",IF(INDEX(RS_Transit,MATCH(B77,RS_Lane,0))="","",INDEX(RS_Transit,MATCH(B77,RS_Lane,0))))))</f>
        <v/>
      </c>
      <c r="P77" s="140" t="n"/>
      <c r="Q77" s="84">
        <f>IF(P77&lt;&gt;"",P77,IF(O77="","",WORKDAY.INTL(L77,ROUNDUP(O77,0),INDEX(LR_Code,MATCH(B77,LR_Lane,0)),INDEX(DH_Table,0,MATCH(B77&amp;"*",DH_Head,0)))))</f>
        <v/>
      </c>
      <c r="R77" s="100">
        <f>IF(Q77="","",IF(Q77&lt;=N77,"Yes","No"))</f>
        <v/>
      </c>
      <c r="S77" s="52">
        <f>IF(Q77="","",IF(Q77&lt;=N77,0,NETWORKDAYS.INTL(N77,Q77,INDEX(LR_Code,MATCH(B77,LR_Lane,0)),INDEX(DH_Table,0,MATCH(B77&amp;"*",DH_Head,0)))-1))</f>
        <v/>
      </c>
      <c r="T77" s="127" t="n"/>
      <c r="U77" s="112">
        <f>IF(V77&lt;&gt;"",V77,IF(IFERROR(INDEX(RS_Flag,MATCH(B77,RS_Lane,0)),"")="Yes",IF(IFERROR(INDEX(RS_Loc,MATCH(B77,RS_Lane,0)),"")="","Regional stock",IFERROR(INDEX(RS_Loc,MATCH(B77,RS_Lane,0)),"")),"Helmond"))</f>
        <v/>
      </c>
      <c r="V77" s="141" t="n"/>
      <c r="W77" s="142" t="n"/>
      <c r="X77" s="143" t="n"/>
      <c r="Y77" s="116">
        <f>IF(X77&lt;&gt;"",X77,IF(U77="Helmond",IF(COUNTIFS(RC_Lane,B77,RC_Band,E77,RC_CostPS,"&gt;0")=0,"",SUMIFS(RC_CostPS,RC_Lane,B77,RC_Band,E77)),IF(U77="Other","",IF(INDEX(RS_Rate,MATCH(B77,RS_Lane,0))="","",INDEX(RS_Rate,MATCH(B77,RS_Lane,0))))))</f>
        <v/>
      </c>
    </row>
    <row r="78">
      <c r="A78" s="95" t="inlineStr">
        <is>
          <t>A-074</t>
        </is>
      </c>
      <c r="B78" s="112" t="inlineStr">
        <is>
          <t>L04</t>
        </is>
      </c>
      <c r="C78" s="101" t="inlineStr">
        <is>
          <t>Qatar</t>
        </is>
      </c>
      <c r="D78" s="101" t="inlineStr">
        <is>
          <t>Doha</t>
        </is>
      </c>
      <c r="E78" s="101" t="inlineStr">
        <is>
          <t>B2  30 to 100 kg</t>
        </is>
      </c>
      <c r="F78" s="123" t="n">
        <v>57.5</v>
      </c>
      <c r="G78" s="86">
        <f>F78*0.006477</f>
        <v/>
      </c>
      <c r="H78" s="123">
        <f>F78*1.079436</f>
        <v/>
      </c>
      <c r="I78" s="122">
        <f>MAX(1,ROUNDUP(G78/0.096,0))</f>
        <v/>
      </c>
      <c r="J78" s="84" t="n">
        <v>46576</v>
      </c>
      <c r="K78" s="87">
        <f>J78-WEEKDAY(J78,2)+1</f>
        <v/>
      </c>
      <c r="L78" s="84">
        <f>J78</f>
        <v/>
      </c>
      <c r="M78" s="52">
        <f>INDEX(LR_Target,MATCH(B78,LR_Lane,0))</f>
        <v/>
      </c>
      <c r="N78" s="84">
        <f>WORKDAY.INTL(L78,M78,INDEX(LR_Code,MATCH(B78,LR_Lane,0)),INDEX(DH_Table,0,MATCH(B78&amp;"*",DH_Head,0)))</f>
        <v/>
      </c>
      <c r="O78" s="65">
        <f>IF(W78&lt;&gt;"",W78,IF(U78="Helmond",IF(COUNTIFS(RC_Lane,B78,RC_Band,E78,RC_Transit,"&lt;&gt;")=0,"",SUMIFS(RC_Transit,RC_Lane,B78,RC_Band,E78)),IF(U78="Other","",IF(INDEX(RS_Transit,MATCH(B78,RS_Lane,0))="","",INDEX(RS_Transit,MATCH(B78,RS_Lane,0))))))</f>
        <v/>
      </c>
      <c r="P78" s="140" t="n"/>
      <c r="Q78" s="84">
        <f>IF(P78&lt;&gt;"",P78,IF(O78="","",WORKDAY.INTL(L78,ROUNDUP(O78,0),INDEX(LR_Code,MATCH(B78,LR_Lane,0)),INDEX(DH_Table,0,MATCH(B78&amp;"*",DH_Head,0)))))</f>
        <v/>
      </c>
      <c r="R78" s="100">
        <f>IF(Q78="","",IF(Q78&lt;=N78,"Yes","No"))</f>
        <v/>
      </c>
      <c r="S78" s="52">
        <f>IF(Q78="","",IF(Q78&lt;=N78,0,NETWORKDAYS.INTL(N78,Q78,INDEX(LR_Code,MATCH(B78,LR_Lane,0)),INDEX(DH_Table,0,MATCH(B78&amp;"*",DH_Head,0)))-1))</f>
        <v/>
      </c>
      <c r="T78" s="127" t="n"/>
      <c r="U78" s="112">
        <f>IF(V78&lt;&gt;"",V78,IF(IFERROR(INDEX(RS_Flag,MATCH(B78,RS_Lane,0)),"")="Yes",IF(IFERROR(INDEX(RS_Loc,MATCH(B78,RS_Lane,0)),"")="","Regional stock",IFERROR(INDEX(RS_Loc,MATCH(B78,RS_Lane,0)),"")),"Helmond"))</f>
        <v/>
      </c>
      <c r="V78" s="141" t="n"/>
      <c r="W78" s="142" t="n"/>
      <c r="X78" s="143" t="n"/>
      <c r="Y78" s="116">
        <f>IF(X78&lt;&gt;"",X78,IF(U78="Helmond",IF(COUNTIFS(RC_Lane,B78,RC_Band,E78,RC_CostPS,"&gt;0")=0,"",SUMIFS(RC_CostPS,RC_Lane,B78,RC_Band,E78)),IF(U78="Other","",IF(INDEX(RS_Rate,MATCH(B78,RS_Lane,0))="","",INDEX(RS_Rate,MATCH(B78,RS_Lane,0))))))</f>
        <v/>
      </c>
    </row>
    <row r="79">
      <c r="A79" s="95" t="inlineStr">
        <is>
          <t>A-075</t>
        </is>
      </c>
      <c r="B79" s="112" t="inlineStr">
        <is>
          <t>L01</t>
        </is>
      </c>
      <c r="C79" s="101" t="inlineStr">
        <is>
          <t>Saudi Arabia</t>
        </is>
      </c>
      <c r="D79" s="101" t="inlineStr">
        <is>
          <t>Jeddah</t>
        </is>
      </c>
      <c r="E79" s="101" t="inlineStr">
        <is>
          <t>B1  0 to 30 kg</t>
        </is>
      </c>
      <c r="F79" s="123" t="n">
        <v>10.6</v>
      </c>
      <c r="G79" s="86">
        <f>F79*0.006477</f>
        <v/>
      </c>
      <c r="H79" s="123">
        <f>F79*1.079436</f>
        <v/>
      </c>
      <c r="I79" s="122">
        <f>MAX(1,ROUNDUP(G79/0.096,0))</f>
        <v/>
      </c>
      <c r="J79" s="84" t="n">
        <v>46577</v>
      </c>
      <c r="K79" s="87">
        <f>J79-WEEKDAY(J79,2)+1</f>
        <v/>
      </c>
      <c r="L79" s="84">
        <f>J79</f>
        <v/>
      </c>
      <c r="M79" s="52">
        <f>INDEX(LR_Target,MATCH(B79,LR_Lane,0))</f>
        <v/>
      </c>
      <c r="N79" s="84">
        <f>WORKDAY.INTL(L79,M79,INDEX(LR_Code,MATCH(B79,LR_Lane,0)),INDEX(DH_Table,0,MATCH(B79&amp;"*",DH_Head,0)))</f>
        <v/>
      </c>
      <c r="O79" s="65">
        <f>IF(W79&lt;&gt;"",W79,IF(U79="Helmond",IF(COUNTIFS(RC_Lane,B79,RC_Band,E79,RC_Transit,"&lt;&gt;")=0,"",SUMIFS(RC_Transit,RC_Lane,B79,RC_Band,E79)),IF(U79="Other","",IF(INDEX(RS_Transit,MATCH(B79,RS_Lane,0))="","",INDEX(RS_Transit,MATCH(B79,RS_Lane,0))))))</f>
        <v/>
      </c>
      <c r="P79" s="140" t="n"/>
      <c r="Q79" s="84">
        <f>IF(P79&lt;&gt;"",P79,IF(O79="","",WORKDAY.INTL(L79,ROUNDUP(O79,0),INDEX(LR_Code,MATCH(B79,LR_Lane,0)),INDEX(DH_Table,0,MATCH(B79&amp;"*",DH_Head,0)))))</f>
        <v/>
      </c>
      <c r="R79" s="100">
        <f>IF(Q79="","",IF(Q79&lt;=N79,"Yes","No"))</f>
        <v/>
      </c>
      <c r="S79" s="52">
        <f>IF(Q79="","",IF(Q79&lt;=N79,0,NETWORKDAYS.INTL(N79,Q79,INDEX(LR_Code,MATCH(B79,LR_Lane,0)),INDEX(DH_Table,0,MATCH(B79&amp;"*",DH_Head,0)))-1))</f>
        <v/>
      </c>
      <c r="T79" s="127" t="n"/>
      <c r="U79" s="112">
        <f>IF(V79&lt;&gt;"",V79,IF(IFERROR(INDEX(RS_Flag,MATCH(B79,RS_Lane,0)),"")="Yes",IF(IFERROR(INDEX(RS_Loc,MATCH(B79,RS_Lane,0)),"")="","Regional stock",IFERROR(INDEX(RS_Loc,MATCH(B79,RS_Lane,0)),"")),"Helmond"))</f>
        <v/>
      </c>
      <c r="V79" s="141" t="n"/>
      <c r="W79" s="142" t="n"/>
      <c r="X79" s="143" t="n"/>
      <c r="Y79" s="116">
        <f>IF(X79&lt;&gt;"",X79,IF(U79="Helmond",IF(COUNTIFS(RC_Lane,B79,RC_Band,E79,RC_CostPS,"&gt;0")=0,"",SUMIFS(RC_CostPS,RC_Lane,B79,RC_Band,E79)),IF(U79="Other","",IF(INDEX(RS_Rate,MATCH(B79,RS_Lane,0))="","",INDEX(RS_Rate,MATCH(B79,RS_Lane,0))))))</f>
        <v/>
      </c>
    </row>
    <row r="80">
      <c r="A80" s="95" t="inlineStr">
        <is>
          <t>A-076</t>
        </is>
      </c>
      <c r="B80" s="112" t="inlineStr">
        <is>
          <t>L01</t>
        </is>
      </c>
      <c r="C80" s="101" t="inlineStr">
        <is>
          <t>Saudi Arabia</t>
        </is>
      </c>
      <c r="D80" s="101" t="inlineStr">
        <is>
          <t>Riyadh</t>
        </is>
      </c>
      <c r="E80" s="101" t="inlineStr">
        <is>
          <t>B2  30 to 100 kg</t>
        </is>
      </c>
      <c r="F80" s="123" t="n">
        <v>75.3</v>
      </c>
      <c r="G80" s="86">
        <f>F80*0.006477</f>
        <v/>
      </c>
      <c r="H80" s="123">
        <f>F80*1.079436</f>
        <v/>
      </c>
      <c r="I80" s="122">
        <f>MAX(1,ROUNDUP(G80/0.096,0))</f>
        <v/>
      </c>
      <c r="J80" s="84" t="n">
        <v>46581</v>
      </c>
      <c r="K80" s="87">
        <f>J80-WEEKDAY(J80,2)+1</f>
        <v/>
      </c>
      <c r="L80" s="84">
        <f>J80</f>
        <v/>
      </c>
      <c r="M80" s="52">
        <f>INDEX(LR_Target,MATCH(B80,LR_Lane,0))</f>
        <v/>
      </c>
      <c r="N80" s="84">
        <f>WORKDAY.INTL(L80,M80,INDEX(LR_Code,MATCH(B80,LR_Lane,0)),INDEX(DH_Table,0,MATCH(B80&amp;"*",DH_Head,0)))</f>
        <v/>
      </c>
      <c r="O80" s="65">
        <f>IF(W80&lt;&gt;"",W80,IF(U80="Helmond",IF(COUNTIFS(RC_Lane,B80,RC_Band,E80,RC_Transit,"&lt;&gt;")=0,"",SUMIFS(RC_Transit,RC_Lane,B80,RC_Band,E80)),IF(U80="Other","",IF(INDEX(RS_Transit,MATCH(B80,RS_Lane,0))="","",INDEX(RS_Transit,MATCH(B80,RS_Lane,0))))))</f>
        <v/>
      </c>
      <c r="P80" s="140" t="n"/>
      <c r="Q80" s="84">
        <f>IF(P80&lt;&gt;"",P80,IF(O80="","",WORKDAY.INTL(L80,ROUNDUP(O80,0),INDEX(LR_Code,MATCH(B80,LR_Lane,0)),INDEX(DH_Table,0,MATCH(B80&amp;"*",DH_Head,0)))))</f>
        <v/>
      </c>
      <c r="R80" s="100">
        <f>IF(Q80="","",IF(Q80&lt;=N80,"Yes","No"))</f>
        <v/>
      </c>
      <c r="S80" s="52">
        <f>IF(Q80="","",IF(Q80&lt;=N80,0,NETWORKDAYS.INTL(N80,Q80,INDEX(LR_Code,MATCH(B80,LR_Lane,0)),INDEX(DH_Table,0,MATCH(B80&amp;"*",DH_Head,0)))-1))</f>
        <v/>
      </c>
      <c r="T80" s="127" t="n"/>
      <c r="U80" s="112">
        <f>IF(V80&lt;&gt;"",V80,IF(IFERROR(INDEX(RS_Flag,MATCH(B80,RS_Lane,0)),"")="Yes",IF(IFERROR(INDEX(RS_Loc,MATCH(B80,RS_Lane,0)),"")="","Regional stock",IFERROR(INDEX(RS_Loc,MATCH(B80,RS_Lane,0)),"")),"Helmond"))</f>
        <v/>
      </c>
      <c r="V80" s="141" t="n"/>
      <c r="W80" s="142" t="n"/>
      <c r="X80" s="143" t="n"/>
      <c r="Y80" s="116">
        <f>IF(X80&lt;&gt;"",X80,IF(U80="Helmond",IF(COUNTIFS(RC_Lane,B80,RC_Band,E80,RC_CostPS,"&gt;0")=0,"",SUMIFS(RC_CostPS,RC_Lane,B80,RC_Band,E80)),IF(U80="Other","",IF(INDEX(RS_Rate,MATCH(B80,RS_Lane,0))="","",INDEX(RS_Rate,MATCH(B80,RS_Lane,0))))))</f>
        <v/>
      </c>
    </row>
    <row r="81">
      <c r="A81" s="95" t="inlineStr">
        <is>
          <t>A-077</t>
        </is>
      </c>
      <c r="B81" s="112" t="inlineStr">
        <is>
          <t>L02</t>
        </is>
      </c>
      <c r="C81" s="101" t="inlineStr">
        <is>
          <t>United Arab Emirates</t>
        </is>
      </c>
      <c r="D81" s="101" t="inlineStr">
        <is>
          <t>Dubai</t>
        </is>
      </c>
      <c r="E81" s="101" t="inlineStr">
        <is>
          <t>B1  0 to 30 kg</t>
        </is>
      </c>
      <c r="F81" s="123" t="n">
        <v>8.9</v>
      </c>
      <c r="G81" s="86">
        <f>F81*0.006477</f>
        <v/>
      </c>
      <c r="H81" s="123">
        <f>F81*1.079436</f>
        <v/>
      </c>
      <c r="I81" s="122">
        <f>MAX(1,ROUNDUP(G81/0.096,0))</f>
        <v/>
      </c>
      <c r="J81" s="84" t="n">
        <v>46583</v>
      </c>
      <c r="K81" s="87">
        <f>J81-WEEKDAY(J81,2)+1</f>
        <v/>
      </c>
      <c r="L81" s="84">
        <f>J81</f>
        <v/>
      </c>
      <c r="M81" s="52">
        <f>INDEX(LR_Target,MATCH(B81,LR_Lane,0))</f>
        <v/>
      </c>
      <c r="N81" s="84">
        <f>WORKDAY.INTL(L81,M81,INDEX(LR_Code,MATCH(B81,LR_Lane,0)),INDEX(DH_Table,0,MATCH(B81&amp;"*",DH_Head,0)))</f>
        <v/>
      </c>
      <c r="O81" s="65">
        <f>IF(W81&lt;&gt;"",W81,IF(U81="Helmond",IF(COUNTIFS(RC_Lane,B81,RC_Band,E81,RC_Transit,"&lt;&gt;")=0,"",SUMIFS(RC_Transit,RC_Lane,B81,RC_Band,E81)),IF(U81="Other","",IF(INDEX(RS_Transit,MATCH(B81,RS_Lane,0))="","",INDEX(RS_Transit,MATCH(B81,RS_Lane,0))))))</f>
        <v/>
      </c>
      <c r="P81" s="140" t="n"/>
      <c r="Q81" s="84">
        <f>IF(P81&lt;&gt;"",P81,IF(O81="","",WORKDAY.INTL(L81,ROUNDUP(O81,0),INDEX(LR_Code,MATCH(B81,LR_Lane,0)),INDEX(DH_Table,0,MATCH(B81&amp;"*",DH_Head,0)))))</f>
        <v/>
      </c>
      <c r="R81" s="100">
        <f>IF(Q81="","",IF(Q81&lt;=N81,"Yes","No"))</f>
        <v/>
      </c>
      <c r="S81" s="52">
        <f>IF(Q81="","",IF(Q81&lt;=N81,0,NETWORKDAYS.INTL(N81,Q81,INDEX(LR_Code,MATCH(B81,LR_Lane,0)),INDEX(DH_Table,0,MATCH(B81&amp;"*",DH_Head,0)))-1))</f>
        <v/>
      </c>
      <c r="T81" s="127" t="n"/>
      <c r="U81" s="112">
        <f>IF(V81&lt;&gt;"",V81,IF(IFERROR(INDEX(RS_Flag,MATCH(B81,RS_Lane,0)),"")="Yes",IF(IFERROR(INDEX(RS_Loc,MATCH(B81,RS_Lane,0)),"")="","Regional stock",IFERROR(INDEX(RS_Loc,MATCH(B81,RS_Lane,0)),"")),"Helmond"))</f>
        <v/>
      </c>
      <c r="V81" s="141" t="n"/>
      <c r="W81" s="142" t="n"/>
      <c r="X81" s="143" t="n"/>
      <c r="Y81" s="116">
        <f>IF(X81&lt;&gt;"",X81,IF(U81="Helmond",IF(COUNTIFS(RC_Lane,B81,RC_Band,E81,RC_CostPS,"&gt;0")=0,"",SUMIFS(RC_CostPS,RC_Lane,B81,RC_Band,E81)),IF(U81="Other","",IF(INDEX(RS_Rate,MATCH(B81,RS_Lane,0))="","",INDEX(RS_Rate,MATCH(B81,RS_Lane,0))))))</f>
        <v/>
      </c>
    </row>
    <row r="82">
      <c r="A82" s="95" t="inlineStr">
        <is>
          <t>A-078</t>
        </is>
      </c>
      <c r="B82" s="112" t="inlineStr">
        <is>
          <t>L08</t>
        </is>
      </c>
      <c r="C82" s="101" t="inlineStr">
        <is>
          <t>Egypt</t>
        </is>
      </c>
      <c r="D82" s="101" t="inlineStr">
        <is>
          <t>Cairo area</t>
        </is>
      </c>
      <c r="E82" s="101" t="inlineStr">
        <is>
          <t>B2  30 to 100 kg</t>
        </is>
      </c>
      <c r="F82" s="123" t="n">
        <v>52</v>
      </c>
      <c r="G82" s="86">
        <f>F82*0.006477</f>
        <v/>
      </c>
      <c r="H82" s="123">
        <f>F82*1.079436</f>
        <v/>
      </c>
      <c r="I82" s="122">
        <f>MAX(1,ROUNDUP(G82/0.096,0))</f>
        <v/>
      </c>
      <c r="J82" s="84" t="n">
        <v>46584</v>
      </c>
      <c r="K82" s="87">
        <f>J82-WEEKDAY(J82,2)+1</f>
        <v/>
      </c>
      <c r="L82" s="84">
        <f>J82</f>
        <v/>
      </c>
      <c r="M82" s="52">
        <f>INDEX(LR_Target,MATCH(B82,LR_Lane,0))</f>
        <v/>
      </c>
      <c r="N82" s="84">
        <f>WORKDAY.INTL(L82,M82,INDEX(LR_Code,MATCH(B82,LR_Lane,0)),INDEX(DH_Table,0,MATCH(B82&amp;"*",DH_Head,0)))</f>
        <v/>
      </c>
      <c r="O82" s="65">
        <f>IF(W82&lt;&gt;"",W82,IF(U82="Helmond",IF(COUNTIFS(RC_Lane,B82,RC_Band,E82,RC_Transit,"&lt;&gt;")=0,"",SUMIFS(RC_Transit,RC_Lane,B82,RC_Band,E82)),IF(U82="Other","",IF(INDEX(RS_Transit,MATCH(B82,RS_Lane,0))="","",INDEX(RS_Transit,MATCH(B82,RS_Lane,0))))))</f>
        <v/>
      </c>
      <c r="P82" s="140" t="n"/>
      <c r="Q82" s="84">
        <f>IF(P82&lt;&gt;"",P82,IF(O82="","",WORKDAY.INTL(L82,ROUNDUP(O82,0),INDEX(LR_Code,MATCH(B82,LR_Lane,0)),INDEX(DH_Table,0,MATCH(B82&amp;"*",DH_Head,0)))))</f>
        <v/>
      </c>
      <c r="R82" s="100">
        <f>IF(Q82="","",IF(Q82&lt;=N82,"Yes","No"))</f>
        <v/>
      </c>
      <c r="S82" s="52">
        <f>IF(Q82="","",IF(Q82&lt;=N82,0,NETWORKDAYS.INTL(N82,Q82,INDEX(LR_Code,MATCH(B82,LR_Lane,0)),INDEX(DH_Table,0,MATCH(B82&amp;"*",DH_Head,0)))-1))</f>
        <v/>
      </c>
      <c r="T82" s="127" t="n"/>
      <c r="U82" s="112">
        <f>IF(V82&lt;&gt;"",V82,IF(IFERROR(INDEX(RS_Flag,MATCH(B82,RS_Lane,0)),"")="Yes",IF(IFERROR(INDEX(RS_Loc,MATCH(B82,RS_Lane,0)),"")="","Regional stock",IFERROR(INDEX(RS_Loc,MATCH(B82,RS_Lane,0)),"")),"Helmond"))</f>
        <v/>
      </c>
      <c r="V82" s="141" t="n"/>
      <c r="W82" s="142" t="n"/>
      <c r="X82" s="143" t="n"/>
      <c r="Y82" s="116">
        <f>IF(X82&lt;&gt;"",X82,IF(U82="Helmond",IF(COUNTIFS(RC_Lane,B82,RC_Band,E82,RC_CostPS,"&gt;0")=0,"",SUMIFS(RC_CostPS,RC_Lane,B82,RC_Band,E82)),IF(U82="Other","",IF(INDEX(RS_Rate,MATCH(B82,RS_Lane,0))="","",INDEX(RS_Rate,MATCH(B82,RS_Lane,0))))))</f>
        <v/>
      </c>
    </row>
    <row r="83">
      <c r="A83" s="95" t="inlineStr">
        <is>
          <t>A-079</t>
        </is>
      </c>
      <c r="B83" s="112" t="inlineStr">
        <is>
          <t>L05</t>
        </is>
      </c>
      <c r="C83" s="101" t="inlineStr">
        <is>
          <t>Türkiye</t>
        </is>
      </c>
      <c r="D83" s="101" t="inlineStr">
        <is>
          <t>Istanbul</t>
        </is>
      </c>
      <c r="E83" s="101" t="inlineStr">
        <is>
          <t>B1  0 to 30 kg</t>
        </is>
      </c>
      <c r="F83" s="123" t="n">
        <v>2.3</v>
      </c>
      <c r="G83" s="86">
        <f>F83*0.006477</f>
        <v/>
      </c>
      <c r="H83" s="123">
        <f>F83*1.079436</f>
        <v/>
      </c>
      <c r="I83" s="122">
        <f>MAX(1,ROUNDUP(G83/0.096,0))</f>
        <v/>
      </c>
      <c r="J83" s="84" t="n">
        <v>46587</v>
      </c>
      <c r="K83" s="87">
        <f>J83-WEEKDAY(J83,2)+1</f>
        <v/>
      </c>
      <c r="L83" s="84">
        <f>J83</f>
        <v/>
      </c>
      <c r="M83" s="52">
        <f>INDEX(LR_Target,MATCH(B83,LR_Lane,0))</f>
        <v/>
      </c>
      <c r="N83" s="84">
        <f>WORKDAY.INTL(L83,M83,INDEX(LR_Code,MATCH(B83,LR_Lane,0)),INDEX(DH_Table,0,MATCH(B83&amp;"*",DH_Head,0)))</f>
        <v/>
      </c>
      <c r="O83" s="65">
        <f>IF(W83&lt;&gt;"",W83,IF(U83="Helmond",IF(COUNTIFS(RC_Lane,B83,RC_Band,E83,RC_Transit,"&lt;&gt;")=0,"",SUMIFS(RC_Transit,RC_Lane,B83,RC_Band,E83)),IF(U83="Other","",IF(INDEX(RS_Transit,MATCH(B83,RS_Lane,0))="","",INDEX(RS_Transit,MATCH(B83,RS_Lane,0))))))</f>
        <v/>
      </c>
      <c r="P83" s="140" t="n"/>
      <c r="Q83" s="84">
        <f>IF(P83&lt;&gt;"",P83,IF(O83="","",WORKDAY.INTL(L83,ROUNDUP(O83,0),INDEX(LR_Code,MATCH(B83,LR_Lane,0)),INDEX(DH_Table,0,MATCH(B83&amp;"*",DH_Head,0)))))</f>
        <v/>
      </c>
      <c r="R83" s="100">
        <f>IF(Q83="","",IF(Q83&lt;=N83,"Yes","No"))</f>
        <v/>
      </c>
      <c r="S83" s="52">
        <f>IF(Q83="","",IF(Q83&lt;=N83,0,NETWORKDAYS.INTL(N83,Q83,INDEX(LR_Code,MATCH(B83,LR_Lane,0)),INDEX(DH_Table,0,MATCH(B83&amp;"*",DH_Head,0)))-1))</f>
        <v/>
      </c>
      <c r="T83" s="127" t="n"/>
      <c r="U83" s="112">
        <f>IF(V83&lt;&gt;"",V83,IF(IFERROR(INDEX(RS_Flag,MATCH(B83,RS_Lane,0)),"")="Yes",IF(IFERROR(INDEX(RS_Loc,MATCH(B83,RS_Lane,0)),"")="","Regional stock",IFERROR(INDEX(RS_Loc,MATCH(B83,RS_Lane,0)),"")),"Helmond"))</f>
        <v/>
      </c>
      <c r="V83" s="141" t="n"/>
      <c r="W83" s="142" t="n"/>
      <c r="X83" s="143" t="n"/>
      <c r="Y83" s="116">
        <f>IF(X83&lt;&gt;"",X83,IF(U83="Helmond",IF(COUNTIFS(RC_Lane,B83,RC_Band,E83,RC_CostPS,"&gt;0")=0,"",SUMIFS(RC_CostPS,RC_Lane,B83,RC_Band,E83)),IF(U83="Other","",IF(INDEX(RS_Rate,MATCH(B83,RS_Lane,0))="","",INDEX(RS_Rate,MATCH(B83,RS_Lane,0))))))</f>
        <v/>
      </c>
    </row>
    <row r="84">
      <c r="A84" s="95" t="inlineStr">
        <is>
          <t>A-080</t>
        </is>
      </c>
      <c r="B84" s="112" t="inlineStr">
        <is>
          <t>L01</t>
        </is>
      </c>
      <c r="C84" s="101" t="inlineStr">
        <is>
          <t>Saudi Arabia</t>
        </is>
      </c>
      <c r="D84" s="101" t="inlineStr">
        <is>
          <t>Riyadh</t>
        </is>
      </c>
      <c r="E84" s="101" t="inlineStr">
        <is>
          <t>B1  0 to 30 kg</t>
        </is>
      </c>
      <c r="F84" s="123" t="n">
        <v>5.2</v>
      </c>
      <c r="G84" s="86">
        <f>F84*0.006477</f>
        <v/>
      </c>
      <c r="H84" s="123">
        <f>F84*1.079436</f>
        <v/>
      </c>
      <c r="I84" s="122">
        <f>MAX(1,ROUNDUP(G84/0.096,0))</f>
        <v/>
      </c>
      <c r="J84" s="84" t="n">
        <v>46597</v>
      </c>
      <c r="K84" s="87">
        <f>J84-WEEKDAY(J84,2)+1</f>
        <v/>
      </c>
      <c r="L84" s="84">
        <f>J84</f>
        <v/>
      </c>
      <c r="M84" s="52">
        <f>INDEX(LR_Target,MATCH(B84,LR_Lane,0))</f>
        <v/>
      </c>
      <c r="N84" s="84">
        <f>WORKDAY.INTL(L84,M84,INDEX(LR_Code,MATCH(B84,LR_Lane,0)),INDEX(DH_Table,0,MATCH(B84&amp;"*",DH_Head,0)))</f>
        <v/>
      </c>
      <c r="O84" s="65">
        <f>IF(W84&lt;&gt;"",W84,IF(U84="Helmond",IF(COUNTIFS(RC_Lane,B84,RC_Band,E84,RC_Transit,"&lt;&gt;")=0,"",SUMIFS(RC_Transit,RC_Lane,B84,RC_Band,E84)),IF(U84="Other","",IF(INDEX(RS_Transit,MATCH(B84,RS_Lane,0))="","",INDEX(RS_Transit,MATCH(B84,RS_Lane,0))))))</f>
        <v/>
      </c>
      <c r="P84" s="140" t="n"/>
      <c r="Q84" s="84">
        <f>IF(P84&lt;&gt;"",P84,IF(O84="","",WORKDAY.INTL(L84,ROUNDUP(O84,0),INDEX(LR_Code,MATCH(B84,LR_Lane,0)),INDEX(DH_Table,0,MATCH(B84&amp;"*",DH_Head,0)))))</f>
        <v/>
      </c>
      <c r="R84" s="100">
        <f>IF(Q84="","",IF(Q84&lt;=N84,"Yes","No"))</f>
        <v/>
      </c>
      <c r="S84" s="52">
        <f>IF(Q84="","",IF(Q84&lt;=N84,0,NETWORKDAYS.INTL(N84,Q84,INDEX(LR_Code,MATCH(B84,LR_Lane,0)),INDEX(DH_Table,0,MATCH(B84&amp;"*",DH_Head,0)))-1))</f>
        <v/>
      </c>
      <c r="T84" s="127" t="n"/>
      <c r="U84" s="112">
        <f>IF(V84&lt;&gt;"",V84,IF(IFERROR(INDEX(RS_Flag,MATCH(B84,RS_Lane,0)),"")="Yes",IF(IFERROR(INDEX(RS_Loc,MATCH(B84,RS_Lane,0)),"")="","Regional stock",IFERROR(INDEX(RS_Loc,MATCH(B84,RS_Lane,0)),"")),"Helmond"))</f>
        <v/>
      </c>
      <c r="V84" s="141" t="n"/>
      <c r="W84" s="142" t="n"/>
      <c r="X84" s="143" t="n"/>
      <c r="Y84" s="116">
        <f>IF(X84&lt;&gt;"",X84,IF(U84="Helmond",IF(COUNTIFS(RC_Lane,B84,RC_Band,E84,RC_CostPS,"&gt;0")=0,"",SUMIFS(RC_CostPS,RC_Lane,B84,RC_Band,E84)),IF(U84="Other","",IF(INDEX(RS_Rate,MATCH(B84,RS_Lane,0))="","",INDEX(RS_Rate,MATCH(B84,RS_Lane,0))))))</f>
        <v/>
      </c>
    </row>
    <row r="85">
      <c r="A85" s="95" t="inlineStr">
        <is>
          <t>A-081</t>
        </is>
      </c>
      <c r="B85" s="112" t="inlineStr">
        <is>
          <t>L02</t>
        </is>
      </c>
      <c r="C85" s="101" t="inlineStr">
        <is>
          <t>United Arab Emirates</t>
        </is>
      </c>
      <c r="D85" s="101" t="inlineStr">
        <is>
          <t>Dubai</t>
        </is>
      </c>
      <c r="E85" s="101" t="inlineStr">
        <is>
          <t>B1  0 to 30 kg</t>
        </is>
      </c>
      <c r="F85" s="123" t="n">
        <v>7.1</v>
      </c>
      <c r="G85" s="86">
        <f>F85*0.006477</f>
        <v/>
      </c>
      <c r="H85" s="123">
        <f>F85*1.079436</f>
        <v/>
      </c>
      <c r="I85" s="122">
        <f>MAX(1,ROUNDUP(G85/0.096,0))</f>
        <v/>
      </c>
      <c r="J85" s="84" t="n">
        <v>46597</v>
      </c>
      <c r="K85" s="87">
        <f>J85-WEEKDAY(J85,2)+1</f>
        <v/>
      </c>
      <c r="L85" s="84">
        <f>J85</f>
        <v/>
      </c>
      <c r="M85" s="52">
        <f>INDEX(LR_Target,MATCH(B85,LR_Lane,0))</f>
        <v/>
      </c>
      <c r="N85" s="84">
        <f>WORKDAY.INTL(L85,M85,INDEX(LR_Code,MATCH(B85,LR_Lane,0)),INDEX(DH_Table,0,MATCH(B85&amp;"*",DH_Head,0)))</f>
        <v/>
      </c>
      <c r="O85" s="65">
        <f>IF(W85&lt;&gt;"",W85,IF(U85="Helmond",IF(COUNTIFS(RC_Lane,B85,RC_Band,E85,RC_Transit,"&lt;&gt;")=0,"",SUMIFS(RC_Transit,RC_Lane,B85,RC_Band,E85)),IF(U85="Other","",IF(INDEX(RS_Transit,MATCH(B85,RS_Lane,0))="","",INDEX(RS_Transit,MATCH(B85,RS_Lane,0))))))</f>
        <v/>
      </c>
      <c r="P85" s="140" t="n"/>
      <c r="Q85" s="84">
        <f>IF(P85&lt;&gt;"",P85,IF(O85="","",WORKDAY.INTL(L85,ROUNDUP(O85,0),INDEX(LR_Code,MATCH(B85,LR_Lane,0)),INDEX(DH_Table,0,MATCH(B85&amp;"*",DH_Head,0)))))</f>
        <v/>
      </c>
      <c r="R85" s="100">
        <f>IF(Q85="","",IF(Q85&lt;=N85,"Yes","No"))</f>
        <v/>
      </c>
      <c r="S85" s="52">
        <f>IF(Q85="","",IF(Q85&lt;=N85,0,NETWORKDAYS.INTL(N85,Q85,INDEX(LR_Code,MATCH(B85,LR_Lane,0)),INDEX(DH_Table,0,MATCH(B85&amp;"*",DH_Head,0)))-1))</f>
        <v/>
      </c>
      <c r="T85" s="127" t="n"/>
      <c r="U85" s="112">
        <f>IF(V85&lt;&gt;"",V85,IF(IFERROR(INDEX(RS_Flag,MATCH(B85,RS_Lane,0)),"")="Yes",IF(IFERROR(INDEX(RS_Loc,MATCH(B85,RS_Lane,0)),"")="","Regional stock",IFERROR(INDEX(RS_Loc,MATCH(B85,RS_Lane,0)),"")),"Helmond"))</f>
        <v/>
      </c>
      <c r="V85" s="141" t="n"/>
      <c r="W85" s="142" t="n"/>
      <c r="X85" s="143" t="n"/>
      <c r="Y85" s="116">
        <f>IF(X85&lt;&gt;"",X85,IF(U85="Helmond",IF(COUNTIFS(RC_Lane,B85,RC_Band,E85,RC_CostPS,"&gt;0")=0,"",SUMIFS(RC_CostPS,RC_Lane,B85,RC_Band,E85)),IF(U85="Other","",IF(INDEX(RS_Rate,MATCH(B85,RS_Lane,0))="","",INDEX(RS_Rate,MATCH(B85,RS_Lane,0))))))</f>
        <v/>
      </c>
    </row>
    <row r="86">
      <c r="A86" s="95" t="inlineStr">
        <is>
          <t>A-082</t>
        </is>
      </c>
      <c r="B86" s="112" t="inlineStr">
        <is>
          <t>L02</t>
        </is>
      </c>
      <c r="C86" s="101" t="inlineStr">
        <is>
          <t>United Arab Emirates</t>
        </is>
      </c>
      <c r="D86" s="101" t="inlineStr">
        <is>
          <t>Dubai</t>
        </is>
      </c>
      <c r="E86" s="101" t="inlineStr">
        <is>
          <t>B1  0 to 30 kg</t>
        </is>
      </c>
      <c r="F86" s="123" t="n">
        <v>6.2</v>
      </c>
      <c r="G86" s="86">
        <f>F86*0.006477</f>
        <v/>
      </c>
      <c r="H86" s="123">
        <f>F86*1.079436</f>
        <v/>
      </c>
      <c r="I86" s="122">
        <f>MAX(1,ROUNDUP(G86/0.096,0))</f>
        <v/>
      </c>
      <c r="J86" s="84" t="n">
        <v>46601</v>
      </c>
      <c r="K86" s="87">
        <f>J86-WEEKDAY(J86,2)+1</f>
        <v/>
      </c>
      <c r="L86" s="84">
        <f>J86</f>
        <v/>
      </c>
      <c r="M86" s="52">
        <f>INDEX(LR_Target,MATCH(B86,LR_Lane,0))</f>
        <v/>
      </c>
      <c r="N86" s="84">
        <f>WORKDAY.INTL(L86,M86,INDEX(LR_Code,MATCH(B86,LR_Lane,0)),INDEX(DH_Table,0,MATCH(B86&amp;"*",DH_Head,0)))</f>
        <v/>
      </c>
      <c r="O86" s="65">
        <f>IF(W86&lt;&gt;"",W86,IF(U86="Helmond",IF(COUNTIFS(RC_Lane,B86,RC_Band,E86,RC_Transit,"&lt;&gt;")=0,"",SUMIFS(RC_Transit,RC_Lane,B86,RC_Band,E86)),IF(U86="Other","",IF(INDEX(RS_Transit,MATCH(B86,RS_Lane,0))="","",INDEX(RS_Transit,MATCH(B86,RS_Lane,0))))))</f>
        <v/>
      </c>
      <c r="P86" s="140" t="n"/>
      <c r="Q86" s="84">
        <f>IF(P86&lt;&gt;"",P86,IF(O86="","",WORKDAY.INTL(L86,ROUNDUP(O86,0),INDEX(LR_Code,MATCH(B86,LR_Lane,0)),INDEX(DH_Table,0,MATCH(B86&amp;"*",DH_Head,0)))))</f>
        <v/>
      </c>
      <c r="R86" s="100">
        <f>IF(Q86="","",IF(Q86&lt;=N86,"Yes","No"))</f>
        <v/>
      </c>
      <c r="S86" s="52">
        <f>IF(Q86="","",IF(Q86&lt;=N86,0,NETWORKDAYS.INTL(N86,Q86,INDEX(LR_Code,MATCH(B86,LR_Lane,0)),INDEX(DH_Table,0,MATCH(B86&amp;"*",DH_Head,0)))-1))</f>
        <v/>
      </c>
      <c r="T86" s="127" t="n"/>
      <c r="U86" s="112">
        <f>IF(V86&lt;&gt;"",V86,IF(IFERROR(INDEX(RS_Flag,MATCH(B86,RS_Lane,0)),"")="Yes",IF(IFERROR(INDEX(RS_Loc,MATCH(B86,RS_Lane,0)),"")="","Regional stock",IFERROR(INDEX(RS_Loc,MATCH(B86,RS_Lane,0)),"")),"Helmond"))</f>
        <v/>
      </c>
      <c r="V86" s="141" t="n"/>
      <c r="W86" s="142" t="n"/>
      <c r="X86" s="143" t="n"/>
      <c r="Y86" s="116">
        <f>IF(X86&lt;&gt;"",X86,IF(U86="Helmond",IF(COUNTIFS(RC_Lane,B86,RC_Band,E86,RC_CostPS,"&gt;0")=0,"",SUMIFS(RC_CostPS,RC_Lane,B86,RC_Band,E86)),IF(U86="Other","",IF(INDEX(RS_Rate,MATCH(B86,RS_Lane,0))="","",INDEX(RS_Rate,MATCH(B86,RS_Lane,0))))))</f>
        <v/>
      </c>
    </row>
    <row r="87">
      <c r="A87" s="95" t="inlineStr">
        <is>
          <t>A-083</t>
        </is>
      </c>
      <c r="B87" s="112" t="inlineStr">
        <is>
          <t>L06</t>
        </is>
      </c>
      <c r="C87" s="101" t="inlineStr">
        <is>
          <t>Morocco</t>
        </is>
      </c>
      <c r="D87" s="101" t="inlineStr">
        <is>
          <t>Casablanca area</t>
        </is>
      </c>
      <c r="E87" s="101" t="inlineStr">
        <is>
          <t>B1  0 to 30 kg</t>
        </is>
      </c>
      <c r="F87" s="123" t="n">
        <v>12.4</v>
      </c>
      <c r="G87" s="86">
        <f>F87*0.006477</f>
        <v/>
      </c>
      <c r="H87" s="123">
        <f>F87*1.079436</f>
        <v/>
      </c>
      <c r="I87" s="122">
        <f>MAX(1,ROUNDUP(G87/0.096,0))</f>
        <v/>
      </c>
      <c r="J87" s="84" t="n">
        <v>46602</v>
      </c>
      <c r="K87" s="87">
        <f>J87-WEEKDAY(J87,2)+1</f>
        <v/>
      </c>
      <c r="L87" s="84">
        <f>J87</f>
        <v/>
      </c>
      <c r="M87" s="52">
        <f>INDEX(LR_Target,MATCH(B87,LR_Lane,0))</f>
        <v/>
      </c>
      <c r="N87" s="84">
        <f>WORKDAY.INTL(L87,M87,INDEX(LR_Code,MATCH(B87,LR_Lane,0)),INDEX(DH_Table,0,MATCH(B87&amp;"*",DH_Head,0)))</f>
        <v/>
      </c>
      <c r="O87" s="65">
        <f>IF(W87&lt;&gt;"",W87,IF(U87="Helmond",IF(COUNTIFS(RC_Lane,B87,RC_Band,E87,RC_Transit,"&lt;&gt;")=0,"",SUMIFS(RC_Transit,RC_Lane,B87,RC_Band,E87)),IF(U87="Other","",IF(INDEX(RS_Transit,MATCH(B87,RS_Lane,0))="","",INDEX(RS_Transit,MATCH(B87,RS_Lane,0))))))</f>
        <v/>
      </c>
      <c r="P87" s="140" t="n"/>
      <c r="Q87" s="84">
        <f>IF(P87&lt;&gt;"",P87,IF(O87="","",WORKDAY.INTL(L87,ROUNDUP(O87,0),INDEX(LR_Code,MATCH(B87,LR_Lane,0)),INDEX(DH_Table,0,MATCH(B87&amp;"*",DH_Head,0)))))</f>
        <v/>
      </c>
      <c r="R87" s="100">
        <f>IF(Q87="","",IF(Q87&lt;=N87,"Yes","No"))</f>
        <v/>
      </c>
      <c r="S87" s="52">
        <f>IF(Q87="","",IF(Q87&lt;=N87,0,NETWORKDAYS.INTL(N87,Q87,INDEX(LR_Code,MATCH(B87,LR_Lane,0)),INDEX(DH_Table,0,MATCH(B87&amp;"*",DH_Head,0)))-1))</f>
        <v/>
      </c>
      <c r="T87" s="127" t="n"/>
      <c r="U87" s="112">
        <f>IF(V87&lt;&gt;"",V87,IF(IFERROR(INDEX(RS_Flag,MATCH(B87,RS_Lane,0)),"")="Yes",IF(IFERROR(INDEX(RS_Loc,MATCH(B87,RS_Lane,0)),"")="","Regional stock",IFERROR(INDEX(RS_Loc,MATCH(B87,RS_Lane,0)),"")),"Helmond"))</f>
        <v/>
      </c>
      <c r="V87" s="141" t="n"/>
      <c r="W87" s="142" t="n"/>
      <c r="X87" s="143" t="n"/>
      <c r="Y87" s="116">
        <f>IF(X87&lt;&gt;"",X87,IF(U87="Helmond",IF(COUNTIFS(RC_Lane,B87,RC_Band,E87,RC_CostPS,"&gt;0")=0,"",SUMIFS(RC_CostPS,RC_Lane,B87,RC_Band,E87)),IF(U87="Other","",IF(INDEX(RS_Rate,MATCH(B87,RS_Lane,0))="","",INDEX(RS_Rate,MATCH(B87,RS_Lane,0))))))</f>
        <v/>
      </c>
    </row>
    <row r="88">
      <c r="A88" s="95" t="inlineStr">
        <is>
          <t>A-084</t>
        </is>
      </c>
      <c r="B88" s="112" t="inlineStr">
        <is>
          <t>L01</t>
        </is>
      </c>
      <c r="C88" s="101" t="inlineStr">
        <is>
          <t>Saudi Arabia</t>
        </is>
      </c>
      <c r="D88" s="101" t="inlineStr">
        <is>
          <t>Riyadh</t>
        </is>
      </c>
      <c r="E88" s="101" t="inlineStr">
        <is>
          <t>B3  100 to 500 kg</t>
        </is>
      </c>
      <c r="F88" s="123" t="n">
        <v>254.1</v>
      </c>
      <c r="G88" s="86">
        <f>F88*0.006477</f>
        <v/>
      </c>
      <c r="H88" s="123">
        <f>F88*1.079436</f>
        <v/>
      </c>
      <c r="I88" s="122">
        <f>MAX(1,ROUNDUP(G88/0.096,0))</f>
        <v/>
      </c>
      <c r="J88" s="84" t="n">
        <v>46611</v>
      </c>
      <c r="K88" s="87">
        <f>J88-WEEKDAY(J88,2)+1</f>
        <v/>
      </c>
      <c r="L88" s="84">
        <f>J88</f>
        <v/>
      </c>
      <c r="M88" s="52">
        <f>INDEX(LR_Target,MATCH(B88,LR_Lane,0))</f>
        <v/>
      </c>
      <c r="N88" s="84">
        <f>WORKDAY.INTL(L88,M88,INDEX(LR_Code,MATCH(B88,LR_Lane,0)),INDEX(DH_Table,0,MATCH(B88&amp;"*",DH_Head,0)))</f>
        <v/>
      </c>
      <c r="O88" s="65">
        <f>IF(W88&lt;&gt;"",W88,IF(U88="Helmond",IF(COUNTIFS(RC_Lane,B88,RC_Band,E88,RC_Transit,"&lt;&gt;")=0,"",SUMIFS(RC_Transit,RC_Lane,B88,RC_Band,E88)),IF(U88="Other","",IF(INDEX(RS_Transit,MATCH(B88,RS_Lane,0))="","",INDEX(RS_Transit,MATCH(B88,RS_Lane,0))))))</f>
        <v/>
      </c>
      <c r="P88" s="140" t="n"/>
      <c r="Q88" s="84">
        <f>IF(P88&lt;&gt;"",P88,IF(O88="","",WORKDAY.INTL(L88,ROUNDUP(O88,0),INDEX(LR_Code,MATCH(B88,LR_Lane,0)),INDEX(DH_Table,0,MATCH(B88&amp;"*",DH_Head,0)))))</f>
        <v/>
      </c>
      <c r="R88" s="100">
        <f>IF(Q88="","",IF(Q88&lt;=N88,"Yes","No"))</f>
        <v/>
      </c>
      <c r="S88" s="52">
        <f>IF(Q88="","",IF(Q88&lt;=N88,0,NETWORKDAYS.INTL(N88,Q88,INDEX(LR_Code,MATCH(B88,LR_Lane,0)),INDEX(DH_Table,0,MATCH(B88&amp;"*",DH_Head,0)))-1))</f>
        <v/>
      </c>
      <c r="T88" s="127" t="n"/>
      <c r="U88" s="112">
        <f>IF(V88&lt;&gt;"",V88,IF(IFERROR(INDEX(RS_Flag,MATCH(B88,RS_Lane,0)),"")="Yes",IF(IFERROR(INDEX(RS_Loc,MATCH(B88,RS_Lane,0)),"")="","Regional stock",IFERROR(INDEX(RS_Loc,MATCH(B88,RS_Lane,0)),"")),"Helmond"))</f>
        <v/>
      </c>
      <c r="V88" s="141" t="n"/>
      <c r="W88" s="142" t="n"/>
      <c r="X88" s="143" t="n"/>
      <c r="Y88" s="116">
        <f>IF(X88&lt;&gt;"",X88,IF(U88="Helmond",IF(COUNTIFS(RC_Lane,B88,RC_Band,E88,RC_CostPS,"&gt;0")=0,"",SUMIFS(RC_CostPS,RC_Lane,B88,RC_Band,E88)),IF(U88="Other","",IF(INDEX(RS_Rate,MATCH(B88,RS_Lane,0))="","",INDEX(RS_Rate,MATCH(B88,RS_Lane,0))))))</f>
        <v/>
      </c>
    </row>
    <row r="89">
      <c r="A89" s="95" t="inlineStr">
        <is>
          <t>A-085</t>
        </is>
      </c>
      <c r="B89" s="112" t="inlineStr">
        <is>
          <t>L07</t>
        </is>
      </c>
      <c r="C89" s="101" t="inlineStr">
        <is>
          <t>Algeria</t>
        </is>
      </c>
      <c r="D89" s="101" t="inlineStr">
        <is>
          <t>Algiers</t>
        </is>
      </c>
      <c r="E89" s="101" t="inlineStr">
        <is>
          <t>B1  0 to 30 kg</t>
        </is>
      </c>
      <c r="F89" s="123" t="n">
        <v>10.2</v>
      </c>
      <c r="G89" s="86">
        <f>F89*0.006477</f>
        <v/>
      </c>
      <c r="H89" s="123">
        <f>F89*1.079436</f>
        <v/>
      </c>
      <c r="I89" s="122">
        <f>MAX(1,ROUNDUP(G89/0.096,0))</f>
        <v/>
      </c>
      <c r="J89" s="84" t="n">
        <v>46611</v>
      </c>
      <c r="K89" s="87">
        <f>J89-WEEKDAY(J89,2)+1</f>
        <v/>
      </c>
      <c r="L89" s="84">
        <f>J89</f>
        <v/>
      </c>
      <c r="M89" s="52">
        <f>INDEX(LR_Target,MATCH(B89,LR_Lane,0))</f>
        <v/>
      </c>
      <c r="N89" s="84">
        <f>WORKDAY.INTL(L89,M89,INDEX(LR_Code,MATCH(B89,LR_Lane,0)),INDEX(DH_Table,0,MATCH(B89&amp;"*",DH_Head,0)))</f>
        <v/>
      </c>
      <c r="O89" s="65">
        <f>IF(W89&lt;&gt;"",W89,IF(U89="Helmond",IF(COUNTIFS(RC_Lane,B89,RC_Band,E89,RC_Transit,"&lt;&gt;")=0,"",SUMIFS(RC_Transit,RC_Lane,B89,RC_Band,E89)),IF(U89="Other","",IF(INDEX(RS_Transit,MATCH(B89,RS_Lane,0))="","",INDEX(RS_Transit,MATCH(B89,RS_Lane,0))))))</f>
        <v/>
      </c>
      <c r="P89" s="140" t="n"/>
      <c r="Q89" s="84">
        <f>IF(P89&lt;&gt;"",P89,IF(O89="","",WORKDAY.INTL(L89,ROUNDUP(O89,0),INDEX(LR_Code,MATCH(B89,LR_Lane,0)),INDEX(DH_Table,0,MATCH(B89&amp;"*",DH_Head,0)))))</f>
        <v/>
      </c>
      <c r="R89" s="100">
        <f>IF(Q89="","",IF(Q89&lt;=N89,"Yes","No"))</f>
        <v/>
      </c>
      <c r="S89" s="52">
        <f>IF(Q89="","",IF(Q89&lt;=N89,0,NETWORKDAYS.INTL(N89,Q89,INDEX(LR_Code,MATCH(B89,LR_Lane,0)),INDEX(DH_Table,0,MATCH(B89&amp;"*",DH_Head,0)))-1))</f>
        <v/>
      </c>
      <c r="T89" s="127" t="n"/>
      <c r="U89" s="112">
        <f>IF(V89&lt;&gt;"",V89,IF(IFERROR(INDEX(RS_Flag,MATCH(B89,RS_Lane,0)),"")="Yes",IF(IFERROR(INDEX(RS_Loc,MATCH(B89,RS_Lane,0)),"")="","Regional stock",IFERROR(INDEX(RS_Loc,MATCH(B89,RS_Lane,0)),"")),"Helmond"))</f>
        <v/>
      </c>
      <c r="V89" s="141" t="n"/>
      <c r="W89" s="142" t="n"/>
      <c r="X89" s="143" t="n"/>
      <c r="Y89" s="116">
        <f>IF(X89&lt;&gt;"",X89,IF(U89="Helmond",IF(COUNTIFS(RC_Lane,B89,RC_Band,E89,RC_CostPS,"&gt;0")=0,"",SUMIFS(RC_CostPS,RC_Lane,B89,RC_Band,E89)),IF(U89="Other","",IF(INDEX(RS_Rate,MATCH(B89,RS_Lane,0))="","",INDEX(RS_Rate,MATCH(B89,RS_Lane,0))))))</f>
        <v/>
      </c>
    </row>
    <row r="90">
      <c r="A90" s="95" t="inlineStr">
        <is>
          <t>A-086</t>
        </is>
      </c>
      <c r="B90" s="112" t="inlineStr">
        <is>
          <t>L02</t>
        </is>
      </c>
      <c r="C90" s="101" t="inlineStr">
        <is>
          <t>United Arab Emirates</t>
        </is>
      </c>
      <c r="D90" s="101" t="inlineStr">
        <is>
          <t>Dubai</t>
        </is>
      </c>
      <c r="E90" s="101" t="inlineStr">
        <is>
          <t>B3  100 to 500 kg</t>
        </is>
      </c>
      <c r="F90" s="123" t="n">
        <v>234.7</v>
      </c>
      <c r="G90" s="86">
        <f>F90*0.006477</f>
        <v/>
      </c>
      <c r="H90" s="123">
        <f>F90*1.079436</f>
        <v/>
      </c>
      <c r="I90" s="122">
        <f>MAX(1,ROUNDUP(G90/0.096,0))</f>
        <v/>
      </c>
      <c r="J90" s="84" t="n">
        <v>46616</v>
      </c>
      <c r="K90" s="87">
        <f>J90-WEEKDAY(J90,2)+1</f>
        <v/>
      </c>
      <c r="L90" s="84">
        <f>J90</f>
        <v/>
      </c>
      <c r="M90" s="52">
        <f>INDEX(LR_Target,MATCH(B90,LR_Lane,0))</f>
        <v/>
      </c>
      <c r="N90" s="84">
        <f>WORKDAY.INTL(L90,M90,INDEX(LR_Code,MATCH(B90,LR_Lane,0)),INDEX(DH_Table,0,MATCH(B90&amp;"*",DH_Head,0)))</f>
        <v/>
      </c>
      <c r="O90" s="65">
        <f>IF(W90&lt;&gt;"",W90,IF(U90="Helmond",IF(COUNTIFS(RC_Lane,B90,RC_Band,E90,RC_Transit,"&lt;&gt;")=0,"",SUMIFS(RC_Transit,RC_Lane,B90,RC_Band,E90)),IF(U90="Other","",IF(INDEX(RS_Transit,MATCH(B90,RS_Lane,0))="","",INDEX(RS_Transit,MATCH(B90,RS_Lane,0))))))</f>
        <v/>
      </c>
      <c r="P90" s="140" t="n"/>
      <c r="Q90" s="84">
        <f>IF(P90&lt;&gt;"",P90,IF(O90="","",WORKDAY.INTL(L90,ROUNDUP(O90,0),INDEX(LR_Code,MATCH(B90,LR_Lane,0)),INDEX(DH_Table,0,MATCH(B90&amp;"*",DH_Head,0)))))</f>
        <v/>
      </c>
      <c r="R90" s="100">
        <f>IF(Q90="","",IF(Q90&lt;=N90,"Yes","No"))</f>
        <v/>
      </c>
      <c r="S90" s="52">
        <f>IF(Q90="","",IF(Q90&lt;=N90,0,NETWORKDAYS.INTL(N90,Q90,INDEX(LR_Code,MATCH(B90,LR_Lane,0)),INDEX(DH_Table,0,MATCH(B90&amp;"*",DH_Head,0)))-1))</f>
        <v/>
      </c>
      <c r="T90" s="127" t="n"/>
      <c r="U90" s="112">
        <f>IF(V90&lt;&gt;"",V90,IF(IFERROR(INDEX(RS_Flag,MATCH(B90,RS_Lane,0)),"")="Yes",IF(IFERROR(INDEX(RS_Loc,MATCH(B90,RS_Lane,0)),"")="","Regional stock",IFERROR(INDEX(RS_Loc,MATCH(B90,RS_Lane,0)),"")),"Helmond"))</f>
        <v/>
      </c>
      <c r="V90" s="141" t="n"/>
      <c r="W90" s="142" t="n"/>
      <c r="X90" s="143" t="n"/>
      <c r="Y90" s="116">
        <f>IF(X90&lt;&gt;"",X90,IF(U90="Helmond",IF(COUNTIFS(RC_Lane,B90,RC_Band,E90,RC_CostPS,"&gt;0")=0,"",SUMIFS(RC_CostPS,RC_Lane,B90,RC_Band,E90)),IF(U90="Other","",IF(INDEX(RS_Rate,MATCH(B90,RS_Lane,0))="","",INDEX(RS_Rate,MATCH(B90,RS_Lane,0))))))</f>
        <v/>
      </c>
    </row>
    <row r="91">
      <c r="A91" s="95" t="inlineStr">
        <is>
          <t>A-087</t>
        </is>
      </c>
      <c r="B91" s="112" t="inlineStr">
        <is>
          <t>L01</t>
        </is>
      </c>
      <c r="C91" s="101" t="inlineStr">
        <is>
          <t>Saudi Arabia</t>
        </is>
      </c>
      <c r="D91" s="101" t="inlineStr">
        <is>
          <t>Riyadh</t>
        </is>
      </c>
      <c r="E91" s="101" t="inlineStr">
        <is>
          <t>B3  100 to 500 kg</t>
        </is>
      </c>
      <c r="F91" s="123" t="n">
        <v>209.9</v>
      </c>
      <c r="G91" s="86">
        <f>F91*0.006477</f>
        <v/>
      </c>
      <c r="H91" s="123">
        <f>F91*1.079436</f>
        <v/>
      </c>
      <c r="I91" s="122">
        <f>MAX(1,ROUNDUP(G91/0.096,0))</f>
        <v/>
      </c>
      <c r="J91" s="84" t="n">
        <v>46619</v>
      </c>
      <c r="K91" s="87">
        <f>J91-WEEKDAY(J91,2)+1</f>
        <v/>
      </c>
      <c r="L91" s="84">
        <f>J91</f>
        <v/>
      </c>
      <c r="M91" s="52">
        <f>INDEX(LR_Target,MATCH(B91,LR_Lane,0))</f>
        <v/>
      </c>
      <c r="N91" s="84">
        <f>WORKDAY.INTL(L91,M91,INDEX(LR_Code,MATCH(B91,LR_Lane,0)),INDEX(DH_Table,0,MATCH(B91&amp;"*",DH_Head,0)))</f>
        <v/>
      </c>
      <c r="O91" s="65">
        <f>IF(W91&lt;&gt;"",W91,IF(U91="Helmond",IF(COUNTIFS(RC_Lane,B91,RC_Band,E91,RC_Transit,"&lt;&gt;")=0,"",SUMIFS(RC_Transit,RC_Lane,B91,RC_Band,E91)),IF(U91="Other","",IF(INDEX(RS_Transit,MATCH(B91,RS_Lane,0))="","",INDEX(RS_Transit,MATCH(B91,RS_Lane,0))))))</f>
        <v/>
      </c>
      <c r="P91" s="140" t="n"/>
      <c r="Q91" s="84">
        <f>IF(P91&lt;&gt;"",P91,IF(O91="","",WORKDAY.INTL(L91,ROUNDUP(O91,0),INDEX(LR_Code,MATCH(B91,LR_Lane,0)),INDEX(DH_Table,0,MATCH(B91&amp;"*",DH_Head,0)))))</f>
        <v/>
      </c>
      <c r="R91" s="100">
        <f>IF(Q91="","",IF(Q91&lt;=N91,"Yes","No"))</f>
        <v/>
      </c>
      <c r="S91" s="52">
        <f>IF(Q91="","",IF(Q91&lt;=N91,0,NETWORKDAYS.INTL(N91,Q91,INDEX(LR_Code,MATCH(B91,LR_Lane,0)),INDEX(DH_Table,0,MATCH(B91&amp;"*",DH_Head,0)))-1))</f>
        <v/>
      </c>
      <c r="T91" s="127" t="n"/>
      <c r="U91" s="112">
        <f>IF(V91&lt;&gt;"",V91,IF(IFERROR(INDEX(RS_Flag,MATCH(B91,RS_Lane,0)),"")="Yes",IF(IFERROR(INDEX(RS_Loc,MATCH(B91,RS_Lane,0)),"")="","Regional stock",IFERROR(INDEX(RS_Loc,MATCH(B91,RS_Lane,0)),"")),"Helmond"))</f>
        <v/>
      </c>
      <c r="V91" s="141" t="n"/>
      <c r="W91" s="142" t="n"/>
      <c r="X91" s="143" t="n"/>
      <c r="Y91" s="116">
        <f>IF(X91&lt;&gt;"",X91,IF(U91="Helmond",IF(COUNTIFS(RC_Lane,B91,RC_Band,E91,RC_CostPS,"&gt;0")=0,"",SUMIFS(RC_CostPS,RC_Lane,B91,RC_Band,E91)),IF(U91="Other","",IF(INDEX(RS_Rate,MATCH(B91,RS_Lane,0))="","",INDEX(RS_Rate,MATCH(B91,RS_Lane,0))))))</f>
        <v/>
      </c>
    </row>
    <row r="92">
      <c r="A92" s="95" t="inlineStr">
        <is>
          <t>A-088</t>
        </is>
      </c>
      <c r="B92" s="112" t="inlineStr">
        <is>
          <t>L05</t>
        </is>
      </c>
      <c r="C92" s="101" t="inlineStr">
        <is>
          <t>Türkiye</t>
        </is>
      </c>
      <c r="D92" s="101" t="inlineStr">
        <is>
          <t>Istanbul</t>
        </is>
      </c>
      <c r="E92" s="101" t="inlineStr">
        <is>
          <t>B3  100 to 500 kg</t>
        </is>
      </c>
      <c r="F92" s="123" t="n">
        <v>277</v>
      </c>
      <c r="G92" s="86">
        <f>F92*0.006477</f>
        <v/>
      </c>
      <c r="H92" s="123">
        <f>F92*1.079436</f>
        <v/>
      </c>
      <c r="I92" s="122">
        <f>MAX(1,ROUNDUP(G92/0.096,0))</f>
        <v/>
      </c>
      <c r="J92" s="84" t="n">
        <v>46622</v>
      </c>
      <c r="K92" s="87">
        <f>J92-WEEKDAY(J92,2)+1</f>
        <v/>
      </c>
      <c r="L92" s="84">
        <f>J92</f>
        <v/>
      </c>
      <c r="M92" s="52">
        <f>INDEX(LR_Target,MATCH(B92,LR_Lane,0))</f>
        <v/>
      </c>
      <c r="N92" s="84">
        <f>WORKDAY.INTL(L92,M92,INDEX(LR_Code,MATCH(B92,LR_Lane,0)),INDEX(DH_Table,0,MATCH(B92&amp;"*",DH_Head,0)))</f>
        <v/>
      </c>
      <c r="O92" s="65">
        <f>IF(W92&lt;&gt;"",W92,IF(U92="Helmond",IF(COUNTIFS(RC_Lane,B92,RC_Band,E92,RC_Transit,"&lt;&gt;")=0,"",SUMIFS(RC_Transit,RC_Lane,B92,RC_Band,E92)),IF(U92="Other","",IF(INDEX(RS_Transit,MATCH(B92,RS_Lane,0))="","",INDEX(RS_Transit,MATCH(B92,RS_Lane,0))))))</f>
        <v/>
      </c>
      <c r="P92" s="140" t="n"/>
      <c r="Q92" s="84">
        <f>IF(P92&lt;&gt;"",P92,IF(O92="","",WORKDAY.INTL(L92,ROUNDUP(O92,0),INDEX(LR_Code,MATCH(B92,LR_Lane,0)),INDEX(DH_Table,0,MATCH(B92&amp;"*",DH_Head,0)))))</f>
        <v/>
      </c>
      <c r="R92" s="100">
        <f>IF(Q92="","",IF(Q92&lt;=N92,"Yes","No"))</f>
        <v/>
      </c>
      <c r="S92" s="52">
        <f>IF(Q92="","",IF(Q92&lt;=N92,0,NETWORKDAYS.INTL(N92,Q92,INDEX(LR_Code,MATCH(B92,LR_Lane,0)),INDEX(DH_Table,0,MATCH(B92&amp;"*",DH_Head,0)))-1))</f>
        <v/>
      </c>
      <c r="T92" s="127" t="n"/>
      <c r="U92" s="112">
        <f>IF(V92&lt;&gt;"",V92,IF(IFERROR(INDEX(RS_Flag,MATCH(B92,RS_Lane,0)),"")="Yes",IF(IFERROR(INDEX(RS_Loc,MATCH(B92,RS_Lane,0)),"")="","Regional stock",IFERROR(INDEX(RS_Loc,MATCH(B92,RS_Lane,0)),"")),"Helmond"))</f>
        <v/>
      </c>
      <c r="V92" s="141" t="n"/>
      <c r="W92" s="142" t="n"/>
      <c r="X92" s="143" t="n"/>
      <c r="Y92" s="116">
        <f>IF(X92&lt;&gt;"",X92,IF(U92="Helmond",IF(COUNTIFS(RC_Lane,B92,RC_Band,E92,RC_CostPS,"&gt;0")=0,"",SUMIFS(RC_CostPS,RC_Lane,B92,RC_Band,E92)),IF(U92="Other","",IF(INDEX(RS_Rate,MATCH(B92,RS_Lane,0))="","",INDEX(RS_Rate,MATCH(B92,RS_Lane,0))))))</f>
        <v/>
      </c>
    </row>
    <row r="93">
      <c r="A93" s="95" t="inlineStr">
        <is>
          <t>A-089</t>
        </is>
      </c>
      <c r="B93" s="112" t="inlineStr">
        <is>
          <t>L08</t>
        </is>
      </c>
      <c r="C93" s="101" t="inlineStr">
        <is>
          <t>Egypt</t>
        </is>
      </c>
      <c r="D93" s="101" t="inlineStr">
        <is>
          <t>Cairo area</t>
        </is>
      </c>
      <c r="E93" s="101" t="inlineStr">
        <is>
          <t>B1  0 to 30 kg</t>
        </is>
      </c>
      <c r="F93" s="123" t="n">
        <v>3.3</v>
      </c>
      <c r="G93" s="86">
        <f>F93*0.006477</f>
        <v/>
      </c>
      <c r="H93" s="123">
        <f>F93*1.079436</f>
        <v/>
      </c>
      <c r="I93" s="122">
        <f>MAX(1,ROUNDUP(G93/0.096,0))</f>
        <v/>
      </c>
      <c r="J93" s="84" t="n">
        <v>46622</v>
      </c>
      <c r="K93" s="87">
        <f>J93-WEEKDAY(J93,2)+1</f>
        <v/>
      </c>
      <c r="L93" s="84">
        <f>J93</f>
        <v/>
      </c>
      <c r="M93" s="52">
        <f>INDEX(LR_Target,MATCH(B93,LR_Lane,0))</f>
        <v/>
      </c>
      <c r="N93" s="84">
        <f>WORKDAY.INTL(L93,M93,INDEX(LR_Code,MATCH(B93,LR_Lane,0)),INDEX(DH_Table,0,MATCH(B93&amp;"*",DH_Head,0)))</f>
        <v/>
      </c>
      <c r="O93" s="65">
        <f>IF(W93&lt;&gt;"",W93,IF(U93="Helmond",IF(COUNTIFS(RC_Lane,B93,RC_Band,E93,RC_Transit,"&lt;&gt;")=0,"",SUMIFS(RC_Transit,RC_Lane,B93,RC_Band,E93)),IF(U93="Other","",IF(INDEX(RS_Transit,MATCH(B93,RS_Lane,0))="","",INDEX(RS_Transit,MATCH(B93,RS_Lane,0))))))</f>
        <v/>
      </c>
      <c r="P93" s="140" t="n"/>
      <c r="Q93" s="84">
        <f>IF(P93&lt;&gt;"",P93,IF(O93="","",WORKDAY.INTL(L93,ROUNDUP(O93,0),INDEX(LR_Code,MATCH(B93,LR_Lane,0)),INDEX(DH_Table,0,MATCH(B93&amp;"*",DH_Head,0)))))</f>
        <v/>
      </c>
      <c r="R93" s="100">
        <f>IF(Q93="","",IF(Q93&lt;=N93,"Yes","No"))</f>
        <v/>
      </c>
      <c r="S93" s="52">
        <f>IF(Q93="","",IF(Q93&lt;=N93,0,NETWORKDAYS.INTL(N93,Q93,INDEX(LR_Code,MATCH(B93,LR_Lane,0)),INDEX(DH_Table,0,MATCH(B93&amp;"*",DH_Head,0)))-1))</f>
        <v/>
      </c>
      <c r="T93" s="127" t="n"/>
      <c r="U93" s="112">
        <f>IF(V93&lt;&gt;"",V93,IF(IFERROR(INDEX(RS_Flag,MATCH(B93,RS_Lane,0)),"")="Yes",IF(IFERROR(INDEX(RS_Loc,MATCH(B93,RS_Lane,0)),"")="","Regional stock",IFERROR(INDEX(RS_Loc,MATCH(B93,RS_Lane,0)),"")),"Helmond"))</f>
        <v/>
      </c>
      <c r="V93" s="141" t="n"/>
      <c r="W93" s="142" t="n"/>
      <c r="X93" s="143" t="n"/>
      <c r="Y93" s="116">
        <f>IF(X93&lt;&gt;"",X93,IF(U93="Helmond",IF(COUNTIFS(RC_Lane,B93,RC_Band,E93,RC_CostPS,"&gt;0")=0,"",SUMIFS(RC_CostPS,RC_Lane,B93,RC_Band,E93)),IF(U93="Other","",IF(INDEX(RS_Rate,MATCH(B93,RS_Lane,0))="","",INDEX(RS_Rate,MATCH(B93,RS_Lane,0))))))</f>
        <v/>
      </c>
    </row>
    <row r="94">
      <c r="A94" s="95" t="inlineStr">
        <is>
          <t>A-090</t>
        </is>
      </c>
      <c r="B94" s="112" t="inlineStr">
        <is>
          <t>L01</t>
        </is>
      </c>
      <c r="C94" s="101" t="inlineStr">
        <is>
          <t>Saudi Arabia</t>
        </is>
      </c>
      <c r="D94" s="101" t="inlineStr">
        <is>
          <t>Jeddah</t>
        </is>
      </c>
      <c r="E94" s="101" t="inlineStr">
        <is>
          <t>B1  0 to 30 kg</t>
        </is>
      </c>
      <c r="F94" s="123" t="n">
        <v>5.9</v>
      </c>
      <c r="G94" s="86">
        <f>F94*0.006477</f>
        <v/>
      </c>
      <c r="H94" s="123">
        <f>F94*1.079436</f>
        <v/>
      </c>
      <c r="I94" s="122">
        <f>MAX(1,ROUNDUP(G94/0.096,0))</f>
        <v/>
      </c>
      <c r="J94" s="84" t="n">
        <v>46623</v>
      </c>
      <c r="K94" s="87">
        <f>J94-WEEKDAY(J94,2)+1</f>
        <v/>
      </c>
      <c r="L94" s="84">
        <f>J94</f>
        <v/>
      </c>
      <c r="M94" s="52">
        <f>INDEX(LR_Target,MATCH(B94,LR_Lane,0))</f>
        <v/>
      </c>
      <c r="N94" s="84">
        <f>WORKDAY.INTL(L94,M94,INDEX(LR_Code,MATCH(B94,LR_Lane,0)),INDEX(DH_Table,0,MATCH(B94&amp;"*",DH_Head,0)))</f>
        <v/>
      </c>
      <c r="O94" s="65">
        <f>IF(W94&lt;&gt;"",W94,IF(U94="Helmond",IF(COUNTIFS(RC_Lane,B94,RC_Band,E94,RC_Transit,"&lt;&gt;")=0,"",SUMIFS(RC_Transit,RC_Lane,B94,RC_Band,E94)),IF(U94="Other","",IF(INDEX(RS_Transit,MATCH(B94,RS_Lane,0))="","",INDEX(RS_Transit,MATCH(B94,RS_Lane,0))))))</f>
        <v/>
      </c>
      <c r="P94" s="140" t="n"/>
      <c r="Q94" s="84">
        <f>IF(P94&lt;&gt;"",P94,IF(O94="","",WORKDAY.INTL(L94,ROUNDUP(O94,0),INDEX(LR_Code,MATCH(B94,LR_Lane,0)),INDEX(DH_Table,0,MATCH(B94&amp;"*",DH_Head,0)))))</f>
        <v/>
      </c>
      <c r="R94" s="100">
        <f>IF(Q94="","",IF(Q94&lt;=N94,"Yes","No"))</f>
        <v/>
      </c>
      <c r="S94" s="52">
        <f>IF(Q94="","",IF(Q94&lt;=N94,0,NETWORKDAYS.INTL(N94,Q94,INDEX(LR_Code,MATCH(B94,LR_Lane,0)),INDEX(DH_Table,0,MATCH(B94&amp;"*",DH_Head,0)))-1))</f>
        <v/>
      </c>
      <c r="T94" s="127" t="n"/>
      <c r="U94" s="112">
        <f>IF(V94&lt;&gt;"",V94,IF(IFERROR(INDEX(RS_Flag,MATCH(B94,RS_Lane,0)),"")="Yes",IF(IFERROR(INDEX(RS_Loc,MATCH(B94,RS_Lane,0)),"")="","Regional stock",IFERROR(INDEX(RS_Loc,MATCH(B94,RS_Lane,0)),"")),"Helmond"))</f>
        <v/>
      </c>
      <c r="V94" s="141" t="n"/>
      <c r="W94" s="142" t="n"/>
      <c r="X94" s="143" t="n"/>
      <c r="Y94" s="116">
        <f>IF(X94&lt;&gt;"",X94,IF(U94="Helmond",IF(COUNTIFS(RC_Lane,B94,RC_Band,E94,RC_CostPS,"&gt;0")=0,"",SUMIFS(RC_CostPS,RC_Lane,B94,RC_Band,E94)),IF(U94="Other","",IF(INDEX(RS_Rate,MATCH(B94,RS_Lane,0))="","",INDEX(RS_Rate,MATCH(B94,RS_Lane,0))))))</f>
        <v/>
      </c>
    </row>
    <row r="95">
      <c r="A95" s="95" t="inlineStr">
        <is>
          <t>A-091</t>
        </is>
      </c>
      <c r="B95" s="112" t="inlineStr">
        <is>
          <t>L01</t>
        </is>
      </c>
      <c r="C95" s="101" t="inlineStr">
        <is>
          <t>Saudi Arabia</t>
        </is>
      </c>
      <c r="D95" s="101" t="inlineStr">
        <is>
          <t>Jeddah</t>
        </is>
      </c>
      <c r="E95" s="101" t="inlineStr">
        <is>
          <t>B2  30 to 100 kg</t>
        </is>
      </c>
      <c r="F95" s="123" t="n">
        <v>50.7</v>
      </c>
      <c r="G95" s="86">
        <f>F95*0.006477</f>
        <v/>
      </c>
      <c r="H95" s="123">
        <f>F95*1.079436</f>
        <v/>
      </c>
      <c r="I95" s="122">
        <f>MAX(1,ROUNDUP(G95/0.096,0))</f>
        <v/>
      </c>
      <c r="J95" s="84" t="n">
        <v>46631</v>
      </c>
      <c r="K95" s="87">
        <f>J95-WEEKDAY(J95,2)+1</f>
        <v/>
      </c>
      <c r="L95" s="84">
        <f>J95</f>
        <v/>
      </c>
      <c r="M95" s="52">
        <f>INDEX(LR_Target,MATCH(B95,LR_Lane,0))</f>
        <v/>
      </c>
      <c r="N95" s="84">
        <f>WORKDAY.INTL(L95,M95,INDEX(LR_Code,MATCH(B95,LR_Lane,0)),INDEX(DH_Table,0,MATCH(B95&amp;"*",DH_Head,0)))</f>
        <v/>
      </c>
      <c r="O95" s="65">
        <f>IF(W95&lt;&gt;"",W95,IF(U95="Helmond",IF(COUNTIFS(RC_Lane,B95,RC_Band,E95,RC_Transit,"&lt;&gt;")=0,"",SUMIFS(RC_Transit,RC_Lane,B95,RC_Band,E95)),IF(U95="Other","",IF(INDEX(RS_Transit,MATCH(B95,RS_Lane,0))="","",INDEX(RS_Transit,MATCH(B95,RS_Lane,0))))))</f>
        <v/>
      </c>
      <c r="P95" s="140" t="n"/>
      <c r="Q95" s="84">
        <f>IF(P95&lt;&gt;"",P95,IF(O95="","",WORKDAY.INTL(L95,ROUNDUP(O95,0),INDEX(LR_Code,MATCH(B95,LR_Lane,0)),INDEX(DH_Table,0,MATCH(B95&amp;"*",DH_Head,0)))))</f>
        <v/>
      </c>
      <c r="R95" s="100">
        <f>IF(Q95="","",IF(Q95&lt;=N95,"Yes","No"))</f>
        <v/>
      </c>
      <c r="S95" s="52">
        <f>IF(Q95="","",IF(Q95&lt;=N95,0,NETWORKDAYS.INTL(N95,Q95,INDEX(LR_Code,MATCH(B95,LR_Lane,0)),INDEX(DH_Table,0,MATCH(B95&amp;"*",DH_Head,0)))-1))</f>
        <v/>
      </c>
      <c r="T95" s="127" t="n"/>
      <c r="U95" s="112">
        <f>IF(V95&lt;&gt;"",V95,IF(IFERROR(INDEX(RS_Flag,MATCH(B95,RS_Lane,0)),"")="Yes",IF(IFERROR(INDEX(RS_Loc,MATCH(B95,RS_Lane,0)),"")="","Regional stock",IFERROR(INDEX(RS_Loc,MATCH(B95,RS_Lane,0)),"")),"Helmond"))</f>
        <v/>
      </c>
      <c r="V95" s="141" t="n"/>
      <c r="W95" s="142" t="n"/>
      <c r="X95" s="143" t="n"/>
      <c r="Y95" s="116">
        <f>IF(X95&lt;&gt;"",X95,IF(U95="Helmond",IF(COUNTIFS(RC_Lane,B95,RC_Band,E95,RC_CostPS,"&gt;0")=0,"",SUMIFS(RC_CostPS,RC_Lane,B95,RC_Band,E95)),IF(U95="Other","",IF(INDEX(RS_Rate,MATCH(B95,RS_Lane,0))="","",INDEX(RS_Rate,MATCH(B95,RS_Lane,0))))))</f>
        <v/>
      </c>
    </row>
    <row r="96">
      <c r="A96" s="95" t="inlineStr">
        <is>
          <t>A-092</t>
        </is>
      </c>
      <c r="B96" s="112" t="inlineStr">
        <is>
          <t>L01</t>
        </is>
      </c>
      <c r="C96" s="101" t="inlineStr">
        <is>
          <t>Saudi Arabia</t>
        </is>
      </c>
      <c r="D96" s="101" t="inlineStr">
        <is>
          <t>Jeddah</t>
        </is>
      </c>
      <c r="E96" s="101" t="inlineStr">
        <is>
          <t>B2  30 to 100 kg</t>
        </is>
      </c>
      <c r="F96" s="123" t="n">
        <v>40.3</v>
      </c>
      <c r="G96" s="86">
        <f>F96*0.006477</f>
        <v/>
      </c>
      <c r="H96" s="123">
        <f>F96*1.079436</f>
        <v/>
      </c>
      <c r="I96" s="122">
        <f>MAX(1,ROUNDUP(G96/0.096,0))</f>
        <v/>
      </c>
      <c r="J96" s="84" t="n">
        <v>46636</v>
      </c>
      <c r="K96" s="87">
        <f>J96-WEEKDAY(J96,2)+1</f>
        <v/>
      </c>
      <c r="L96" s="84">
        <f>J96</f>
        <v/>
      </c>
      <c r="M96" s="52">
        <f>INDEX(LR_Target,MATCH(B96,LR_Lane,0))</f>
        <v/>
      </c>
      <c r="N96" s="84">
        <f>WORKDAY.INTL(L96,M96,INDEX(LR_Code,MATCH(B96,LR_Lane,0)),INDEX(DH_Table,0,MATCH(B96&amp;"*",DH_Head,0)))</f>
        <v/>
      </c>
      <c r="O96" s="65">
        <f>IF(W96&lt;&gt;"",W96,IF(U96="Helmond",IF(COUNTIFS(RC_Lane,B96,RC_Band,E96,RC_Transit,"&lt;&gt;")=0,"",SUMIFS(RC_Transit,RC_Lane,B96,RC_Band,E96)),IF(U96="Other","",IF(INDEX(RS_Transit,MATCH(B96,RS_Lane,0))="","",INDEX(RS_Transit,MATCH(B96,RS_Lane,0))))))</f>
        <v/>
      </c>
      <c r="P96" s="140" t="n"/>
      <c r="Q96" s="84">
        <f>IF(P96&lt;&gt;"",P96,IF(O96="","",WORKDAY.INTL(L96,ROUNDUP(O96,0),INDEX(LR_Code,MATCH(B96,LR_Lane,0)),INDEX(DH_Table,0,MATCH(B96&amp;"*",DH_Head,0)))))</f>
        <v/>
      </c>
      <c r="R96" s="100">
        <f>IF(Q96="","",IF(Q96&lt;=N96,"Yes","No"))</f>
        <v/>
      </c>
      <c r="S96" s="52">
        <f>IF(Q96="","",IF(Q96&lt;=N96,0,NETWORKDAYS.INTL(N96,Q96,INDEX(LR_Code,MATCH(B96,LR_Lane,0)),INDEX(DH_Table,0,MATCH(B96&amp;"*",DH_Head,0)))-1))</f>
        <v/>
      </c>
      <c r="T96" s="127" t="n"/>
      <c r="U96" s="112">
        <f>IF(V96&lt;&gt;"",V96,IF(IFERROR(INDEX(RS_Flag,MATCH(B96,RS_Lane,0)),"")="Yes",IF(IFERROR(INDEX(RS_Loc,MATCH(B96,RS_Lane,0)),"")="","Regional stock",IFERROR(INDEX(RS_Loc,MATCH(B96,RS_Lane,0)),"")),"Helmond"))</f>
        <v/>
      </c>
      <c r="V96" s="141" t="n"/>
      <c r="W96" s="142" t="n"/>
      <c r="X96" s="143" t="n"/>
      <c r="Y96" s="116">
        <f>IF(X96&lt;&gt;"",X96,IF(U96="Helmond",IF(COUNTIFS(RC_Lane,B96,RC_Band,E96,RC_CostPS,"&gt;0")=0,"",SUMIFS(RC_CostPS,RC_Lane,B96,RC_Band,E96)),IF(U96="Other","",IF(INDEX(RS_Rate,MATCH(B96,RS_Lane,0))="","",INDEX(RS_Rate,MATCH(B96,RS_Lane,0))))))</f>
        <v/>
      </c>
    </row>
    <row r="97">
      <c r="A97" s="95" t="inlineStr">
        <is>
          <t>A-093</t>
        </is>
      </c>
      <c r="B97" s="112" t="inlineStr">
        <is>
          <t>L01</t>
        </is>
      </c>
      <c r="C97" s="101" t="inlineStr">
        <is>
          <t>Saudi Arabia</t>
        </is>
      </c>
      <c r="D97" s="101" t="inlineStr">
        <is>
          <t>Jeddah</t>
        </is>
      </c>
      <c r="E97" s="101" t="inlineStr">
        <is>
          <t>B1  0 to 30 kg</t>
        </is>
      </c>
      <c r="F97" s="123" t="n">
        <v>4.1</v>
      </c>
      <c r="G97" s="86">
        <f>F97*0.006477</f>
        <v/>
      </c>
      <c r="H97" s="123">
        <f>F97*1.079436</f>
        <v/>
      </c>
      <c r="I97" s="122">
        <f>MAX(1,ROUNDUP(G97/0.096,0))</f>
        <v/>
      </c>
      <c r="J97" s="84" t="n">
        <v>46639</v>
      </c>
      <c r="K97" s="87">
        <f>J97-WEEKDAY(J97,2)+1</f>
        <v/>
      </c>
      <c r="L97" s="84">
        <f>J97</f>
        <v/>
      </c>
      <c r="M97" s="52">
        <f>INDEX(LR_Target,MATCH(B97,LR_Lane,0))</f>
        <v/>
      </c>
      <c r="N97" s="84">
        <f>WORKDAY.INTL(L97,M97,INDEX(LR_Code,MATCH(B97,LR_Lane,0)),INDEX(DH_Table,0,MATCH(B97&amp;"*",DH_Head,0)))</f>
        <v/>
      </c>
      <c r="O97" s="65">
        <f>IF(W97&lt;&gt;"",W97,IF(U97="Helmond",IF(COUNTIFS(RC_Lane,B97,RC_Band,E97,RC_Transit,"&lt;&gt;")=0,"",SUMIFS(RC_Transit,RC_Lane,B97,RC_Band,E97)),IF(U97="Other","",IF(INDEX(RS_Transit,MATCH(B97,RS_Lane,0))="","",INDEX(RS_Transit,MATCH(B97,RS_Lane,0))))))</f>
        <v/>
      </c>
      <c r="P97" s="140" t="n"/>
      <c r="Q97" s="84">
        <f>IF(P97&lt;&gt;"",P97,IF(O97="","",WORKDAY.INTL(L97,ROUNDUP(O97,0),INDEX(LR_Code,MATCH(B97,LR_Lane,0)),INDEX(DH_Table,0,MATCH(B97&amp;"*",DH_Head,0)))))</f>
        <v/>
      </c>
      <c r="R97" s="100">
        <f>IF(Q97="","",IF(Q97&lt;=N97,"Yes","No"))</f>
        <v/>
      </c>
      <c r="S97" s="52">
        <f>IF(Q97="","",IF(Q97&lt;=N97,0,NETWORKDAYS.INTL(N97,Q97,INDEX(LR_Code,MATCH(B97,LR_Lane,0)),INDEX(DH_Table,0,MATCH(B97&amp;"*",DH_Head,0)))-1))</f>
        <v/>
      </c>
      <c r="T97" s="127" t="n"/>
      <c r="U97" s="112">
        <f>IF(V97&lt;&gt;"",V97,IF(IFERROR(INDEX(RS_Flag,MATCH(B97,RS_Lane,0)),"")="Yes",IF(IFERROR(INDEX(RS_Loc,MATCH(B97,RS_Lane,0)),"")="","Regional stock",IFERROR(INDEX(RS_Loc,MATCH(B97,RS_Lane,0)),"")),"Helmond"))</f>
        <v/>
      </c>
      <c r="V97" s="141" t="n"/>
      <c r="W97" s="142" t="n"/>
      <c r="X97" s="143" t="n"/>
      <c r="Y97" s="116">
        <f>IF(X97&lt;&gt;"",X97,IF(U97="Helmond",IF(COUNTIFS(RC_Lane,B97,RC_Band,E97,RC_CostPS,"&gt;0")=0,"",SUMIFS(RC_CostPS,RC_Lane,B97,RC_Band,E97)),IF(U97="Other","",IF(INDEX(RS_Rate,MATCH(B97,RS_Lane,0))="","",INDEX(RS_Rate,MATCH(B97,RS_Lane,0))))))</f>
        <v/>
      </c>
    </row>
    <row r="98">
      <c r="A98" s="95" t="inlineStr">
        <is>
          <t>A-094</t>
        </is>
      </c>
      <c r="B98" s="112" t="inlineStr">
        <is>
          <t>L05</t>
        </is>
      </c>
      <c r="C98" s="101" t="inlineStr">
        <is>
          <t>Türkiye</t>
        </is>
      </c>
      <c r="D98" s="101" t="inlineStr">
        <is>
          <t>Istanbul</t>
        </is>
      </c>
      <c r="E98" s="101" t="inlineStr">
        <is>
          <t>B2  30 to 100 kg</t>
        </is>
      </c>
      <c r="F98" s="123" t="n">
        <v>50.4</v>
      </c>
      <c r="G98" s="86">
        <f>F98*0.006477</f>
        <v/>
      </c>
      <c r="H98" s="123">
        <f>F98*1.079436</f>
        <v/>
      </c>
      <c r="I98" s="122">
        <f>MAX(1,ROUNDUP(G98/0.096,0))</f>
        <v/>
      </c>
      <c r="J98" s="84" t="n">
        <v>46640</v>
      </c>
      <c r="K98" s="87">
        <f>J98-WEEKDAY(J98,2)+1</f>
        <v/>
      </c>
      <c r="L98" s="84">
        <f>J98</f>
        <v/>
      </c>
      <c r="M98" s="52">
        <f>INDEX(LR_Target,MATCH(B98,LR_Lane,0))</f>
        <v/>
      </c>
      <c r="N98" s="84">
        <f>WORKDAY.INTL(L98,M98,INDEX(LR_Code,MATCH(B98,LR_Lane,0)),INDEX(DH_Table,0,MATCH(B98&amp;"*",DH_Head,0)))</f>
        <v/>
      </c>
      <c r="O98" s="65">
        <f>IF(W98&lt;&gt;"",W98,IF(U98="Helmond",IF(COUNTIFS(RC_Lane,B98,RC_Band,E98,RC_Transit,"&lt;&gt;")=0,"",SUMIFS(RC_Transit,RC_Lane,B98,RC_Band,E98)),IF(U98="Other","",IF(INDEX(RS_Transit,MATCH(B98,RS_Lane,0))="","",INDEX(RS_Transit,MATCH(B98,RS_Lane,0))))))</f>
        <v/>
      </c>
      <c r="P98" s="140" t="n"/>
      <c r="Q98" s="84">
        <f>IF(P98&lt;&gt;"",P98,IF(O98="","",WORKDAY.INTL(L98,ROUNDUP(O98,0),INDEX(LR_Code,MATCH(B98,LR_Lane,0)),INDEX(DH_Table,0,MATCH(B98&amp;"*",DH_Head,0)))))</f>
        <v/>
      </c>
      <c r="R98" s="100">
        <f>IF(Q98="","",IF(Q98&lt;=N98,"Yes","No"))</f>
        <v/>
      </c>
      <c r="S98" s="52">
        <f>IF(Q98="","",IF(Q98&lt;=N98,0,NETWORKDAYS.INTL(N98,Q98,INDEX(LR_Code,MATCH(B98,LR_Lane,0)),INDEX(DH_Table,0,MATCH(B98&amp;"*",DH_Head,0)))-1))</f>
        <v/>
      </c>
      <c r="T98" s="127" t="n"/>
      <c r="U98" s="112">
        <f>IF(V98&lt;&gt;"",V98,IF(IFERROR(INDEX(RS_Flag,MATCH(B98,RS_Lane,0)),"")="Yes",IF(IFERROR(INDEX(RS_Loc,MATCH(B98,RS_Lane,0)),"")="","Regional stock",IFERROR(INDEX(RS_Loc,MATCH(B98,RS_Lane,0)),"")),"Helmond"))</f>
        <v/>
      </c>
      <c r="V98" s="141" t="n"/>
      <c r="W98" s="142" t="n"/>
      <c r="X98" s="143" t="n"/>
      <c r="Y98" s="116">
        <f>IF(X98&lt;&gt;"",X98,IF(U98="Helmond",IF(COUNTIFS(RC_Lane,B98,RC_Band,E98,RC_CostPS,"&gt;0")=0,"",SUMIFS(RC_CostPS,RC_Lane,B98,RC_Band,E98)),IF(U98="Other","",IF(INDEX(RS_Rate,MATCH(B98,RS_Lane,0))="","",INDEX(RS_Rate,MATCH(B98,RS_Lane,0))))))</f>
        <v/>
      </c>
    </row>
    <row r="99">
      <c r="A99" s="95" t="inlineStr">
        <is>
          <t>A-095</t>
        </is>
      </c>
      <c r="B99" s="112" t="inlineStr">
        <is>
          <t>L02</t>
        </is>
      </c>
      <c r="C99" s="101" t="inlineStr">
        <is>
          <t>United Arab Emirates</t>
        </is>
      </c>
      <c r="D99" s="101" t="inlineStr">
        <is>
          <t>Dubai</t>
        </is>
      </c>
      <c r="E99" s="101" t="inlineStr">
        <is>
          <t>B3  100 to 500 kg</t>
        </is>
      </c>
      <c r="F99" s="123" t="n">
        <v>415.4</v>
      </c>
      <c r="G99" s="86">
        <f>F99*0.006477</f>
        <v/>
      </c>
      <c r="H99" s="123">
        <f>F99*1.079436</f>
        <v/>
      </c>
      <c r="I99" s="122">
        <f>MAX(1,ROUNDUP(G99/0.096,0))</f>
        <v/>
      </c>
      <c r="J99" s="84" t="n">
        <v>46644</v>
      </c>
      <c r="K99" s="87">
        <f>J99-WEEKDAY(J99,2)+1</f>
        <v/>
      </c>
      <c r="L99" s="84">
        <f>J99</f>
        <v/>
      </c>
      <c r="M99" s="52">
        <f>INDEX(LR_Target,MATCH(B99,LR_Lane,0))</f>
        <v/>
      </c>
      <c r="N99" s="84">
        <f>WORKDAY.INTL(L99,M99,INDEX(LR_Code,MATCH(B99,LR_Lane,0)),INDEX(DH_Table,0,MATCH(B99&amp;"*",DH_Head,0)))</f>
        <v/>
      </c>
      <c r="O99" s="65">
        <f>IF(W99&lt;&gt;"",W99,IF(U99="Helmond",IF(COUNTIFS(RC_Lane,B99,RC_Band,E99,RC_Transit,"&lt;&gt;")=0,"",SUMIFS(RC_Transit,RC_Lane,B99,RC_Band,E99)),IF(U99="Other","",IF(INDEX(RS_Transit,MATCH(B99,RS_Lane,0))="","",INDEX(RS_Transit,MATCH(B99,RS_Lane,0))))))</f>
        <v/>
      </c>
      <c r="P99" s="140" t="n"/>
      <c r="Q99" s="84">
        <f>IF(P99&lt;&gt;"",P99,IF(O99="","",WORKDAY.INTL(L99,ROUNDUP(O99,0),INDEX(LR_Code,MATCH(B99,LR_Lane,0)),INDEX(DH_Table,0,MATCH(B99&amp;"*",DH_Head,0)))))</f>
        <v/>
      </c>
      <c r="R99" s="100">
        <f>IF(Q99="","",IF(Q99&lt;=N99,"Yes","No"))</f>
        <v/>
      </c>
      <c r="S99" s="52">
        <f>IF(Q99="","",IF(Q99&lt;=N99,0,NETWORKDAYS.INTL(N99,Q99,INDEX(LR_Code,MATCH(B99,LR_Lane,0)),INDEX(DH_Table,0,MATCH(B99&amp;"*",DH_Head,0)))-1))</f>
        <v/>
      </c>
      <c r="T99" s="127" t="n"/>
      <c r="U99" s="112">
        <f>IF(V99&lt;&gt;"",V99,IF(IFERROR(INDEX(RS_Flag,MATCH(B99,RS_Lane,0)),"")="Yes",IF(IFERROR(INDEX(RS_Loc,MATCH(B99,RS_Lane,0)),"")="","Regional stock",IFERROR(INDEX(RS_Loc,MATCH(B99,RS_Lane,0)),"")),"Helmond"))</f>
        <v/>
      </c>
      <c r="V99" s="141" t="n"/>
      <c r="W99" s="142" t="n"/>
      <c r="X99" s="143" t="n"/>
      <c r="Y99" s="116">
        <f>IF(X99&lt;&gt;"",X99,IF(U99="Helmond",IF(COUNTIFS(RC_Lane,B99,RC_Band,E99,RC_CostPS,"&gt;0")=0,"",SUMIFS(RC_CostPS,RC_Lane,B99,RC_Band,E99)),IF(U99="Other","",IF(INDEX(RS_Rate,MATCH(B99,RS_Lane,0))="","",INDEX(RS_Rate,MATCH(B99,RS_Lane,0))))))</f>
        <v/>
      </c>
    </row>
    <row r="100">
      <c r="A100" s="95" t="inlineStr">
        <is>
          <t>A-096</t>
        </is>
      </c>
      <c r="B100" s="112" t="inlineStr">
        <is>
          <t>L05</t>
        </is>
      </c>
      <c r="C100" s="101" t="inlineStr">
        <is>
          <t>Türkiye</t>
        </is>
      </c>
      <c r="D100" s="101" t="inlineStr">
        <is>
          <t>Istanbul</t>
        </is>
      </c>
      <c r="E100" s="101" t="inlineStr">
        <is>
          <t>B1  0 to 30 kg</t>
        </is>
      </c>
      <c r="F100" s="123" t="n">
        <v>3</v>
      </c>
      <c r="G100" s="86">
        <f>F100*0.006477</f>
        <v/>
      </c>
      <c r="H100" s="123">
        <f>F100*1.079436</f>
        <v/>
      </c>
      <c r="I100" s="122">
        <f>MAX(1,ROUNDUP(G100/0.096,0))</f>
        <v/>
      </c>
      <c r="J100" s="84" t="n">
        <v>46645</v>
      </c>
      <c r="K100" s="87">
        <f>J100-WEEKDAY(J100,2)+1</f>
        <v/>
      </c>
      <c r="L100" s="84">
        <f>J100</f>
        <v/>
      </c>
      <c r="M100" s="52">
        <f>INDEX(LR_Target,MATCH(B100,LR_Lane,0))</f>
        <v/>
      </c>
      <c r="N100" s="84">
        <f>WORKDAY.INTL(L100,M100,INDEX(LR_Code,MATCH(B100,LR_Lane,0)),INDEX(DH_Table,0,MATCH(B100&amp;"*",DH_Head,0)))</f>
        <v/>
      </c>
      <c r="O100" s="65">
        <f>IF(W100&lt;&gt;"",W100,IF(U100="Helmond",IF(COUNTIFS(RC_Lane,B100,RC_Band,E100,RC_Transit,"&lt;&gt;")=0,"",SUMIFS(RC_Transit,RC_Lane,B100,RC_Band,E100)),IF(U100="Other","",IF(INDEX(RS_Transit,MATCH(B100,RS_Lane,0))="","",INDEX(RS_Transit,MATCH(B100,RS_Lane,0))))))</f>
        <v/>
      </c>
      <c r="P100" s="140" t="n"/>
      <c r="Q100" s="84">
        <f>IF(P100&lt;&gt;"",P100,IF(O100="","",WORKDAY.INTL(L100,ROUNDUP(O100,0),INDEX(LR_Code,MATCH(B100,LR_Lane,0)),INDEX(DH_Table,0,MATCH(B100&amp;"*",DH_Head,0)))))</f>
        <v/>
      </c>
      <c r="R100" s="100">
        <f>IF(Q100="","",IF(Q100&lt;=N100,"Yes","No"))</f>
        <v/>
      </c>
      <c r="S100" s="52">
        <f>IF(Q100="","",IF(Q100&lt;=N100,0,NETWORKDAYS.INTL(N100,Q100,INDEX(LR_Code,MATCH(B100,LR_Lane,0)),INDEX(DH_Table,0,MATCH(B100&amp;"*",DH_Head,0)))-1))</f>
        <v/>
      </c>
      <c r="T100" s="127" t="n"/>
      <c r="U100" s="112">
        <f>IF(V100&lt;&gt;"",V100,IF(IFERROR(INDEX(RS_Flag,MATCH(B100,RS_Lane,0)),"")="Yes",IF(IFERROR(INDEX(RS_Loc,MATCH(B100,RS_Lane,0)),"")="","Regional stock",IFERROR(INDEX(RS_Loc,MATCH(B100,RS_Lane,0)),"")),"Helmond"))</f>
        <v/>
      </c>
      <c r="V100" s="141" t="n"/>
      <c r="W100" s="142" t="n"/>
      <c r="X100" s="143" t="n"/>
      <c r="Y100" s="116">
        <f>IF(X100&lt;&gt;"",X100,IF(U100="Helmond",IF(COUNTIFS(RC_Lane,B100,RC_Band,E100,RC_CostPS,"&gt;0")=0,"",SUMIFS(RC_CostPS,RC_Lane,B100,RC_Band,E100)),IF(U100="Other","",IF(INDEX(RS_Rate,MATCH(B100,RS_Lane,0))="","",INDEX(RS_Rate,MATCH(B100,RS_Lane,0))))))</f>
        <v/>
      </c>
    </row>
    <row r="101">
      <c r="A101" s="95" t="inlineStr">
        <is>
          <t>A-097</t>
        </is>
      </c>
      <c r="B101" s="112" t="inlineStr">
        <is>
          <t>L08</t>
        </is>
      </c>
      <c r="C101" s="101" t="inlineStr">
        <is>
          <t>Egypt</t>
        </is>
      </c>
      <c r="D101" s="101" t="inlineStr">
        <is>
          <t>Cairo area</t>
        </is>
      </c>
      <c r="E101" s="101" t="inlineStr">
        <is>
          <t>B3  100 to 500 kg</t>
        </is>
      </c>
      <c r="F101" s="123" t="n">
        <v>260.6</v>
      </c>
      <c r="G101" s="86">
        <f>F101*0.006477</f>
        <v/>
      </c>
      <c r="H101" s="123">
        <f>F101*1.079436</f>
        <v/>
      </c>
      <c r="I101" s="122">
        <f>MAX(1,ROUNDUP(G101/0.096,0))</f>
        <v/>
      </c>
      <c r="J101" s="84" t="n">
        <v>46646</v>
      </c>
      <c r="K101" s="87">
        <f>J101-WEEKDAY(J101,2)+1</f>
        <v/>
      </c>
      <c r="L101" s="84">
        <f>J101</f>
        <v/>
      </c>
      <c r="M101" s="52">
        <f>INDEX(LR_Target,MATCH(B101,LR_Lane,0))</f>
        <v/>
      </c>
      <c r="N101" s="84">
        <f>WORKDAY.INTL(L101,M101,INDEX(LR_Code,MATCH(B101,LR_Lane,0)),INDEX(DH_Table,0,MATCH(B101&amp;"*",DH_Head,0)))</f>
        <v/>
      </c>
      <c r="O101" s="65">
        <f>IF(W101&lt;&gt;"",W101,IF(U101="Helmond",IF(COUNTIFS(RC_Lane,B101,RC_Band,E101,RC_Transit,"&lt;&gt;")=0,"",SUMIFS(RC_Transit,RC_Lane,B101,RC_Band,E101)),IF(U101="Other","",IF(INDEX(RS_Transit,MATCH(B101,RS_Lane,0))="","",INDEX(RS_Transit,MATCH(B101,RS_Lane,0))))))</f>
        <v/>
      </c>
      <c r="P101" s="140" t="n"/>
      <c r="Q101" s="84">
        <f>IF(P101&lt;&gt;"",P101,IF(O101="","",WORKDAY.INTL(L101,ROUNDUP(O101,0),INDEX(LR_Code,MATCH(B101,LR_Lane,0)),INDEX(DH_Table,0,MATCH(B101&amp;"*",DH_Head,0)))))</f>
        <v/>
      </c>
      <c r="R101" s="100">
        <f>IF(Q101="","",IF(Q101&lt;=N101,"Yes","No"))</f>
        <v/>
      </c>
      <c r="S101" s="52">
        <f>IF(Q101="","",IF(Q101&lt;=N101,0,NETWORKDAYS.INTL(N101,Q101,INDEX(LR_Code,MATCH(B101,LR_Lane,0)),INDEX(DH_Table,0,MATCH(B101&amp;"*",DH_Head,0)))-1))</f>
        <v/>
      </c>
      <c r="T101" s="127" t="n"/>
      <c r="U101" s="112">
        <f>IF(V101&lt;&gt;"",V101,IF(IFERROR(INDEX(RS_Flag,MATCH(B101,RS_Lane,0)),"")="Yes",IF(IFERROR(INDEX(RS_Loc,MATCH(B101,RS_Lane,0)),"")="","Regional stock",IFERROR(INDEX(RS_Loc,MATCH(B101,RS_Lane,0)),"")),"Helmond"))</f>
        <v/>
      </c>
      <c r="V101" s="141" t="n"/>
      <c r="W101" s="142" t="n"/>
      <c r="X101" s="143" t="n"/>
      <c r="Y101" s="116">
        <f>IF(X101&lt;&gt;"",X101,IF(U101="Helmond",IF(COUNTIFS(RC_Lane,B101,RC_Band,E101,RC_CostPS,"&gt;0")=0,"",SUMIFS(RC_CostPS,RC_Lane,B101,RC_Band,E101)),IF(U101="Other","",IF(INDEX(RS_Rate,MATCH(B101,RS_Lane,0))="","",INDEX(RS_Rate,MATCH(B101,RS_Lane,0))))))</f>
        <v/>
      </c>
    </row>
    <row r="102">
      <c r="A102" s="95" t="inlineStr">
        <is>
          <t>A-098</t>
        </is>
      </c>
      <c r="B102" s="112" t="inlineStr">
        <is>
          <t>L01</t>
        </is>
      </c>
      <c r="C102" s="101" t="inlineStr">
        <is>
          <t>Saudi Arabia</t>
        </is>
      </c>
      <c r="D102" s="101" t="inlineStr">
        <is>
          <t>Jeddah</t>
        </is>
      </c>
      <c r="E102" s="101" t="inlineStr">
        <is>
          <t>B1  0 to 30 kg</t>
        </is>
      </c>
      <c r="F102" s="123" t="n">
        <v>6.4</v>
      </c>
      <c r="G102" s="86">
        <f>F102*0.006477</f>
        <v/>
      </c>
      <c r="H102" s="123">
        <f>F102*1.079436</f>
        <v/>
      </c>
      <c r="I102" s="122">
        <f>MAX(1,ROUNDUP(G102/0.096,0))</f>
        <v/>
      </c>
      <c r="J102" s="84" t="n">
        <v>46647</v>
      </c>
      <c r="K102" s="87">
        <f>J102-WEEKDAY(J102,2)+1</f>
        <v/>
      </c>
      <c r="L102" s="84">
        <f>J102</f>
        <v/>
      </c>
      <c r="M102" s="52">
        <f>INDEX(LR_Target,MATCH(B102,LR_Lane,0))</f>
        <v/>
      </c>
      <c r="N102" s="84">
        <f>WORKDAY.INTL(L102,M102,INDEX(LR_Code,MATCH(B102,LR_Lane,0)),INDEX(DH_Table,0,MATCH(B102&amp;"*",DH_Head,0)))</f>
        <v/>
      </c>
      <c r="O102" s="65">
        <f>IF(W102&lt;&gt;"",W102,IF(U102="Helmond",IF(COUNTIFS(RC_Lane,B102,RC_Band,E102,RC_Transit,"&lt;&gt;")=0,"",SUMIFS(RC_Transit,RC_Lane,B102,RC_Band,E102)),IF(U102="Other","",IF(INDEX(RS_Transit,MATCH(B102,RS_Lane,0))="","",INDEX(RS_Transit,MATCH(B102,RS_Lane,0))))))</f>
        <v/>
      </c>
      <c r="P102" s="140" t="n"/>
      <c r="Q102" s="84">
        <f>IF(P102&lt;&gt;"",P102,IF(O102="","",WORKDAY.INTL(L102,ROUNDUP(O102,0),INDEX(LR_Code,MATCH(B102,LR_Lane,0)),INDEX(DH_Table,0,MATCH(B102&amp;"*",DH_Head,0)))))</f>
        <v/>
      </c>
      <c r="R102" s="100">
        <f>IF(Q102="","",IF(Q102&lt;=N102,"Yes","No"))</f>
        <v/>
      </c>
      <c r="S102" s="52">
        <f>IF(Q102="","",IF(Q102&lt;=N102,0,NETWORKDAYS.INTL(N102,Q102,INDEX(LR_Code,MATCH(B102,LR_Lane,0)),INDEX(DH_Table,0,MATCH(B102&amp;"*",DH_Head,0)))-1))</f>
        <v/>
      </c>
      <c r="T102" s="127" t="n"/>
      <c r="U102" s="112">
        <f>IF(V102&lt;&gt;"",V102,IF(IFERROR(INDEX(RS_Flag,MATCH(B102,RS_Lane,0)),"")="Yes",IF(IFERROR(INDEX(RS_Loc,MATCH(B102,RS_Lane,0)),"")="","Regional stock",IFERROR(INDEX(RS_Loc,MATCH(B102,RS_Lane,0)),"")),"Helmond"))</f>
        <v/>
      </c>
      <c r="V102" s="141" t="n"/>
      <c r="W102" s="142" t="n"/>
      <c r="X102" s="143" t="n"/>
      <c r="Y102" s="116">
        <f>IF(X102&lt;&gt;"",X102,IF(U102="Helmond",IF(COUNTIFS(RC_Lane,B102,RC_Band,E102,RC_CostPS,"&gt;0")=0,"",SUMIFS(RC_CostPS,RC_Lane,B102,RC_Band,E102)),IF(U102="Other","",IF(INDEX(RS_Rate,MATCH(B102,RS_Lane,0))="","",INDEX(RS_Rate,MATCH(B102,RS_Lane,0))))))</f>
        <v/>
      </c>
    </row>
    <row r="103">
      <c r="A103" s="95" t="inlineStr">
        <is>
          <t>A-099</t>
        </is>
      </c>
      <c r="B103" s="112" t="inlineStr">
        <is>
          <t>L02</t>
        </is>
      </c>
      <c r="C103" s="101" t="inlineStr">
        <is>
          <t>United Arab Emirates</t>
        </is>
      </c>
      <c r="D103" s="101" t="inlineStr">
        <is>
          <t>Dubai</t>
        </is>
      </c>
      <c r="E103" s="101" t="inlineStr">
        <is>
          <t>B1  0 to 30 kg</t>
        </is>
      </c>
      <c r="F103" s="123" t="n">
        <v>20</v>
      </c>
      <c r="G103" s="86">
        <f>F103*0.006477</f>
        <v/>
      </c>
      <c r="H103" s="123">
        <f>F103*1.079436</f>
        <v/>
      </c>
      <c r="I103" s="122">
        <f>MAX(1,ROUNDUP(G103/0.096,0))</f>
        <v/>
      </c>
      <c r="J103" s="84" t="n">
        <v>46650</v>
      </c>
      <c r="K103" s="87">
        <f>J103-WEEKDAY(J103,2)+1</f>
        <v/>
      </c>
      <c r="L103" s="84">
        <f>J103</f>
        <v/>
      </c>
      <c r="M103" s="52">
        <f>INDEX(LR_Target,MATCH(B103,LR_Lane,0))</f>
        <v/>
      </c>
      <c r="N103" s="84">
        <f>WORKDAY.INTL(L103,M103,INDEX(LR_Code,MATCH(B103,LR_Lane,0)),INDEX(DH_Table,0,MATCH(B103&amp;"*",DH_Head,0)))</f>
        <v/>
      </c>
      <c r="O103" s="65">
        <f>IF(W103&lt;&gt;"",W103,IF(U103="Helmond",IF(COUNTIFS(RC_Lane,B103,RC_Band,E103,RC_Transit,"&lt;&gt;")=0,"",SUMIFS(RC_Transit,RC_Lane,B103,RC_Band,E103)),IF(U103="Other","",IF(INDEX(RS_Transit,MATCH(B103,RS_Lane,0))="","",INDEX(RS_Transit,MATCH(B103,RS_Lane,0))))))</f>
        <v/>
      </c>
      <c r="P103" s="140" t="n"/>
      <c r="Q103" s="84">
        <f>IF(P103&lt;&gt;"",P103,IF(O103="","",WORKDAY.INTL(L103,ROUNDUP(O103,0),INDEX(LR_Code,MATCH(B103,LR_Lane,0)),INDEX(DH_Table,0,MATCH(B103&amp;"*",DH_Head,0)))))</f>
        <v/>
      </c>
      <c r="R103" s="100">
        <f>IF(Q103="","",IF(Q103&lt;=N103,"Yes","No"))</f>
        <v/>
      </c>
      <c r="S103" s="52">
        <f>IF(Q103="","",IF(Q103&lt;=N103,0,NETWORKDAYS.INTL(N103,Q103,INDEX(LR_Code,MATCH(B103,LR_Lane,0)),INDEX(DH_Table,0,MATCH(B103&amp;"*",DH_Head,0)))-1))</f>
        <v/>
      </c>
      <c r="T103" s="127" t="n"/>
      <c r="U103" s="112">
        <f>IF(V103&lt;&gt;"",V103,IF(IFERROR(INDEX(RS_Flag,MATCH(B103,RS_Lane,0)),"")="Yes",IF(IFERROR(INDEX(RS_Loc,MATCH(B103,RS_Lane,0)),"")="","Regional stock",IFERROR(INDEX(RS_Loc,MATCH(B103,RS_Lane,0)),"")),"Helmond"))</f>
        <v/>
      </c>
      <c r="V103" s="141" t="n"/>
      <c r="W103" s="142" t="n"/>
      <c r="X103" s="143" t="n"/>
      <c r="Y103" s="116">
        <f>IF(X103&lt;&gt;"",X103,IF(U103="Helmond",IF(COUNTIFS(RC_Lane,B103,RC_Band,E103,RC_CostPS,"&gt;0")=0,"",SUMIFS(RC_CostPS,RC_Lane,B103,RC_Band,E103)),IF(U103="Other","",IF(INDEX(RS_Rate,MATCH(B103,RS_Lane,0))="","",INDEX(RS_Rate,MATCH(B103,RS_Lane,0))))))</f>
        <v/>
      </c>
    </row>
    <row r="104">
      <c r="A104" s="95" t="inlineStr">
        <is>
          <t>A-100</t>
        </is>
      </c>
      <c r="B104" s="112" t="inlineStr">
        <is>
          <t>L02</t>
        </is>
      </c>
      <c r="C104" s="101" t="inlineStr">
        <is>
          <t>United Arab Emirates</t>
        </is>
      </c>
      <c r="D104" s="101" t="inlineStr">
        <is>
          <t>Dubai</t>
        </is>
      </c>
      <c r="E104" s="101" t="inlineStr">
        <is>
          <t>B1  0 to 30 kg</t>
        </is>
      </c>
      <c r="F104" s="123" t="n">
        <v>3.9</v>
      </c>
      <c r="G104" s="86">
        <f>F104*0.006477</f>
        <v/>
      </c>
      <c r="H104" s="123">
        <f>F104*1.079436</f>
        <v/>
      </c>
      <c r="I104" s="122">
        <f>MAX(1,ROUNDUP(G104/0.096,0))</f>
        <v/>
      </c>
      <c r="J104" s="84" t="n">
        <v>46652</v>
      </c>
      <c r="K104" s="87">
        <f>J104-WEEKDAY(J104,2)+1</f>
        <v/>
      </c>
      <c r="L104" s="84">
        <f>J104</f>
        <v/>
      </c>
      <c r="M104" s="52">
        <f>INDEX(LR_Target,MATCH(B104,LR_Lane,0))</f>
        <v/>
      </c>
      <c r="N104" s="84">
        <f>WORKDAY.INTL(L104,M104,INDEX(LR_Code,MATCH(B104,LR_Lane,0)),INDEX(DH_Table,0,MATCH(B104&amp;"*",DH_Head,0)))</f>
        <v/>
      </c>
      <c r="O104" s="65">
        <f>IF(W104&lt;&gt;"",W104,IF(U104="Helmond",IF(COUNTIFS(RC_Lane,B104,RC_Band,E104,RC_Transit,"&lt;&gt;")=0,"",SUMIFS(RC_Transit,RC_Lane,B104,RC_Band,E104)),IF(U104="Other","",IF(INDEX(RS_Transit,MATCH(B104,RS_Lane,0))="","",INDEX(RS_Transit,MATCH(B104,RS_Lane,0))))))</f>
        <v/>
      </c>
      <c r="P104" s="140" t="n"/>
      <c r="Q104" s="84">
        <f>IF(P104&lt;&gt;"",P104,IF(O104="","",WORKDAY.INTL(L104,ROUNDUP(O104,0),INDEX(LR_Code,MATCH(B104,LR_Lane,0)),INDEX(DH_Table,0,MATCH(B104&amp;"*",DH_Head,0)))))</f>
        <v/>
      </c>
      <c r="R104" s="100">
        <f>IF(Q104="","",IF(Q104&lt;=N104,"Yes","No"))</f>
        <v/>
      </c>
      <c r="S104" s="52">
        <f>IF(Q104="","",IF(Q104&lt;=N104,0,NETWORKDAYS.INTL(N104,Q104,INDEX(LR_Code,MATCH(B104,LR_Lane,0)),INDEX(DH_Table,0,MATCH(B104&amp;"*",DH_Head,0)))-1))</f>
        <v/>
      </c>
      <c r="T104" s="127" t="n"/>
      <c r="U104" s="112">
        <f>IF(V104&lt;&gt;"",V104,IF(IFERROR(INDEX(RS_Flag,MATCH(B104,RS_Lane,0)),"")="Yes",IF(IFERROR(INDEX(RS_Loc,MATCH(B104,RS_Lane,0)),"")="","Regional stock",IFERROR(INDEX(RS_Loc,MATCH(B104,RS_Lane,0)),"")),"Helmond"))</f>
        <v/>
      </c>
      <c r="V104" s="141" t="n"/>
      <c r="W104" s="142" t="n"/>
      <c r="X104" s="143" t="n"/>
      <c r="Y104" s="116">
        <f>IF(X104&lt;&gt;"",X104,IF(U104="Helmond",IF(COUNTIFS(RC_Lane,B104,RC_Band,E104,RC_CostPS,"&gt;0")=0,"",SUMIFS(RC_CostPS,RC_Lane,B104,RC_Band,E104)),IF(U104="Other","",IF(INDEX(RS_Rate,MATCH(B104,RS_Lane,0))="","",INDEX(RS_Rate,MATCH(B104,RS_Lane,0))))))</f>
        <v/>
      </c>
    </row>
    <row r="105">
      <c r="A105" s="95" t="inlineStr">
        <is>
          <t>A-101</t>
        </is>
      </c>
      <c r="B105" s="112" t="inlineStr">
        <is>
          <t>L03</t>
        </is>
      </c>
      <c r="C105" s="101" t="inlineStr">
        <is>
          <t>Kuwait</t>
        </is>
      </c>
      <c r="D105" s="101" t="inlineStr">
        <is>
          <t>Kuwait City</t>
        </is>
      </c>
      <c r="E105" s="101" t="inlineStr">
        <is>
          <t>B1  0 to 30 kg</t>
        </is>
      </c>
      <c r="F105" s="123" t="n">
        <v>3.8</v>
      </c>
      <c r="G105" s="86">
        <f>F105*0.006477</f>
        <v/>
      </c>
      <c r="H105" s="123">
        <f>F105*1.079436</f>
        <v/>
      </c>
      <c r="I105" s="122">
        <f>MAX(1,ROUNDUP(G105/0.096,0))</f>
        <v/>
      </c>
      <c r="J105" s="84" t="n">
        <v>46654</v>
      </c>
      <c r="K105" s="87">
        <f>J105-WEEKDAY(J105,2)+1</f>
        <v/>
      </c>
      <c r="L105" s="84">
        <f>J105</f>
        <v/>
      </c>
      <c r="M105" s="52">
        <f>INDEX(LR_Target,MATCH(B105,LR_Lane,0))</f>
        <v/>
      </c>
      <c r="N105" s="84">
        <f>WORKDAY.INTL(L105,M105,INDEX(LR_Code,MATCH(B105,LR_Lane,0)),INDEX(DH_Table,0,MATCH(B105&amp;"*",DH_Head,0)))</f>
        <v/>
      </c>
      <c r="O105" s="65">
        <f>IF(W105&lt;&gt;"",W105,IF(U105="Helmond",IF(COUNTIFS(RC_Lane,B105,RC_Band,E105,RC_Transit,"&lt;&gt;")=0,"",SUMIFS(RC_Transit,RC_Lane,B105,RC_Band,E105)),IF(U105="Other","",IF(INDEX(RS_Transit,MATCH(B105,RS_Lane,0))="","",INDEX(RS_Transit,MATCH(B105,RS_Lane,0))))))</f>
        <v/>
      </c>
      <c r="P105" s="140" t="n"/>
      <c r="Q105" s="84">
        <f>IF(P105&lt;&gt;"",P105,IF(O105="","",WORKDAY.INTL(L105,ROUNDUP(O105,0),INDEX(LR_Code,MATCH(B105,LR_Lane,0)),INDEX(DH_Table,0,MATCH(B105&amp;"*",DH_Head,0)))))</f>
        <v/>
      </c>
      <c r="R105" s="100">
        <f>IF(Q105="","",IF(Q105&lt;=N105,"Yes","No"))</f>
        <v/>
      </c>
      <c r="S105" s="52">
        <f>IF(Q105="","",IF(Q105&lt;=N105,0,NETWORKDAYS.INTL(N105,Q105,INDEX(LR_Code,MATCH(B105,LR_Lane,0)),INDEX(DH_Table,0,MATCH(B105&amp;"*",DH_Head,0)))-1))</f>
        <v/>
      </c>
      <c r="T105" s="127" t="n"/>
      <c r="U105" s="112">
        <f>IF(V105&lt;&gt;"",V105,IF(IFERROR(INDEX(RS_Flag,MATCH(B105,RS_Lane,0)),"")="Yes",IF(IFERROR(INDEX(RS_Loc,MATCH(B105,RS_Lane,0)),"")="","Regional stock",IFERROR(INDEX(RS_Loc,MATCH(B105,RS_Lane,0)),"")),"Helmond"))</f>
        <v/>
      </c>
      <c r="V105" s="141" t="n"/>
      <c r="W105" s="142" t="n"/>
      <c r="X105" s="143" t="n"/>
      <c r="Y105" s="116">
        <f>IF(X105&lt;&gt;"",X105,IF(U105="Helmond",IF(COUNTIFS(RC_Lane,B105,RC_Band,E105,RC_CostPS,"&gt;0")=0,"",SUMIFS(RC_CostPS,RC_Lane,B105,RC_Band,E105)),IF(U105="Other","",IF(INDEX(RS_Rate,MATCH(B105,RS_Lane,0))="","",INDEX(RS_Rate,MATCH(B105,RS_Lane,0))))))</f>
        <v/>
      </c>
    </row>
    <row r="106">
      <c r="A106" s="95" t="inlineStr">
        <is>
          <t>A-102</t>
        </is>
      </c>
      <c r="B106" s="112" t="inlineStr">
        <is>
          <t>L02</t>
        </is>
      </c>
      <c r="C106" s="101" t="inlineStr">
        <is>
          <t>United Arab Emirates</t>
        </is>
      </c>
      <c r="D106" s="101" t="inlineStr">
        <is>
          <t>Dubai</t>
        </is>
      </c>
      <c r="E106" s="101" t="inlineStr">
        <is>
          <t>B1  0 to 30 kg</t>
        </is>
      </c>
      <c r="F106" s="123" t="n">
        <v>10.7</v>
      </c>
      <c r="G106" s="86">
        <f>F106*0.006477</f>
        <v/>
      </c>
      <c r="H106" s="123">
        <f>F106*1.079436</f>
        <v/>
      </c>
      <c r="I106" s="122">
        <f>MAX(1,ROUNDUP(G106/0.096,0))</f>
        <v/>
      </c>
      <c r="J106" s="84" t="n">
        <v>46657</v>
      </c>
      <c r="K106" s="87">
        <f>J106-WEEKDAY(J106,2)+1</f>
        <v/>
      </c>
      <c r="L106" s="84">
        <f>J106</f>
        <v/>
      </c>
      <c r="M106" s="52">
        <f>INDEX(LR_Target,MATCH(B106,LR_Lane,0))</f>
        <v/>
      </c>
      <c r="N106" s="84">
        <f>WORKDAY.INTL(L106,M106,INDEX(LR_Code,MATCH(B106,LR_Lane,0)),INDEX(DH_Table,0,MATCH(B106&amp;"*",DH_Head,0)))</f>
        <v/>
      </c>
      <c r="O106" s="65">
        <f>IF(W106&lt;&gt;"",W106,IF(U106="Helmond",IF(COUNTIFS(RC_Lane,B106,RC_Band,E106,RC_Transit,"&lt;&gt;")=0,"",SUMIFS(RC_Transit,RC_Lane,B106,RC_Band,E106)),IF(U106="Other","",IF(INDEX(RS_Transit,MATCH(B106,RS_Lane,0))="","",INDEX(RS_Transit,MATCH(B106,RS_Lane,0))))))</f>
        <v/>
      </c>
      <c r="P106" s="140" t="n"/>
      <c r="Q106" s="84">
        <f>IF(P106&lt;&gt;"",P106,IF(O106="","",WORKDAY.INTL(L106,ROUNDUP(O106,0),INDEX(LR_Code,MATCH(B106,LR_Lane,0)),INDEX(DH_Table,0,MATCH(B106&amp;"*",DH_Head,0)))))</f>
        <v/>
      </c>
      <c r="R106" s="100">
        <f>IF(Q106="","",IF(Q106&lt;=N106,"Yes","No"))</f>
        <v/>
      </c>
      <c r="S106" s="52">
        <f>IF(Q106="","",IF(Q106&lt;=N106,0,NETWORKDAYS.INTL(N106,Q106,INDEX(LR_Code,MATCH(B106,LR_Lane,0)),INDEX(DH_Table,0,MATCH(B106&amp;"*",DH_Head,0)))-1))</f>
        <v/>
      </c>
      <c r="T106" s="127" t="n"/>
      <c r="U106" s="112">
        <f>IF(V106&lt;&gt;"",V106,IF(IFERROR(INDEX(RS_Flag,MATCH(B106,RS_Lane,0)),"")="Yes",IF(IFERROR(INDEX(RS_Loc,MATCH(B106,RS_Lane,0)),"")="","Regional stock",IFERROR(INDEX(RS_Loc,MATCH(B106,RS_Lane,0)),"")),"Helmond"))</f>
        <v/>
      </c>
      <c r="V106" s="141" t="n"/>
      <c r="W106" s="142" t="n"/>
      <c r="X106" s="143" t="n"/>
      <c r="Y106" s="116">
        <f>IF(X106&lt;&gt;"",X106,IF(U106="Helmond",IF(COUNTIFS(RC_Lane,B106,RC_Band,E106,RC_CostPS,"&gt;0")=0,"",SUMIFS(RC_CostPS,RC_Lane,B106,RC_Band,E106)),IF(U106="Other","",IF(INDEX(RS_Rate,MATCH(B106,RS_Lane,0))="","",INDEX(RS_Rate,MATCH(B106,RS_Lane,0))))))</f>
        <v/>
      </c>
    </row>
    <row r="107">
      <c r="A107" s="95" t="inlineStr">
        <is>
          <t>A-103</t>
        </is>
      </c>
      <c r="B107" s="112" t="inlineStr">
        <is>
          <t>L04</t>
        </is>
      </c>
      <c r="C107" s="101" t="inlineStr">
        <is>
          <t>Qatar</t>
        </is>
      </c>
      <c r="D107" s="101" t="inlineStr">
        <is>
          <t>Doha</t>
        </is>
      </c>
      <c r="E107" s="101" t="inlineStr">
        <is>
          <t>B2  30 to 100 kg</t>
        </is>
      </c>
      <c r="F107" s="123" t="n">
        <v>40.3</v>
      </c>
      <c r="G107" s="86">
        <f>F107*0.006477</f>
        <v/>
      </c>
      <c r="H107" s="123">
        <f>F107*1.079436</f>
        <v/>
      </c>
      <c r="I107" s="122">
        <f>MAX(1,ROUNDUP(G107/0.096,0))</f>
        <v/>
      </c>
      <c r="J107" s="84" t="n">
        <v>46657</v>
      </c>
      <c r="K107" s="87">
        <f>J107-WEEKDAY(J107,2)+1</f>
        <v/>
      </c>
      <c r="L107" s="84">
        <f>J107</f>
        <v/>
      </c>
      <c r="M107" s="52">
        <f>INDEX(LR_Target,MATCH(B107,LR_Lane,0))</f>
        <v/>
      </c>
      <c r="N107" s="84">
        <f>WORKDAY.INTL(L107,M107,INDEX(LR_Code,MATCH(B107,LR_Lane,0)),INDEX(DH_Table,0,MATCH(B107&amp;"*",DH_Head,0)))</f>
        <v/>
      </c>
      <c r="O107" s="65">
        <f>IF(W107&lt;&gt;"",W107,IF(U107="Helmond",IF(COUNTIFS(RC_Lane,B107,RC_Band,E107,RC_Transit,"&lt;&gt;")=0,"",SUMIFS(RC_Transit,RC_Lane,B107,RC_Band,E107)),IF(U107="Other","",IF(INDEX(RS_Transit,MATCH(B107,RS_Lane,0))="","",INDEX(RS_Transit,MATCH(B107,RS_Lane,0))))))</f>
        <v/>
      </c>
      <c r="P107" s="140" t="n"/>
      <c r="Q107" s="84">
        <f>IF(P107&lt;&gt;"",P107,IF(O107="","",WORKDAY.INTL(L107,ROUNDUP(O107,0),INDEX(LR_Code,MATCH(B107,LR_Lane,0)),INDEX(DH_Table,0,MATCH(B107&amp;"*",DH_Head,0)))))</f>
        <v/>
      </c>
      <c r="R107" s="100">
        <f>IF(Q107="","",IF(Q107&lt;=N107,"Yes","No"))</f>
        <v/>
      </c>
      <c r="S107" s="52">
        <f>IF(Q107="","",IF(Q107&lt;=N107,0,NETWORKDAYS.INTL(N107,Q107,INDEX(LR_Code,MATCH(B107,LR_Lane,0)),INDEX(DH_Table,0,MATCH(B107&amp;"*",DH_Head,0)))-1))</f>
        <v/>
      </c>
      <c r="T107" s="127" t="n"/>
      <c r="U107" s="112">
        <f>IF(V107&lt;&gt;"",V107,IF(IFERROR(INDEX(RS_Flag,MATCH(B107,RS_Lane,0)),"")="Yes",IF(IFERROR(INDEX(RS_Loc,MATCH(B107,RS_Lane,0)),"")="","Regional stock",IFERROR(INDEX(RS_Loc,MATCH(B107,RS_Lane,0)),"")),"Helmond"))</f>
        <v/>
      </c>
      <c r="V107" s="141" t="n"/>
      <c r="W107" s="142" t="n"/>
      <c r="X107" s="143" t="n"/>
      <c r="Y107" s="116">
        <f>IF(X107&lt;&gt;"",X107,IF(U107="Helmond",IF(COUNTIFS(RC_Lane,B107,RC_Band,E107,RC_CostPS,"&gt;0")=0,"",SUMIFS(RC_CostPS,RC_Lane,B107,RC_Band,E107)),IF(U107="Other","",IF(INDEX(RS_Rate,MATCH(B107,RS_Lane,0))="","",INDEX(RS_Rate,MATCH(B107,RS_Lane,0))))))</f>
        <v/>
      </c>
    </row>
    <row r="108">
      <c r="A108" s="95" t="inlineStr">
        <is>
          <t>A-104</t>
        </is>
      </c>
      <c r="B108" s="112" t="inlineStr">
        <is>
          <t>L01</t>
        </is>
      </c>
      <c r="C108" s="101" t="inlineStr">
        <is>
          <t>Saudi Arabia</t>
        </is>
      </c>
      <c r="D108" s="101" t="inlineStr">
        <is>
          <t>Riyadh</t>
        </is>
      </c>
      <c r="E108" s="101" t="inlineStr">
        <is>
          <t>B2  30 to 100 kg</t>
        </is>
      </c>
      <c r="F108" s="123" t="n">
        <v>37</v>
      </c>
      <c r="G108" s="86">
        <f>F108*0.006477</f>
        <v/>
      </c>
      <c r="H108" s="123">
        <f>F108*1.079436</f>
        <v/>
      </c>
      <c r="I108" s="122">
        <f>MAX(1,ROUNDUP(G108/0.096,0))</f>
        <v/>
      </c>
      <c r="J108" s="84" t="n">
        <v>46658</v>
      </c>
      <c r="K108" s="87">
        <f>J108-WEEKDAY(J108,2)+1</f>
        <v/>
      </c>
      <c r="L108" s="84">
        <f>J108</f>
        <v/>
      </c>
      <c r="M108" s="52">
        <f>INDEX(LR_Target,MATCH(B108,LR_Lane,0))</f>
        <v/>
      </c>
      <c r="N108" s="84">
        <f>WORKDAY.INTL(L108,M108,INDEX(LR_Code,MATCH(B108,LR_Lane,0)),INDEX(DH_Table,0,MATCH(B108&amp;"*",DH_Head,0)))</f>
        <v/>
      </c>
      <c r="O108" s="65">
        <f>IF(W108&lt;&gt;"",W108,IF(U108="Helmond",IF(COUNTIFS(RC_Lane,B108,RC_Band,E108,RC_Transit,"&lt;&gt;")=0,"",SUMIFS(RC_Transit,RC_Lane,B108,RC_Band,E108)),IF(U108="Other","",IF(INDEX(RS_Transit,MATCH(B108,RS_Lane,0))="","",INDEX(RS_Transit,MATCH(B108,RS_Lane,0))))))</f>
        <v/>
      </c>
      <c r="P108" s="140" t="n"/>
      <c r="Q108" s="84">
        <f>IF(P108&lt;&gt;"",P108,IF(O108="","",WORKDAY.INTL(L108,ROUNDUP(O108,0),INDEX(LR_Code,MATCH(B108,LR_Lane,0)),INDEX(DH_Table,0,MATCH(B108&amp;"*",DH_Head,0)))))</f>
        <v/>
      </c>
      <c r="R108" s="100">
        <f>IF(Q108="","",IF(Q108&lt;=N108,"Yes","No"))</f>
        <v/>
      </c>
      <c r="S108" s="52">
        <f>IF(Q108="","",IF(Q108&lt;=N108,0,NETWORKDAYS.INTL(N108,Q108,INDEX(LR_Code,MATCH(B108,LR_Lane,0)),INDEX(DH_Table,0,MATCH(B108&amp;"*",DH_Head,0)))-1))</f>
        <v/>
      </c>
      <c r="T108" s="127" t="n"/>
      <c r="U108" s="112">
        <f>IF(V108&lt;&gt;"",V108,IF(IFERROR(INDEX(RS_Flag,MATCH(B108,RS_Lane,0)),"")="Yes",IF(IFERROR(INDEX(RS_Loc,MATCH(B108,RS_Lane,0)),"")="","Regional stock",IFERROR(INDEX(RS_Loc,MATCH(B108,RS_Lane,0)),"")),"Helmond"))</f>
        <v/>
      </c>
      <c r="V108" s="141" t="n"/>
      <c r="W108" s="142" t="n"/>
      <c r="X108" s="143" t="n"/>
      <c r="Y108" s="116">
        <f>IF(X108&lt;&gt;"",X108,IF(U108="Helmond",IF(COUNTIFS(RC_Lane,B108,RC_Band,E108,RC_CostPS,"&gt;0")=0,"",SUMIFS(RC_CostPS,RC_Lane,B108,RC_Band,E108)),IF(U108="Other","",IF(INDEX(RS_Rate,MATCH(B108,RS_Lane,0))="","",INDEX(RS_Rate,MATCH(B108,RS_Lane,0))))))</f>
        <v/>
      </c>
    </row>
    <row r="109">
      <c r="A109" s="95" t="inlineStr">
        <is>
          <t>A-105</t>
        </is>
      </c>
      <c r="B109" s="112" t="inlineStr">
        <is>
          <t>L03</t>
        </is>
      </c>
      <c r="C109" s="101" t="inlineStr">
        <is>
          <t>Kuwait</t>
        </is>
      </c>
      <c r="D109" s="101" t="inlineStr">
        <is>
          <t>Kuwait City</t>
        </is>
      </c>
      <c r="E109" s="101" t="inlineStr">
        <is>
          <t>B3  100 to 500 kg</t>
        </is>
      </c>
      <c r="F109" s="123" t="n">
        <v>240.3</v>
      </c>
      <c r="G109" s="86">
        <f>F109*0.006477</f>
        <v/>
      </c>
      <c r="H109" s="123">
        <f>F109*1.079436</f>
        <v/>
      </c>
      <c r="I109" s="122">
        <f>MAX(1,ROUNDUP(G109/0.096,0))</f>
        <v/>
      </c>
      <c r="J109" s="84" t="n">
        <v>46658</v>
      </c>
      <c r="K109" s="87">
        <f>J109-WEEKDAY(J109,2)+1</f>
        <v/>
      </c>
      <c r="L109" s="84">
        <f>J109</f>
        <v/>
      </c>
      <c r="M109" s="52">
        <f>INDEX(LR_Target,MATCH(B109,LR_Lane,0))</f>
        <v/>
      </c>
      <c r="N109" s="84">
        <f>WORKDAY.INTL(L109,M109,INDEX(LR_Code,MATCH(B109,LR_Lane,0)),INDEX(DH_Table,0,MATCH(B109&amp;"*",DH_Head,0)))</f>
        <v/>
      </c>
      <c r="O109" s="65">
        <f>IF(W109&lt;&gt;"",W109,IF(U109="Helmond",IF(COUNTIFS(RC_Lane,B109,RC_Band,E109,RC_Transit,"&lt;&gt;")=0,"",SUMIFS(RC_Transit,RC_Lane,B109,RC_Band,E109)),IF(U109="Other","",IF(INDEX(RS_Transit,MATCH(B109,RS_Lane,0))="","",INDEX(RS_Transit,MATCH(B109,RS_Lane,0))))))</f>
        <v/>
      </c>
      <c r="P109" s="140" t="n"/>
      <c r="Q109" s="84">
        <f>IF(P109&lt;&gt;"",P109,IF(O109="","",WORKDAY.INTL(L109,ROUNDUP(O109,0),INDEX(LR_Code,MATCH(B109,LR_Lane,0)),INDEX(DH_Table,0,MATCH(B109&amp;"*",DH_Head,0)))))</f>
        <v/>
      </c>
      <c r="R109" s="100">
        <f>IF(Q109="","",IF(Q109&lt;=N109,"Yes","No"))</f>
        <v/>
      </c>
      <c r="S109" s="52">
        <f>IF(Q109="","",IF(Q109&lt;=N109,0,NETWORKDAYS.INTL(N109,Q109,INDEX(LR_Code,MATCH(B109,LR_Lane,0)),INDEX(DH_Table,0,MATCH(B109&amp;"*",DH_Head,0)))-1))</f>
        <v/>
      </c>
      <c r="T109" s="127" t="n"/>
      <c r="U109" s="112">
        <f>IF(V109&lt;&gt;"",V109,IF(IFERROR(INDEX(RS_Flag,MATCH(B109,RS_Lane,0)),"")="Yes",IF(IFERROR(INDEX(RS_Loc,MATCH(B109,RS_Lane,0)),"")="","Regional stock",IFERROR(INDEX(RS_Loc,MATCH(B109,RS_Lane,0)),"")),"Helmond"))</f>
        <v/>
      </c>
      <c r="V109" s="141" t="n"/>
      <c r="W109" s="142" t="n"/>
      <c r="X109" s="143" t="n"/>
      <c r="Y109" s="116">
        <f>IF(X109&lt;&gt;"",X109,IF(U109="Helmond",IF(COUNTIFS(RC_Lane,B109,RC_Band,E109,RC_CostPS,"&gt;0")=0,"",SUMIFS(RC_CostPS,RC_Lane,B109,RC_Band,E109)),IF(U109="Other","",IF(INDEX(RS_Rate,MATCH(B109,RS_Lane,0))="","",INDEX(RS_Rate,MATCH(B109,RS_Lane,0))))))</f>
        <v/>
      </c>
    </row>
    <row r="110">
      <c r="A110" s="95" t="inlineStr">
        <is>
          <t>A-106</t>
        </is>
      </c>
      <c r="B110" s="112" t="inlineStr">
        <is>
          <t>L06</t>
        </is>
      </c>
      <c r="C110" s="101" t="inlineStr">
        <is>
          <t>Morocco</t>
        </is>
      </c>
      <c r="D110" s="101" t="inlineStr">
        <is>
          <t>Casablanca area</t>
        </is>
      </c>
      <c r="E110" s="101" t="inlineStr">
        <is>
          <t>B2  30 to 100 kg</t>
        </is>
      </c>
      <c r="F110" s="123" t="n">
        <v>52</v>
      </c>
      <c r="G110" s="86">
        <f>F110*0.006477</f>
        <v/>
      </c>
      <c r="H110" s="123">
        <f>F110*1.079436</f>
        <v/>
      </c>
      <c r="I110" s="122">
        <f>MAX(1,ROUNDUP(G110/0.096,0))</f>
        <v/>
      </c>
      <c r="J110" s="84" t="n">
        <v>46659</v>
      </c>
      <c r="K110" s="87">
        <f>J110-WEEKDAY(J110,2)+1</f>
        <v/>
      </c>
      <c r="L110" s="84">
        <f>J110</f>
        <v/>
      </c>
      <c r="M110" s="52">
        <f>INDEX(LR_Target,MATCH(B110,LR_Lane,0))</f>
        <v/>
      </c>
      <c r="N110" s="84">
        <f>WORKDAY.INTL(L110,M110,INDEX(LR_Code,MATCH(B110,LR_Lane,0)),INDEX(DH_Table,0,MATCH(B110&amp;"*",DH_Head,0)))</f>
        <v/>
      </c>
      <c r="O110" s="65">
        <f>IF(W110&lt;&gt;"",W110,IF(U110="Helmond",IF(COUNTIFS(RC_Lane,B110,RC_Band,E110,RC_Transit,"&lt;&gt;")=0,"",SUMIFS(RC_Transit,RC_Lane,B110,RC_Band,E110)),IF(U110="Other","",IF(INDEX(RS_Transit,MATCH(B110,RS_Lane,0))="","",INDEX(RS_Transit,MATCH(B110,RS_Lane,0))))))</f>
        <v/>
      </c>
      <c r="P110" s="140" t="n"/>
      <c r="Q110" s="84">
        <f>IF(P110&lt;&gt;"",P110,IF(O110="","",WORKDAY.INTL(L110,ROUNDUP(O110,0),INDEX(LR_Code,MATCH(B110,LR_Lane,0)),INDEX(DH_Table,0,MATCH(B110&amp;"*",DH_Head,0)))))</f>
        <v/>
      </c>
      <c r="R110" s="100">
        <f>IF(Q110="","",IF(Q110&lt;=N110,"Yes","No"))</f>
        <v/>
      </c>
      <c r="S110" s="52">
        <f>IF(Q110="","",IF(Q110&lt;=N110,0,NETWORKDAYS.INTL(N110,Q110,INDEX(LR_Code,MATCH(B110,LR_Lane,0)),INDEX(DH_Table,0,MATCH(B110&amp;"*",DH_Head,0)))-1))</f>
        <v/>
      </c>
      <c r="T110" s="127" t="n"/>
      <c r="U110" s="112">
        <f>IF(V110&lt;&gt;"",V110,IF(IFERROR(INDEX(RS_Flag,MATCH(B110,RS_Lane,0)),"")="Yes",IF(IFERROR(INDEX(RS_Loc,MATCH(B110,RS_Lane,0)),"")="","Regional stock",IFERROR(INDEX(RS_Loc,MATCH(B110,RS_Lane,0)),"")),"Helmond"))</f>
        <v/>
      </c>
      <c r="V110" s="141" t="n"/>
      <c r="W110" s="142" t="n"/>
      <c r="X110" s="143" t="n"/>
      <c r="Y110" s="116">
        <f>IF(X110&lt;&gt;"",X110,IF(U110="Helmond",IF(COUNTIFS(RC_Lane,B110,RC_Band,E110,RC_CostPS,"&gt;0")=0,"",SUMIFS(RC_CostPS,RC_Lane,B110,RC_Band,E110)),IF(U110="Other","",IF(INDEX(RS_Rate,MATCH(B110,RS_Lane,0))="","",INDEX(RS_Rate,MATCH(B110,RS_Lane,0))))))</f>
        <v/>
      </c>
    </row>
    <row r="111">
      <c r="A111" s="95" t="inlineStr">
        <is>
          <t>A-107</t>
        </is>
      </c>
      <c r="B111" s="112" t="inlineStr">
        <is>
          <t>L02</t>
        </is>
      </c>
      <c r="C111" s="101" t="inlineStr">
        <is>
          <t>United Arab Emirates</t>
        </is>
      </c>
      <c r="D111" s="101" t="inlineStr">
        <is>
          <t>Dubai</t>
        </is>
      </c>
      <c r="E111" s="101" t="inlineStr">
        <is>
          <t>B1  0 to 30 kg</t>
        </is>
      </c>
      <c r="F111" s="123" t="n">
        <v>12.1</v>
      </c>
      <c r="G111" s="86">
        <f>F111*0.006477</f>
        <v/>
      </c>
      <c r="H111" s="123">
        <f>F111*1.079436</f>
        <v/>
      </c>
      <c r="I111" s="122">
        <f>MAX(1,ROUNDUP(G111/0.096,0))</f>
        <v/>
      </c>
      <c r="J111" s="84" t="n">
        <v>46661</v>
      </c>
      <c r="K111" s="87">
        <f>J111-WEEKDAY(J111,2)+1</f>
        <v/>
      </c>
      <c r="L111" s="84">
        <f>J111</f>
        <v/>
      </c>
      <c r="M111" s="52">
        <f>INDEX(LR_Target,MATCH(B111,LR_Lane,0))</f>
        <v/>
      </c>
      <c r="N111" s="84">
        <f>WORKDAY.INTL(L111,M111,INDEX(LR_Code,MATCH(B111,LR_Lane,0)),INDEX(DH_Table,0,MATCH(B111&amp;"*",DH_Head,0)))</f>
        <v/>
      </c>
      <c r="O111" s="65">
        <f>IF(W111&lt;&gt;"",W111,IF(U111="Helmond",IF(COUNTIFS(RC_Lane,B111,RC_Band,E111,RC_Transit,"&lt;&gt;")=0,"",SUMIFS(RC_Transit,RC_Lane,B111,RC_Band,E111)),IF(U111="Other","",IF(INDEX(RS_Transit,MATCH(B111,RS_Lane,0))="","",INDEX(RS_Transit,MATCH(B111,RS_Lane,0))))))</f>
        <v/>
      </c>
      <c r="P111" s="140" t="n"/>
      <c r="Q111" s="84">
        <f>IF(P111&lt;&gt;"",P111,IF(O111="","",WORKDAY.INTL(L111,ROUNDUP(O111,0),INDEX(LR_Code,MATCH(B111,LR_Lane,0)),INDEX(DH_Table,0,MATCH(B111&amp;"*",DH_Head,0)))))</f>
        <v/>
      </c>
      <c r="R111" s="100">
        <f>IF(Q111="","",IF(Q111&lt;=N111,"Yes","No"))</f>
        <v/>
      </c>
      <c r="S111" s="52">
        <f>IF(Q111="","",IF(Q111&lt;=N111,0,NETWORKDAYS.INTL(N111,Q111,INDEX(LR_Code,MATCH(B111,LR_Lane,0)),INDEX(DH_Table,0,MATCH(B111&amp;"*",DH_Head,0)))-1))</f>
        <v/>
      </c>
      <c r="T111" s="127" t="n"/>
      <c r="U111" s="112">
        <f>IF(V111&lt;&gt;"",V111,IF(IFERROR(INDEX(RS_Flag,MATCH(B111,RS_Lane,0)),"")="Yes",IF(IFERROR(INDEX(RS_Loc,MATCH(B111,RS_Lane,0)),"")="","Regional stock",IFERROR(INDEX(RS_Loc,MATCH(B111,RS_Lane,0)),"")),"Helmond"))</f>
        <v/>
      </c>
      <c r="V111" s="141" t="n"/>
      <c r="W111" s="142" t="n"/>
      <c r="X111" s="143" t="n"/>
      <c r="Y111" s="116">
        <f>IF(X111&lt;&gt;"",X111,IF(U111="Helmond",IF(COUNTIFS(RC_Lane,B111,RC_Band,E111,RC_CostPS,"&gt;0")=0,"",SUMIFS(RC_CostPS,RC_Lane,B111,RC_Band,E111)),IF(U111="Other","",IF(INDEX(RS_Rate,MATCH(B111,RS_Lane,0))="","",INDEX(RS_Rate,MATCH(B111,RS_Lane,0))))))</f>
        <v/>
      </c>
    </row>
    <row r="112">
      <c r="A112" s="95" t="inlineStr">
        <is>
          <t>A-108</t>
        </is>
      </c>
      <c r="B112" s="112" t="inlineStr">
        <is>
          <t>L01</t>
        </is>
      </c>
      <c r="C112" s="101" t="inlineStr">
        <is>
          <t>Saudi Arabia</t>
        </is>
      </c>
      <c r="D112" s="101" t="inlineStr">
        <is>
          <t>Jeddah</t>
        </is>
      </c>
      <c r="E112" s="101" t="inlineStr">
        <is>
          <t>B3  100 to 500 kg</t>
        </is>
      </c>
      <c r="F112" s="123" t="n">
        <v>346.3</v>
      </c>
      <c r="G112" s="86">
        <f>F112*0.006477</f>
        <v/>
      </c>
      <c r="H112" s="123">
        <f>F112*1.079436</f>
        <v/>
      </c>
      <c r="I112" s="122">
        <f>MAX(1,ROUNDUP(G112/0.096,0))</f>
        <v/>
      </c>
      <c r="J112" s="84" t="n">
        <v>46664</v>
      </c>
      <c r="K112" s="87">
        <f>J112-WEEKDAY(J112,2)+1</f>
        <v/>
      </c>
      <c r="L112" s="84">
        <f>J112</f>
        <v/>
      </c>
      <c r="M112" s="52">
        <f>INDEX(LR_Target,MATCH(B112,LR_Lane,0))</f>
        <v/>
      </c>
      <c r="N112" s="84">
        <f>WORKDAY.INTL(L112,M112,INDEX(LR_Code,MATCH(B112,LR_Lane,0)),INDEX(DH_Table,0,MATCH(B112&amp;"*",DH_Head,0)))</f>
        <v/>
      </c>
      <c r="O112" s="65">
        <f>IF(W112&lt;&gt;"",W112,IF(U112="Helmond",IF(COUNTIFS(RC_Lane,B112,RC_Band,E112,RC_Transit,"&lt;&gt;")=0,"",SUMIFS(RC_Transit,RC_Lane,B112,RC_Band,E112)),IF(U112="Other","",IF(INDEX(RS_Transit,MATCH(B112,RS_Lane,0))="","",INDEX(RS_Transit,MATCH(B112,RS_Lane,0))))))</f>
        <v/>
      </c>
      <c r="P112" s="140" t="n"/>
      <c r="Q112" s="84">
        <f>IF(P112&lt;&gt;"",P112,IF(O112="","",WORKDAY.INTL(L112,ROUNDUP(O112,0),INDEX(LR_Code,MATCH(B112,LR_Lane,0)),INDEX(DH_Table,0,MATCH(B112&amp;"*",DH_Head,0)))))</f>
        <v/>
      </c>
      <c r="R112" s="100">
        <f>IF(Q112="","",IF(Q112&lt;=N112,"Yes","No"))</f>
        <v/>
      </c>
      <c r="S112" s="52">
        <f>IF(Q112="","",IF(Q112&lt;=N112,0,NETWORKDAYS.INTL(N112,Q112,INDEX(LR_Code,MATCH(B112,LR_Lane,0)),INDEX(DH_Table,0,MATCH(B112&amp;"*",DH_Head,0)))-1))</f>
        <v/>
      </c>
      <c r="T112" s="127" t="n"/>
      <c r="U112" s="112">
        <f>IF(V112&lt;&gt;"",V112,IF(IFERROR(INDEX(RS_Flag,MATCH(B112,RS_Lane,0)),"")="Yes",IF(IFERROR(INDEX(RS_Loc,MATCH(B112,RS_Lane,0)),"")="","Regional stock",IFERROR(INDEX(RS_Loc,MATCH(B112,RS_Lane,0)),"")),"Helmond"))</f>
        <v/>
      </c>
      <c r="V112" s="141" t="n"/>
      <c r="W112" s="142" t="n"/>
      <c r="X112" s="143" t="n"/>
      <c r="Y112" s="116">
        <f>IF(X112&lt;&gt;"",X112,IF(U112="Helmond",IF(COUNTIFS(RC_Lane,B112,RC_Band,E112,RC_CostPS,"&gt;0")=0,"",SUMIFS(RC_CostPS,RC_Lane,B112,RC_Band,E112)),IF(U112="Other","",IF(INDEX(RS_Rate,MATCH(B112,RS_Lane,0))="","",INDEX(RS_Rate,MATCH(B112,RS_Lane,0))))))</f>
        <v/>
      </c>
    </row>
    <row r="113">
      <c r="A113" s="95" t="inlineStr">
        <is>
          <t>A-109</t>
        </is>
      </c>
      <c r="B113" s="112" t="inlineStr">
        <is>
          <t>L01</t>
        </is>
      </c>
      <c r="C113" s="101" t="inlineStr">
        <is>
          <t>Saudi Arabia</t>
        </is>
      </c>
      <c r="D113" s="101" t="inlineStr">
        <is>
          <t>Jeddah</t>
        </is>
      </c>
      <c r="E113" s="101" t="inlineStr">
        <is>
          <t>B1  0 to 30 kg</t>
        </is>
      </c>
      <c r="F113" s="123" t="n">
        <v>6.3</v>
      </c>
      <c r="G113" s="86">
        <f>F113*0.006477</f>
        <v/>
      </c>
      <c r="H113" s="123">
        <f>F113*1.079436</f>
        <v/>
      </c>
      <c r="I113" s="122">
        <f>MAX(1,ROUNDUP(G113/0.096,0))</f>
        <v/>
      </c>
      <c r="J113" s="84" t="n">
        <v>46664</v>
      </c>
      <c r="K113" s="87">
        <f>J113-WEEKDAY(J113,2)+1</f>
        <v/>
      </c>
      <c r="L113" s="84">
        <f>J113</f>
        <v/>
      </c>
      <c r="M113" s="52">
        <f>INDEX(LR_Target,MATCH(B113,LR_Lane,0))</f>
        <v/>
      </c>
      <c r="N113" s="84">
        <f>WORKDAY.INTL(L113,M113,INDEX(LR_Code,MATCH(B113,LR_Lane,0)),INDEX(DH_Table,0,MATCH(B113&amp;"*",DH_Head,0)))</f>
        <v/>
      </c>
      <c r="O113" s="65">
        <f>IF(W113&lt;&gt;"",W113,IF(U113="Helmond",IF(COUNTIFS(RC_Lane,B113,RC_Band,E113,RC_Transit,"&lt;&gt;")=0,"",SUMIFS(RC_Transit,RC_Lane,B113,RC_Band,E113)),IF(U113="Other","",IF(INDEX(RS_Transit,MATCH(B113,RS_Lane,0))="","",INDEX(RS_Transit,MATCH(B113,RS_Lane,0))))))</f>
        <v/>
      </c>
      <c r="P113" s="140" t="n"/>
      <c r="Q113" s="84">
        <f>IF(P113&lt;&gt;"",P113,IF(O113="","",WORKDAY.INTL(L113,ROUNDUP(O113,0),INDEX(LR_Code,MATCH(B113,LR_Lane,0)),INDEX(DH_Table,0,MATCH(B113&amp;"*",DH_Head,0)))))</f>
        <v/>
      </c>
      <c r="R113" s="100">
        <f>IF(Q113="","",IF(Q113&lt;=N113,"Yes","No"))</f>
        <v/>
      </c>
      <c r="S113" s="52">
        <f>IF(Q113="","",IF(Q113&lt;=N113,0,NETWORKDAYS.INTL(N113,Q113,INDEX(LR_Code,MATCH(B113,LR_Lane,0)),INDEX(DH_Table,0,MATCH(B113&amp;"*",DH_Head,0)))-1))</f>
        <v/>
      </c>
      <c r="T113" s="127" t="n"/>
      <c r="U113" s="112">
        <f>IF(V113&lt;&gt;"",V113,IF(IFERROR(INDEX(RS_Flag,MATCH(B113,RS_Lane,0)),"")="Yes",IF(IFERROR(INDEX(RS_Loc,MATCH(B113,RS_Lane,0)),"")="","Regional stock",IFERROR(INDEX(RS_Loc,MATCH(B113,RS_Lane,0)),"")),"Helmond"))</f>
        <v/>
      </c>
      <c r="V113" s="141" t="n"/>
      <c r="W113" s="142" t="n"/>
      <c r="X113" s="143" t="n"/>
      <c r="Y113" s="116">
        <f>IF(X113&lt;&gt;"",X113,IF(U113="Helmond",IF(COUNTIFS(RC_Lane,B113,RC_Band,E113,RC_CostPS,"&gt;0")=0,"",SUMIFS(RC_CostPS,RC_Lane,B113,RC_Band,E113)),IF(U113="Other","",IF(INDEX(RS_Rate,MATCH(B113,RS_Lane,0))="","",INDEX(RS_Rate,MATCH(B113,RS_Lane,0))))))</f>
        <v/>
      </c>
    </row>
    <row r="114">
      <c r="A114" s="95" t="inlineStr">
        <is>
          <t>A-110</t>
        </is>
      </c>
      <c r="B114" s="112" t="inlineStr">
        <is>
          <t>L01</t>
        </is>
      </c>
      <c r="C114" s="101" t="inlineStr">
        <is>
          <t>Saudi Arabia</t>
        </is>
      </c>
      <c r="D114" s="101" t="inlineStr">
        <is>
          <t>Jeddah</t>
        </is>
      </c>
      <c r="E114" s="101" t="inlineStr">
        <is>
          <t>B1  0 to 30 kg</t>
        </is>
      </c>
      <c r="F114" s="123" t="n">
        <v>4.6</v>
      </c>
      <c r="G114" s="86">
        <f>F114*0.006477</f>
        <v/>
      </c>
      <c r="H114" s="123">
        <f>F114*1.079436</f>
        <v/>
      </c>
      <c r="I114" s="122">
        <f>MAX(1,ROUNDUP(G114/0.096,0))</f>
        <v/>
      </c>
      <c r="J114" s="84" t="n">
        <v>46668</v>
      </c>
      <c r="K114" s="87">
        <f>J114-WEEKDAY(J114,2)+1</f>
        <v/>
      </c>
      <c r="L114" s="84">
        <f>J114</f>
        <v/>
      </c>
      <c r="M114" s="52">
        <f>INDEX(LR_Target,MATCH(B114,LR_Lane,0))</f>
        <v/>
      </c>
      <c r="N114" s="84">
        <f>WORKDAY.INTL(L114,M114,INDEX(LR_Code,MATCH(B114,LR_Lane,0)),INDEX(DH_Table,0,MATCH(B114&amp;"*",DH_Head,0)))</f>
        <v/>
      </c>
      <c r="O114" s="65">
        <f>IF(W114&lt;&gt;"",W114,IF(U114="Helmond",IF(COUNTIFS(RC_Lane,B114,RC_Band,E114,RC_Transit,"&lt;&gt;")=0,"",SUMIFS(RC_Transit,RC_Lane,B114,RC_Band,E114)),IF(U114="Other","",IF(INDEX(RS_Transit,MATCH(B114,RS_Lane,0))="","",INDEX(RS_Transit,MATCH(B114,RS_Lane,0))))))</f>
        <v/>
      </c>
      <c r="P114" s="140" t="n"/>
      <c r="Q114" s="84">
        <f>IF(P114&lt;&gt;"",P114,IF(O114="","",WORKDAY.INTL(L114,ROUNDUP(O114,0),INDEX(LR_Code,MATCH(B114,LR_Lane,0)),INDEX(DH_Table,0,MATCH(B114&amp;"*",DH_Head,0)))))</f>
        <v/>
      </c>
      <c r="R114" s="100">
        <f>IF(Q114="","",IF(Q114&lt;=N114,"Yes","No"))</f>
        <v/>
      </c>
      <c r="S114" s="52">
        <f>IF(Q114="","",IF(Q114&lt;=N114,0,NETWORKDAYS.INTL(N114,Q114,INDEX(LR_Code,MATCH(B114,LR_Lane,0)),INDEX(DH_Table,0,MATCH(B114&amp;"*",DH_Head,0)))-1))</f>
        <v/>
      </c>
      <c r="T114" s="127" t="n"/>
      <c r="U114" s="112">
        <f>IF(V114&lt;&gt;"",V114,IF(IFERROR(INDEX(RS_Flag,MATCH(B114,RS_Lane,0)),"")="Yes",IF(IFERROR(INDEX(RS_Loc,MATCH(B114,RS_Lane,0)),"")="","Regional stock",IFERROR(INDEX(RS_Loc,MATCH(B114,RS_Lane,0)),"")),"Helmond"))</f>
        <v/>
      </c>
      <c r="V114" s="141" t="n"/>
      <c r="W114" s="142" t="n"/>
      <c r="X114" s="143" t="n"/>
      <c r="Y114" s="116">
        <f>IF(X114&lt;&gt;"",X114,IF(U114="Helmond",IF(COUNTIFS(RC_Lane,B114,RC_Band,E114,RC_CostPS,"&gt;0")=0,"",SUMIFS(RC_CostPS,RC_Lane,B114,RC_Band,E114)),IF(U114="Other","",IF(INDEX(RS_Rate,MATCH(B114,RS_Lane,0))="","",INDEX(RS_Rate,MATCH(B114,RS_Lane,0))))))</f>
        <v/>
      </c>
    </row>
    <row r="115">
      <c r="A115" s="95" t="inlineStr">
        <is>
          <t>A-111</t>
        </is>
      </c>
      <c r="B115" s="112" t="inlineStr">
        <is>
          <t>L03</t>
        </is>
      </c>
      <c r="C115" s="101" t="inlineStr">
        <is>
          <t>Kuwait</t>
        </is>
      </c>
      <c r="D115" s="101" t="inlineStr">
        <is>
          <t>Kuwait City</t>
        </is>
      </c>
      <c r="E115" s="101" t="inlineStr">
        <is>
          <t>B3  100 to 500 kg</t>
        </is>
      </c>
      <c r="F115" s="123" t="n">
        <v>248</v>
      </c>
      <c r="G115" s="86">
        <f>F115*0.006477</f>
        <v/>
      </c>
      <c r="H115" s="123">
        <f>F115*1.079436</f>
        <v/>
      </c>
      <c r="I115" s="122">
        <f>MAX(1,ROUNDUP(G115/0.096,0))</f>
        <v/>
      </c>
      <c r="J115" s="84" t="n">
        <v>46674</v>
      </c>
      <c r="K115" s="87">
        <f>J115-WEEKDAY(J115,2)+1</f>
        <v/>
      </c>
      <c r="L115" s="84">
        <f>J115</f>
        <v/>
      </c>
      <c r="M115" s="52">
        <f>INDEX(LR_Target,MATCH(B115,LR_Lane,0))</f>
        <v/>
      </c>
      <c r="N115" s="84">
        <f>WORKDAY.INTL(L115,M115,INDEX(LR_Code,MATCH(B115,LR_Lane,0)),INDEX(DH_Table,0,MATCH(B115&amp;"*",DH_Head,0)))</f>
        <v/>
      </c>
      <c r="O115" s="65">
        <f>IF(W115&lt;&gt;"",W115,IF(U115="Helmond",IF(COUNTIFS(RC_Lane,B115,RC_Band,E115,RC_Transit,"&lt;&gt;")=0,"",SUMIFS(RC_Transit,RC_Lane,B115,RC_Band,E115)),IF(U115="Other","",IF(INDEX(RS_Transit,MATCH(B115,RS_Lane,0))="","",INDEX(RS_Transit,MATCH(B115,RS_Lane,0))))))</f>
        <v/>
      </c>
      <c r="P115" s="140" t="n"/>
      <c r="Q115" s="84">
        <f>IF(P115&lt;&gt;"",P115,IF(O115="","",WORKDAY.INTL(L115,ROUNDUP(O115,0),INDEX(LR_Code,MATCH(B115,LR_Lane,0)),INDEX(DH_Table,0,MATCH(B115&amp;"*",DH_Head,0)))))</f>
        <v/>
      </c>
      <c r="R115" s="100">
        <f>IF(Q115="","",IF(Q115&lt;=N115,"Yes","No"))</f>
        <v/>
      </c>
      <c r="S115" s="52">
        <f>IF(Q115="","",IF(Q115&lt;=N115,0,NETWORKDAYS.INTL(N115,Q115,INDEX(LR_Code,MATCH(B115,LR_Lane,0)),INDEX(DH_Table,0,MATCH(B115&amp;"*",DH_Head,0)))-1))</f>
        <v/>
      </c>
      <c r="T115" s="127" t="n"/>
      <c r="U115" s="112">
        <f>IF(V115&lt;&gt;"",V115,IF(IFERROR(INDEX(RS_Flag,MATCH(B115,RS_Lane,0)),"")="Yes",IF(IFERROR(INDEX(RS_Loc,MATCH(B115,RS_Lane,0)),"")="","Regional stock",IFERROR(INDEX(RS_Loc,MATCH(B115,RS_Lane,0)),"")),"Helmond"))</f>
        <v/>
      </c>
      <c r="V115" s="141" t="n"/>
      <c r="W115" s="142" t="n"/>
      <c r="X115" s="143" t="n"/>
      <c r="Y115" s="116">
        <f>IF(X115&lt;&gt;"",X115,IF(U115="Helmond",IF(COUNTIFS(RC_Lane,B115,RC_Band,E115,RC_CostPS,"&gt;0")=0,"",SUMIFS(RC_CostPS,RC_Lane,B115,RC_Band,E115)),IF(U115="Other","",IF(INDEX(RS_Rate,MATCH(B115,RS_Lane,0))="","",INDEX(RS_Rate,MATCH(B115,RS_Lane,0))))))</f>
        <v/>
      </c>
    </row>
    <row r="116">
      <c r="A116" s="95" t="inlineStr">
        <is>
          <t>A-112</t>
        </is>
      </c>
      <c r="B116" s="112" t="inlineStr">
        <is>
          <t>L04</t>
        </is>
      </c>
      <c r="C116" s="101" t="inlineStr">
        <is>
          <t>Qatar</t>
        </is>
      </c>
      <c r="D116" s="101" t="inlineStr">
        <is>
          <t>Doha</t>
        </is>
      </c>
      <c r="E116" s="101" t="inlineStr">
        <is>
          <t>B1  0 to 30 kg</t>
        </is>
      </c>
      <c r="F116" s="123" t="n">
        <v>12.9</v>
      </c>
      <c r="G116" s="86">
        <f>F116*0.006477</f>
        <v/>
      </c>
      <c r="H116" s="123">
        <f>F116*1.079436</f>
        <v/>
      </c>
      <c r="I116" s="122">
        <f>MAX(1,ROUNDUP(G116/0.096,0))</f>
        <v/>
      </c>
      <c r="J116" s="84" t="n">
        <v>46674</v>
      </c>
      <c r="K116" s="87">
        <f>J116-WEEKDAY(J116,2)+1</f>
        <v/>
      </c>
      <c r="L116" s="84">
        <f>J116</f>
        <v/>
      </c>
      <c r="M116" s="52">
        <f>INDEX(LR_Target,MATCH(B116,LR_Lane,0))</f>
        <v/>
      </c>
      <c r="N116" s="84">
        <f>WORKDAY.INTL(L116,M116,INDEX(LR_Code,MATCH(B116,LR_Lane,0)),INDEX(DH_Table,0,MATCH(B116&amp;"*",DH_Head,0)))</f>
        <v/>
      </c>
      <c r="O116" s="65">
        <f>IF(W116&lt;&gt;"",W116,IF(U116="Helmond",IF(COUNTIFS(RC_Lane,B116,RC_Band,E116,RC_Transit,"&lt;&gt;")=0,"",SUMIFS(RC_Transit,RC_Lane,B116,RC_Band,E116)),IF(U116="Other","",IF(INDEX(RS_Transit,MATCH(B116,RS_Lane,0))="","",INDEX(RS_Transit,MATCH(B116,RS_Lane,0))))))</f>
        <v/>
      </c>
      <c r="P116" s="140" t="n"/>
      <c r="Q116" s="84">
        <f>IF(P116&lt;&gt;"",P116,IF(O116="","",WORKDAY.INTL(L116,ROUNDUP(O116,0),INDEX(LR_Code,MATCH(B116,LR_Lane,0)),INDEX(DH_Table,0,MATCH(B116&amp;"*",DH_Head,0)))))</f>
        <v/>
      </c>
      <c r="R116" s="100">
        <f>IF(Q116="","",IF(Q116&lt;=N116,"Yes","No"))</f>
        <v/>
      </c>
      <c r="S116" s="52">
        <f>IF(Q116="","",IF(Q116&lt;=N116,0,NETWORKDAYS.INTL(N116,Q116,INDEX(LR_Code,MATCH(B116,LR_Lane,0)),INDEX(DH_Table,0,MATCH(B116&amp;"*",DH_Head,0)))-1))</f>
        <v/>
      </c>
      <c r="T116" s="127" t="n"/>
      <c r="U116" s="112">
        <f>IF(V116&lt;&gt;"",V116,IF(IFERROR(INDEX(RS_Flag,MATCH(B116,RS_Lane,0)),"")="Yes",IF(IFERROR(INDEX(RS_Loc,MATCH(B116,RS_Lane,0)),"")="","Regional stock",IFERROR(INDEX(RS_Loc,MATCH(B116,RS_Lane,0)),"")),"Helmond"))</f>
        <v/>
      </c>
      <c r="V116" s="141" t="n"/>
      <c r="W116" s="142" t="n"/>
      <c r="X116" s="143" t="n"/>
      <c r="Y116" s="116">
        <f>IF(X116&lt;&gt;"",X116,IF(U116="Helmond",IF(COUNTIFS(RC_Lane,B116,RC_Band,E116,RC_CostPS,"&gt;0")=0,"",SUMIFS(RC_CostPS,RC_Lane,B116,RC_Band,E116)),IF(U116="Other","",IF(INDEX(RS_Rate,MATCH(B116,RS_Lane,0))="","",INDEX(RS_Rate,MATCH(B116,RS_Lane,0))))))</f>
        <v/>
      </c>
    </row>
    <row r="117">
      <c r="A117" s="95" t="inlineStr">
        <is>
          <t>A-113</t>
        </is>
      </c>
      <c r="B117" s="112" t="inlineStr">
        <is>
          <t>L01</t>
        </is>
      </c>
      <c r="C117" s="101" t="inlineStr">
        <is>
          <t>Saudi Arabia</t>
        </is>
      </c>
      <c r="D117" s="101" t="inlineStr">
        <is>
          <t>Riyadh</t>
        </is>
      </c>
      <c r="E117" s="101" t="inlineStr">
        <is>
          <t>B1  0 to 30 kg</t>
        </is>
      </c>
      <c r="F117" s="123" t="n">
        <v>2.6</v>
      </c>
      <c r="G117" s="86">
        <f>F117*0.006477</f>
        <v/>
      </c>
      <c r="H117" s="123">
        <f>F117*1.079436</f>
        <v/>
      </c>
      <c r="I117" s="122">
        <f>MAX(1,ROUNDUP(G117/0.096,0))</f>
        <v/>
      </c>
      <c r="J117" s="84" t="n">
        <v>46679</v>
      </c>
      <c r="K117" s="87">
        <f>J117-WEEKDAY(J117,2)+1</f>
        <v/>
      </c>
      <c r="L117" s="84">
        <f>J117</f>
        <v/>
      </c>
      <c r="M117" s="52">
        <f>INDEX(LR_Target,MATCH(B117,LR_Lane,0))</f>
        <v/>
      </c>
      <c r="N117" s="84">
        <f>WORKDAY.INTL(L117,M117,INDEX(LR_Code,MATCH(B117,LR_Lane,0)),INDEX(DH_Table,0,MATCH(B117&amp;"*",DH_Head,0)))</f>
        <v/>
      </c>
      <c r="O117" s="65">
        <f>IF(W117&lt;&gt;"",W117,IF(U117="Helmond",IF(COUNTIFS(RC_Lane,B117,RC_Band,E117,RC_Transit,"&lt;&gt;")=0,"",SUMIFS(RC_Transit,RC_Lane,B117,RC_Band,E117)),IF(U117="Other","",IF(INDEX(RS_Transit,MATCH(B117,RS_Lane,0))="","",INDEX(RS_Transit,MATCH(B117,RS_Lane,0))))))</f>
        <v/>
      </c>
      <c r="P117" s="140" t="n"/>
      <c r="Q117" s="84">
        <f>IF(P117&lt;&gt;"",P117,IF(O117="","",WORKDAY.INTL(L117,ROUNDUP(O117,0),INDEX(LR_Code,MATCH(B117,LR_Lane,0)),INDEX(DH_Table,0,MATCH(B117&amp;"*",DH_Head,0)))))</f>
        <v/>
      </c>
      <c r="R117" s="100">
        <f>IF(Q117="","",IF(Q117&lt;=N117,"Yes","No"))</f>
        <v/>
      </c>
      <c r="S117" s="52">
        <f>IF(Q117="","",IF(Q117&lt;=N117,0,NETWORKDAYS.INTL(N117,Q117,INDEX(LR_Code,MATCH(B117,LR_Lane,0)),INDEX(DH_Table,0,MATCH(B117&amp;"*",DH_Head,0)))-1))</f>
        <v/>
      </c>
      <c r="T117" s="127" t="n"/>
      <c r="U117" s="112">
        <f>IF(V117&lt;&gt;"",V117,IF(IFERROR(INDEX(RS_Flag,MATCH(B117,RS_Lane,0)),"")="Yes",IF(IFERROR(INDEX(RS_Loc,MATCH(B117,RS_Lane,0)),"")="","Regional stock",IFERROR(INDEX(RS_Loc,MATCH(B117,RS_Lane,0)),"")),"Helmond"))</f>
        <v/>
      </c>
      <c r="V117" s="141" t="n"/>
      <c r="W117" s="142" t="n"/>
      <c r="X117" s="143" t="n"/>
      <c r="Y117" s="116">
        <f>IF(X117&lt;&gt;"",X117,IF(U117="Helmond",IF(COUNTIFS(RC_Lane,B117,RC_Band,E117,RC_CostPS,"&gt;0")=0,"",SUMIFS(RC_CostPS,RC_Lane,B117,RC_Band,E117)),IF(U117="Other","",IF(INDEX(RS_Rate,MATCH(B117,RS_Lane,0))="","",INDEX(RS_Rate,MATCH(B117,RS_Lane,0))))))</f>
        <v/>
      </c>
    </row>
    <row r="118">
      <c r="A118" s="95" t="inlineStr">
        <is>
          <t>A-114</t>
        </is>
      </c>
      <c r="B118" s="112" t="inlineStr">
        <is>
          <t>L05</t>
        </is>
      </c>
      <c r="C118" s="101" t="inlineStr">
        <is>
          <t>Türkiye</t>
        </is>
      </c>
      <c r="D118" s="101" t="inlineStr">
        <is>
          <t>Istanbul</t>
        </is>
      </c>
      <c r="E118" s="101" t="inlineStr">
        <is>
          <t>B1  0 to 30 kg</t>
        </is>
      </c>
      <c r="F118" s="123" t="n">
        <v>9.6</v>
      </c>
      <c r="G118" s="86">
        <f>F118*0.006477</f>
        <v/>
      </c>
      <c r="H118" s="123">
        <f>F118*1.079436</f>
        <v/>
      </c>
      <c r="I118" s="122">
        <f>MAX(1,ROUNDUP(G118/0.096,0))</f>
        <v/>
      </c>
      <c r="J118" s="84" t="n">
        <v>46679</v>
      </c>
      <c r="K118" s="87">
        <f>J118-WEEKDAY(J118,2)+1</f>
        <v/>
      </c>
      <c r="L118" s="84">
        <f>J118</f>
        <v/>
      </c>
      <c r="M118" s="52">
        <f>INDEX(LR_Target,MATCH(B118,LR_Lane,0))</f>
        <v/>
      </c>
      <c r="N118" s="84">
        <f>WORKDAY.INTL(L118,M118,INDEX(LR_Code,MATCH(B118,LR_Lane,0)),INDEX(DH_Table,0,MATCH(B118&amp;"*",DH_Head,0)))</f>
        <v/>
      </c>
      <c r="O118" s="65">
        <f>IF(W118&lt;&gt;"",W118,IF(U118="Helmond",IF(COUNTIFS(RC_Lane,B118,RC_Band,E118,RC_Transit,"&lt;&gt;")=0,"",SUMIFS(RC_Transit,RC_Lane,B118,RC_Band,E118)),IF(U118="Other","",IF(INDEX(RS_Transit,MATCH(B118,RS_Lane,0))="","",INDEX(RS_Transit,MATCH(B118,RS_Lane,0))))))</f>
        <v/>
      </c>
      <c r="P118" s="140" t="n"/>
      <c r="Q118" s="84">
        <f>IF(P118&lt;&gt;"",P118,IF(O118="","",WORKDAY.INTL(L118,ROUNDUP(O118,0),INDEX(LR_Code,MATCH(B118,LR_Lane,0)),INDEX(DH_Table,0,MATCH(B118&amp;"*",DH_Head,0)))))</f>
        <v/>
      </c>
      <c r="R118" s="100">
        <f>IF(Q118="","",IF(Q118&lt;=N118,"Yes","No"))</f>
        <v/>
      </c>
      <c r="S118" s="52">
        <f>IF(Q118="","",IF(Q118&lt;=N118,0,NETWORKDAYS.INTL(N118,Q118,INDEX(LR_Code,MATCH(B118,LR_Lane,0)),INDEX(DH_Table,0,MATCH(B118&amp;"*",DH_Head,0)))-1))</f>
        <v/>
      </c>
      <c r="T118" s="127" t="n"/>
      <c r="U118" s="112">
        <f>IF(V118&lt;&gt;"",V118,IF(IFERROR(INDEX(RS_Flag,MATCH(B118,RS_Lane,0)),"")="Yes",IF(IFERROR(INDEX(RS_Loc,MATCH(B118,RS_Lane,0)),"")="","Regional stock",IFERROR(INDEX(RS_Loc,MATCH(B118,RS_Lane,0)),"")),"Helmond"))</f>
        <v/>
      </c>
      <c r="V118" s="141" t="n"/>
      <c r="W118" s="142" t="n"/>
      <c r="X118" s="143" t="n"/>
      <c r="Y118" s="116">
        <f>IF(X118&lt;&gt;"",X118,IF(U118="Helmond",IF(COUNTIFS(RC_Lane,B118,RC_Band,E118,RC_CostPS,"&gt;0")=0,"",SUMIFS(RC_CostPS,RC_Lane,B118,RC_Band,E118)),IF(U118="Other","",IF(INDEX(RS_Rate,MATCH(B118,RS_Lane,0))="","",INDEX(RS_Rate,MATCH(B118,RS_Lane,0))))))</f>
        <v/>
      </c>
    </row>
    <row r="119">
      <c r="A119" s="95" t="inlineStr">
        <is>
          <t>A-115</t>
        </is>
      </c>
      <c r="B119" s="112" t="inlineStr">
        <is>
          <t>L01</t>
        </is>
      </c>
      <c r="C119" s="101" t="inlineStr">
        <is>
          <t>Saudi Arabia</t>
        </is>
      </c>
      <c r="D119" s="101" t="inlineStr">
        <is>
          <t>Jeddah</t>
        </is>
      </c>
      <c r="E119" s="101" t="inlineStr">
        <is>
          <t>B1  0 to 30 kg</t>
        </is>
      </c>
      <c r="F119" s="123" t="n">
        <v>10.2</v>
      </c>
      <c r="G119" s="86">
        <f>F119*0.006477</f>
        <v/>
      </c>
      <c r="H119" s="123">
        <f>F119*1.079436</f>
        <v/>
      </c>
      <c r="I119" s="122">
        <f>MAX(1,ROUNDUP(G119/0.096,0))</f>
        <v/>
      </c>
      <c r="J119" s="84" t="n">
        <v>46680</v>
      </c>
      <c r="K119" s="87">
        <f>J119-WEEKDAY(J119,2)+1</f>
        <v/>
      </c>
      <c r="L119" s="84">
        <f>J119</f>
        <v/>
      </c>
      <c r="M119" s="52">
        <f>INDEX(LR_Target,MATCH(B119,LR_Lane,0))</f>
        <v/>
      </c>
      <c r="N119" s="84">
        <f>WORKDAY.INTL(L119,M119,INDEX(LR_Code,MATCH(B119,LR_Lane,0)),INDEX(DH_Table,0,MATCH(B119&amp;"*",DH_Head,0)))</f>
        <v/>
      </c>
      <c r="O119" s="65">
        <f>IF(W119&lt;&gt;"",W119,IF(U119="Helmond",IF(COUNTIFS(RC_Lane,B119,RC_Band,E119,RC_Transit,"&lt;&gt;")=0,"",SUMIFS(RC_Transit,RC_Lane,B119,RC_Band,E119)),IF(U119="Other","",IF(INDEX(RS_Transit,MATCH(B119,RS_Lane,0))="","",INDEX(RS_Transit,MATCH(B119,RS_Lane,0))))))</f>
        <v/>
      </c>
      <c r="P119" s="140" t="n"/>
      <c r="Q119" s="84">
        <f>IF(P119&lt;&gt;"",P119,IF(O119="","",WORKDAY.INTL(L119,ROUNDUP(O119,0),INDEX(LR_Code,MATCH(B119,LR_Lane,0)),INDEX(DH_Table,0,MATCH(B119&amp;"*",DH_Head,0)))))</f>
        <v/>
      </c>
      <c r="R119" s="100">
        <f>IF(Q119="","",IF(Q119&lt;=N119,"Yes","No"))</f>
        <v/>
      </c>
      <c r="S119" s="52">
        <f>IF(Q119="","",IF(Q119&lt;=N119,0,NETWORKDAYS.INTL(N119,Q119,INDEX(LR_Code,MATCH(B119,LR_Lane,0)),INDEX(DH_Table,0,MATCH(B119&amp;"*",DH_Head,0)))-1))</f>
        <v/>
      </c>
      <c r="T119" s="127" t="n"/>
      <c r="U119" s="112">
        <f>IF(V119&lt;&gt;"",V119,IF(IFERROR(INDEX(RS_Flag,MATCH(B119,RS_Lane,0)),"")="Yes",IF(IFERROR(INDEX(RS_Loc,MATCH(B119,RS_Lane,0)),"")="","Regional stock",IFERROR(INDEX(RS_Loc,MATCH(B119,RS_Lane,0)),"")),"Helmond"))</f>
        <v/>
      </c>
      <c r="V119" s="141" t="n"/>
      <c r="W119" s="142" t="n"/>
      <c r="X119" s="143" t="n"/>
      <c r="Y119" s="116">
        <f>IF(X119&lt;&gt;"",X119,IF(U119="Helmond",IF(COUNTIFS(RC_Lane,B119,RC_Band,E119,RC_CostPS,"&gt;0")=0,"",SUMIFS(RC_CostPS,RC_Lane,B119,RC_Band,E119)),IF(U119="Other","",IF(INDEX(RS_Rate,MATCH(B119,RS_Lane,0))="","",INDEX(RS_Rate,MATCH(B119,RS_Lane,0))))))</f>
        <v/>
      </c>
    </row>
    <row r="120">
      <c r="A120" s="95" t="inlineStr">
        <is>
          <t>A-116</t>
        </is>
      </c>
      <c r="B120" s="112" t="inlineStr">
        <is>
          <t>L02</t>
        </is>
      </c>
      <c r="C120" s="101" t="inlineStr">
        <is>
          <t>United Arab Emirates</t>
        </is>
      </c>
      <c r="D120" s="101" t="inlineStr">
        <is>
          <t>Dubai</t>
        </is>
      </c>
      <c r="E120" s="101" t="inlineStr">
        <is>
          <t>B1  0 to 30 kg</t>
        </is>
      </c>
      <c r="F120" s="123" t="n">
        <v>12.6</v>
      </c>
      <c r="G120" s="86">
        <f>F120*0.006477</f>
        <v/>
      </c>
      <c r="H120" s="123">
        <f>F120*1.079436</f>
        <v/>
      </c>
      <c r="I120" s="122">
        <f>MAX(1,ROUNDUP(G120/0.096,0))</f>
        <v/>
      </c>
      <c r="J120" s="84" t="n">
        <v>46681</v>
      </c>
      <c r="K120" s="87">
        <f>J120-WEEKDAY(J120,2)+1</f>
        <v/>
      </c>
      <c r="L120" s="84">
        <f>J120</f>
        <v/>
      </c>
      <c r="M120" s="52">
        <f>INDEX(LR_Target,MATCH(B120,LR_Lane,0))</f>
        <v/>
      </c>
      <c r="N120" s="84">
        <f>WORKDAY.INTL(L120,M120,INDEX(LR_Code,MATCH(B120,LR_Lane,0)),INDEX(DH_Table,0,MATCH(B120&amp;"*",DH_Head,0)))</f>
        <v/>
      </c>
      <c r="O120" s="65">
        <f>IF(W120&lt;&gt;"",W120,IF(U120="Helmond",IF(COUNTIFS(RC_Lane,B120,RC_Band,E120,RC_Transit,"&lt;&gt;")=0,"",SUMIFS(RC_Transit,RC_Lane,B120,RC_Band,E120)),IF(U120="Other","",IF(INDEX(RS_Transit,MATCH(B120,RS_Lane,0))="","",INDEX(RS_Transit,MATCH(B120,RS_Lane,0))))))</f>
        <v/>
      </c>
      <c r="P120" s="140" t="n"/>
      <c r="Q120" s="84">
        <f>IF(P120&lt;&gt;"",P120,IF(O120="","",WORKDAY.INTL(L120,ROUNDUP(O120,0),INDEX(LR_Code,MATCH(B120,LR_Lane,0)),INDEX(DH_Table,0,MATCH(B120&amp;"*",DH_Head,0)))))</f>
        <v/>
      </c>
      <c r="R120" s="100">
        <f>IF(Q120="","",IF(Q120&lt;=N120,"Yes","No"))</f>
        <v/>
      </c>
      <c r="S120" s="52">
        <f>IF(Q120="","",IF(Q120&lt;=N120,0,NETWORKDAYS.INTL(N120,Q120,INDEX(LR_Code,MATCH(B120,LR_Lane,0)),INDEX(DH_Table,0,MATCH(B120&amp;"*",DH_Head,0)))-1))</f>
        <v/>
      </c>
      <c r="T120" s="127" t="n"/>
      <c r="U120" s="112">
        <f>IF(V120&lt;&gt;"",V120,IF(IFERROR(INDEX(RS_Flag,MATCH(B120,RS_Lane,0)),"")="Yes",IF(IFERROR(INDEX(RS_Loc,MATCH(B120,RS_Lane,0)),"")="","Regional stock",IFERROR(INDEX(RS_Loc,MATCH(B120,RS_Lane,0)),"")),"Helmond"))</f>
        <v/>
      </c>
      <c r="V120" s="141" t="n"/>
      <c r="W120" s="142" t="n"/>
      <c r="X120" s="143" t="n"/>
      <c r="Y120" s="116">
        <f>IF(X120&lt;&gt;"",X120,IF(U120="Helmond",IF(COUNTIFS(RC_Lane,B120,RC_Band,E120,RC_CostPS,"&gt;0")=0,"",SUMIFS(RC_CostPS,RC_Lane,B120,RC_Band,E120)),IF(U120="Other","",IF(INDEX(RS_Rate,MATCH(B120,RS_Lane,0))="","",INDEX(RS_Rate,MATCH(B120,RS_Lane,0))))))</f>
        <v/>
      </c>
    </row>
    <row r="121">
      <c r="A121" s="95" t="inlineStr">
        <is>
          <t>A-117</t>
        </is>
      </c>
      <c r="B121" s="112" t="inlineStr">
        <is>
          <t>L03</t>
        </is>
      </c>
      <c r="C121" s="101" t="inlineStr">
        <is>
          <t>Kuwait</t>
        </is>
      </c>
      <c r="D121" s="101" t="inlineStr">
        <is>
          <t>Kuwait City</t>
        </is>
      </c>
      <c r="E121" s="101" t="inlineStr">
        <is>
          <t>B4  500 to 2,000 kg</t>
        </is>
      </c>
      <c r="F121" s="123" t="n">
        <v>789.9</v>
      </c>
      <c r="G121" s="86">
        <f>F121*0.006477</f>
        <v/>
      </c>
      <c r="H121" s="123">
        <f>F121*1.079436</f>
        <v/>
      </c>
      <c r="I121" s="122">
        <f>MAX(1,ROUNDUP(G121/0.096,0))</f>
        <v/>
      </c>
      <c r="J121" s="84" t="n">
        <v>46682</v>
      </c>
      <c r="K121" s="87">
        <f>J121-WEEKDAY(J121,2)+1</f>
        <v/>
      </c>
      <c r="L121" s="84">
        <f>J121</f>
        <v/>
      </c>
      <c r="M121" s="52">
        <f>INDEX(LR_Target,MATCH(B121,LR_Lane,0))</f>
        <v/>
      </c>
      <c r="N121" s="84">
        <f>WORKDAY.INTL(L121,M121,INDEX(LR_Code,MATCH(B121,LR_Lane,0)),INDEX(DH_Table,0,MATCH(B121&amp;"*",DH_Head,0)))</f>
        <v/>
      </c>
      <c r="O121" s="65">
        <f>IF(W121&lt;&gt;"",W121,IF(U121="Helmond",IF(COUNTIFS(RC_Lane,B121,RC_Band,E121,RC_Transit,"&lt;&gt;")=0,"",SUMIFS(RC_Transit,RC_Lane,B121,RC_Band,E121)),IF(U121="Other","",IF(INDEX(RS_Transit,MATCH(B121,RS_Lane,0))="","",INDEX(RS_Transit,MATCH(B121,RS_Lane,0))))))</f>
        <v/>
      </c>
      <c r="P121" s="140" t="n"/>
      <c r="Q121" s="84">
        <f>IF(P121&lt;&gt;"",P121,IF(O121="","",WORKDAY.INTL(L121,ROUNDUP(O121,0),INDEX(LR_Code,MATCH(B121,LR_Lane,0)),INDEX(DH_Table,0,MATCH(B121&amp;"*",DH_Head,0)))))</f>
        <v/>
      </c>
      <c r="R121" s="100">
        <f>IF(Q121="","",IF(Q121&lt;=N121,"Yes","No"))</f>
        <v/>
      </c>
      <c r="S121" s="52">
        <f>IF(Q121="","",IF(Q121&lt;=N121,0,NETWORKDAYS.INTL(N121,Q121,INDEX(LR_Code,MATCH(B121,LR_Lane,0)),INDEX(DH_Table,0,MATCH(B121&amp;"*",DH_Head,0)))-1))</f>
        <v/>
      </c>
      <c r="T121" s="127" t="n"/>
      <c r="U121" s="112">
        <f>IF(V121&lt;&gt;"",V121,IF(IFERROR(INDEX(RS_Flag,MATCH(B121,RS_Lane,0)),"")="Yes",IF(IFERROR(INDEX(RS_Loc,MATCH(B121,RS_Lane,0)),"")="","Regional stock",IFERROR(INDEX(RS_Loc,MATCH(B121,RS_Lane,0)),"")),"Helmond"))</f>
        <v/>
      </c>
      <c r="V121" s="141" t="n"/>
      <c r="W121" s="142" t="n"/>
      <c r="X121" s="143" t="n"/>
      <c r="Y121" s="116">
        <f>IF(X121&lt;&gt;"",X121,IF(U121="Helmond",IF(COUNTIFS(RC_Lane,B121,RC_Band,E121,RC_CostPS,"&gt;0")=0,"",SUMIFS(RC_CostPS,RC_Lane,B121,RC_Band,E121)),IF(U121="Other","",IF(INDEX(RS_Rate,MATCH(B121,RS_Lane,0))="","",INDEX(RS_Rate,MATCH(B121,RS_Lane,0))))))</f>
        <v/>
      </c>
    </row>
    <row r="122">
      <c r="A122" s="95" t="inlineStr">
        <is>
          <t>A-118</t>
        </is>
      </c>
      <c r="B122" s="112" t="inlineStr">
        <is>
          <t>L01</t>
        </is>
      </c>
      <c r="C122" s="101" t="inlineStr">
        <is>
          <t>Saudi Arabia</t>
        </is>
      </c>
      <c r="D122" s="101" t="inlineStr">
        <is>
          <t>Jeddah</t>
        </is>
      </c>
      <c r="E122" s="101" t="inlineStr">
        <is>
          <t>B1  0 to 30 kg</t>
        </is>
      </c>
      <c r="F122" s="123" t="n">
        <v>3.6</v>
      </c>
      <c r="G122" s="86">
        <f>F122*0.006477</f>
        <v/>
      </c>
      <c r="H122" s="123">
        <f>F122*1.079436</f>
        <v/>
      </c>
      <c r="I122" s="122">
        <f>MAX(1,ROUNDUP(G122/0.096,0))</f>
        <v/>
      </c>
      <c r="J122" s="84" t="n">
        <v>46685</v>
      </c>
      <c r="K122" s="87">
        <f>J122-WEEKDAY(J122,2)+1</f>
        <v/>
      </c>
      <c r="L122" s="84">
        <f>J122</f>
        <v/>
      </c>
      <c r="M122" s="52">
        <f>INDEX(LR_Target,MATCH(B122,LR_Lane,0))</f>
        <v/>
      </c>
      <c r="N122" s="84">
        <f>WORKDAY.INTL(L122,M122,INDEX(LR_Code,MATCH(B122,LR_Lane,0)),INDEX(DH_Table,0,MATCH(B122&amp;"*",DH_Head,0)))</f>
        <v/>
      </c>
      <c r="O122" s="65">
        <f>IF(W122&lt;&gt;"",W122,IF(U122="Helmond",IF(COUNTIFS(RC_Lane,B122,RC_Band,E122,RC_Transit,"&lt;&gt;")=0,"",SUMIFS(RC_Transit,RC_Lane,B122,RC_Band,E122)),IF(U122="Other","",IF(INDEX(RS_Transit,MATCH(B122,RS_Lane,0))="","",INDEX(RS_Transit,MATCH(B122,RS_Lane,0))))))</f>
        <v/>
      </c>
      <c r="P122" s="140" t="n"/>
      <c r="Q122" s="84">
        <f>IF(P122&lt;&gt;"",P122,IF(O122="","",WORKDAY.INTL(L122,ROUNDUP(O122,0),INDEX(LR_Code,MATCH(B122,LR_Lane,0)),INDEX(DH_Table,0,MATCH(B122&amp;"*",DH_Head,0)))))</f>
        <v/>
      </c>
      <c r="R122" s="100">
        <f>IF(Q122="","",IF(Q122&lt;=N122,"Yes","No"))</f>
        <v/>
      </c>
      <c r="S122" s="52">
        <f>IF(Q122="","",IF(Q122&lt;=N122,0,NETWORKDAYS.INTL(N122,Q122,INDEX(LR_Code,MATCH(B122,LR_Lane,0)),INDEX(DH_Table,0,MATCH(B122&amp;"*",DH_Head,0)))-1))</f>
        <v/>
      </c>
      <c r="T122" s="127" t="n"/>
      <c r="U122" s="112">
        <f>IF(V122&lt;&gt;"",V122,IF(IFERROR(INDEX(RS_Flag,MATCH(B122,RS_Lane,0)),"")="Yes",IF(IFERROR(INDEX(RS_Loc,MATCH(B122,RS_Lane,0)),"")="","Regional stock",IFERROR(INDEX(RS_Loc,MATCH(B122,RS_Lane,0)),"")),"Helmond"))</f>
        <v/>
      </c>
      <c r="V122" s="141" t="n"/>
      <c r="W122" s="142" t="n"/>
      <c r="X122" s="143" t="n"/>
      <c r="Y122" s="116">
        <f>IF(X122&lt;&gt;"",X122,IF(U122="Helmond",IF(COUNTIFS(RC_Lane,B122,RC_Band,E122,RC_CostPS,"&gt;0")=0,"",SUMIFS(RC_CostPS,RC_Lane,B122,RC_Band,E122)),IF(U122="Other","",IF(INDEX(RS_Rate,MATCH(B122,RS_Lane,0))="","",INDEX(RS_Rate,MATCH(B122,RS_Lane,0))))))</f>
        <v/>
      </c>
    </row>
    <row r="123">
      <c r="A123" s="95" t="inlineStr">
        <is>
          <t>A-119</t>
        </is>
      </c>
      <c r="B123" s="112" t="inlineStr">
        <is>
          <t>L02</t>
        </is>
      </c>
      <c r="C123" s="101" t="inlineStr">
        <is>
          <t>United Arab Emirates</t>
        </is>
      </c>
      <c r="D123" s="101" t="inlineStr">
        <is>
          <t>Dubai</t>
        </is>
      </c>
      <c r="E123" s="101" t="inlineStr">
        <is>
          <t>B1  0 to 30 kg</t>
        </is>
      </c>
      <c r="F123" s="123" t="n">
        <v>7.4</v>
      </c>
      <c r="G123" s="86">
        <f>F123*0.006477</f>
        <v/>
      </c>
      <c r="H123" s="123">
        <f>F123*1.079436</f>
        <v/>
      </c>
      <c r="I123" s="122">
        <f>MAX(1,ROUNDUP(G123/0.096,0))</f>
        <v/>
      </c>
      <c r="J123" s="84" t="n">
        <v>46686</v>
      </c>
      <c r="K123" s="87">
        <f>J123-WEEKDAY(J123,2)+1</f>
        <v/>
      </c>
      <c r="L123" s="84">
        <f>J123</f>
        <v/>
      </c>
      <c r="M123" s="52">
        <f>INDEX(LR_Target,MATCH(B123,LR_Lane,0))</f>
        <v/>
      </c>
      <c r="N123" s="84">
        <f>WORKDAY.INTL(L123,M123,INDEX(LR_Code,MATCH(B123,LR_Lane,0)),INDEX(DH_Table,0,MATCH(B123&amp;"*",DH_Head,0)))</f>
        <v/>
      </c>
      <c r="O123" s="65">
        <f>IF(W123&lt;&gt;"",W123,IF(U123="Helmond",IF(COUNTIFS(RC_Lane,B123,RC_Band,E123,RC_Transit,"&lt;&gt;")=0,"",SUMIFS(RC_Transit,RC_Lane,B123,RC_Band,E123)),IF(U123="Other","",IF(INDEX(RS_Transit,MATCH(B123,RS_Lane,0))="","",INDEX(RS_Transit,MATCH(B123,RS_Lane,0))))))</f>
        <v/>
      </c>
      <c r="P123" s="140" t="n"/>
      <c r="Q123" s="84">
        <f>IF(P123&lt;&gt;"",P123,IF(O123="","",WORKDAY.INTL(L123,ROUNDUP(O123,0),INDEX(LR_Code,MATCH(B123,LR_Lane,0)),INDEX(DH_Table,0,MATCH(B123&amp;"*",DH_Head,0)))))</f>
        <v/>
      </c>
      <c r="R123" s="100">
        <f>IF(Q123="","",IF(Q123&lt;=N123,"Yes","No"))</f>
        <v/>
      </c>
      <c r="S123" s="52">
        <f>IF(Q123="","",IF(Q123&lt;=N123,0,NETWORKDAYS.INTL(N123,Q123,INDEX(LR_Code,MATCH(B123,LR_Lane,0)),INDEX(DH_Table,0,MATCH(B123&amp;"*",DH_Head,0)))-1))</f>
        <v/>
      </c>
      <c r="T123" s="127" t="n"/>
      <c r="U123" s="112">
        <f>IF(V123&lt;&gt;"",V123,IF(IFERROR(INDEX(RS_Flag,MATCH(B123,RS_Lane,0)),"")="Yes",IF(IFERROR(INDEX(RS_Loc,MATCH(B123,RS_Lane,0)),"")="","Regional stock",IFERROR(INDEX(RS_Loc,MATCH(B123,RS_Lane,0)),"")),"Helmond"))</f>
        <v/>
      </c>
      <c r="V123" s="141" t="n"/>
      <c r="W123" s="142" t="n"/>
      <c r="X123" s="143" t="n"/>
      <c r="Y123" s="116">
        <f>IF(X123&lt;&gt;"",X123,IF(U123="Helmond",IF(COUNTIFS(RC_Lane,B123,RC_Band,E123,RC_CostPS,"&gt;0")=0,"",SUMIFS(RC_CostPS,RC_Lane,B123,RC_Band,E123)),IF(U123="Other","",IF(INDEX(RS_Rate,MATCH(B123,RS_Lane,0))="","",INDEX(RS_Rate,MATCH(B123,RS_Lane,0))))))</f>
        <v/>
      </c>
    </row>
    <row r="124">
      <c r="A124" s="95" t="inlineStr">
        <is>
          <t>A-120</t>
        </is>
      </c>
      <c r="B124" s="112" t="inlineStr">
        <is>
          <t>L05</t>
        </is>
      </c>
      <c r="C124" s="101" t="inlineStr">
        <is>
          <t>Türkiye</t>
        </is>
      </c>
      <c r="D124" s="101" t="inlineStr">
        <is>
          <t>Istanbul</t>
        </is>
      </c>
      <c r="E124" s="101" t="inlineStr">
        <is>
          <t>B3  100 to 500 kg</t>
        </is>
      </c>
      <c r="F124" s="123" t="n">
        <v>236.9</v>
      </c>
      <c r="G124" s="86">
        <f>F124*0.006477</f>
        <v/>
      </c>
      <c r="H124" s="123">
        <f>F124*1.079436</f>
        <v/>
      </c>
      <c r="I124" s="122">
        <f>MAX(1,ROUNDUP(G124/0.096,0))</f>
        <v/>
      </c>
      <c r="J124" s="84" t="n">
        <v>46686</v>
      </c>
      <c r="K124" s="87">
        <f>J124-WEEKDAY(J124,2)+1</f>
        <v/>
      </c>
      <c r="L124" s="84">
        <f>J124</f>
        <v/>
      </c>
      <c r="M124" s="52">
        <f>INDEX(LR_Target,MATCH(B124,LR_Lane,0))</f>
        <v/>
      </c>
      <c r="N124" s="84">
        <f>WORKDAY.INTL(L124,M124,INDEX(LR_Code,MATCH(B124,LR_Lane,0)),INDEX(DH_Table,0,MATCH(B124&amp;"*",DH_Head,0)))</f>
        <v/>
      </c>
      <c r="O124" s="65">
        <f>IF(W124&lt;&gt;"",W124,IF(U124="Helmond",IF(COUNTIFS(RC_Lane,B124,RC_Band,E124,RC_Transit,"&lt;&gt;")=0,"",SUMIFS(RC_Transit,RC_Lane,B124,RC_Band,E124)),IF(U124="Other","",IF(INDEX(RS_Transit,MATCH(B124,RS_Lane,0))="","",INDEX(RS_Transit,MATCH(B124,RS_Lane,0))))))</f>
        <v/>
      </c>
      <c r="P124" s="140" t="n"/>
      <c r="Q124" s="84">
        <f>IF(P124&lt;&gt;"",P124,IF(O124="","",WORKDAY.INTL(L124,ROUNDUP(O124,0),INDEX(LR_Code,MATCH(B124,LR_Lane,0)),INDEX(DH_Table,0,MATCH(B124&amp;"*",DH_Head,0)))))</f>
        <v/>
      </c>
      <c r="R124" s="100">
        <f>IF(Q124="","",IF(Q124&lt;=N124,"Yes","No"))</f>
        <v/>
      </c>
      <c r="S124" s="52">
        <f>IF(Q124="","",IF(Q124&lt;=N124,0,NETWORKDAYS.INTL(N124,Q124,INDEX(LR_Code,MATCH(B124,LR_Lane,0)),INDEX(DH_Table,0,MATCH(B124&amp;"*",DH_Head,0)))-1))</f>
        <v/>
      </c>
      <c r="T124" s="127" t="n"/>
      <c r="U124" s="112">
        <f>IF(V124&lt;&gt;"",V124,IF(IFERROR(INDEX(RS_Flag,MATCH(B124,RS_Lane,0)),"")="Yes",IF(IFERROR(INDEX(RS_Loc,MATCH(B124,RS_Lane,0)),"")="","Regional stock",IFERROR(INDEX(RS_Loc,MATCH(B124,RS_Lane,0)),"")),"Helmond"))</f>
        <v/>
      </c>
      <c r="V124" s="141" t="n"/>
      <c r="W124" s="142" t="n"/>
      <c r="X124" s="143" t="n"/>
      <c r="Y124" s="116">
        <f>IF(X124&lt;&gt;"",X124,IF(U124="Helmond",IF(COUNTIFS(RC_Lane,B124,RC_Band,E124,RC_CostPS,"&gt;0")=0,"",SUMIFS(RC_CostPS,RC_Lane,B124,RC_Band,E124)),IF(U124="Other","",IF(INDEX(RS_Rate,MATCH(B124,RS_Lane,0))="","",INDEX(RS_Rate,MATCH(B124,RS_Lane,0))))))</f>
        <v/>
      </c>
    </row>
    <row r="125">
      <c r="A125" s="95" t="inlineStr">
        <is>
          <t>A-121</t>
        </is>
      </c>
      <c r="B125" s="112" t="inlineStr">
        <is>
          <t>L02</t>
        </is>
      </c>
      <c r="C125" s="101" t="inlineStr">
        <is>
          <t>United Arab Emirates</t>
        </is>
      </c>
      <c r="D125" s="101" t="inlineStr">
        <is>
          <t>Dubai</t>
        </is>
      </c>
      <c r="E125" s="101" t="inlineStr">
        <is>
          <t>B1  0 to 30 kg</t>
        </is>
      </c>
      <c r="F125" s="123" t="n">
        <v>3.3</v>
      </c>
      <c r="G125" s="86">
        <f>F125*0.006477</f>
        <v/>
      </c>
      <c r="H125" s="123">
        <f>F125*1.079436</f>
        <v/>
      </c>
      <c r="I125" s="122">
        <f>MAX(1,ROUNDUP(G125/0.096,0))</f>
        <v/>
      </c>
      <c r="J125" s="84" t="n">
        <v>46688</v>
      </c>
      <c r="K125" s="87">
        <f>J125-WEEKDAY(J125,2)+1</f>
        <v/>
      </c>
      <c r="L125" s="84">
        <f>J125</f>
        <v/>
      </c>
      <c r="M125" s="52">
        <f>INDEX(LR_Target,MATCH(B125,LR_Lane,0))</f>
        <v/>
      </c>
      <c r="N125" s="84">
        <f>WORKDAY.INTL(L125,M125,INDEX(LR_Code,MATCH(B125,LR_Lane,0)),INDEX(DH_Table,0,MATCH(B125&amp;"*",DH_Head,0)))</f>
        <v/>
      </c>
      <c r="O125" s="65">
        <f>IF(W125&lt;&gt;"",W125,IF(U125="Helmond",IF(COUNTIFS(RC_Lane,B125,RC_Band,E125,RC_Transit,"&lt;&gt;")=0,"",SUMIFS(RC_Transit,RC_Lane,B125,RC_Band,E125)),IF(U125="Other","",IF(INDEX(RS_Transit,MATCH(B125,RS_Lane,0))="","",INDEX(RS_Transit,MATCH(B125,RS_Lane,0))))))</f>
        <v/>
      </c>
      <c r="P125" s="140" t="n"/>
      <c r="Q125" s="84">
        <f>IF(P125&lt;&gt;"",P125,IF(O125="","",WORKDAY.INTL(L125,ROUNDUP(O125,0),INDEX(LR_Code,MATCH(B125,LR_Lane,0)),INDEX(DH_Table,0,MATCH(B125&amp;"*",DH_Head,0)))))</f>
        <v/>
      </c>
      <c r="R125" s="100">
        <f>IF(Q125="","",IF(Q125&lt;=N125,"Yes","No"))</f>
        <v/>
      </c>
      <c r="S125" s="52">
        <f>IF(Q125="","",IF(Q125&lt;=N125,0,NETWORKDAYS.INTL(N125,Q125,INDEX(LR_Code,MATCH(B125,LR_Lane,0)),INDEX(DH_Table,0,MATCH(B125&amp;"*",DH_Head,0)))-1))</f>
        <v/>
      </c>
      <c r="T125" s="127" t="n"/>
      <c r="U125" s="112">
        <f>IF(V125&lt;&gt;"",V125,IF(IFERROR(INDEX(RS_Flag,MATCH(B125,RS_Lane,0)),"")="Yes",IF(IFERROR(INDEX(RS_Loc,MATCH(B125,RS_Lane,0)),"")="","Regional stock",IFERROR(INDEX(RS_Loc,MATCH(B125,RS_Lane,0)),"")),"Helmond"))</f>
        <v/>
      </c>
      <c r="V125" s="141" t="n"/>
      <c r="W125" s="142" t="n"/>
      <c r="X125" s="143" t="n"/>
      <c r="Y125" s="116">
        <f>IF(X125&lt;&gt;"",X125,IF(U125="Helmond",IF(COUNTIFS(RC_Lane,B125,RC_Band,E125,RC_CostPS,"&gt;0")=0,"",SUMIFS(RC_CostPS,RC_Lane,B125,RC_Band,E125)),IF(U125="Other","",IF(INDEX(RS_Rate,MATCH(B125,RS_Lane,0))="","",INDEX(RS_Rate,MATCH(B125,RS_Lane,0))))))</f>
        <v/>
      </c>
    </row>
    <row r="126">
      <c r="A126" s="95" t="inlineStr">
        <is>
          <t>A-122</t>
        </is>
      </c>
      <c r="B126" s="112" t="inlineStr">
        <is>
          <t>L05</t>
        </is>
      </c>
      <c r="C126" s="101" t="inlineStr">
        <is>
          <t>Türkiye</t>
        </is>
      </c>
      <c r="D126" s="101" t="inlineStr">
        <is>
          <t>Istanbul</t>
        </is>
      </c>
      <c r="E126" s="101" t="inlineStr">
        <is>
          <t>B1  0 to 30 kg</t>
        </is>
      </c>
      <c r="F126" s="123" t="n">
        <v>16.7</v>
      </c>
      <c r="G126" s="86">
        <f>F126*0.006477</f>
        <v/>
      </c>
      <c r="H126" s="123">
        <f>F126*1.079436</f>
        <v/>
      </c>
      <c r="I126" s="122">
        <f>MAX(1,ROUNDUP(G126/0.096,0))</f>
        <v/>
      </c>
      <c r="J126" s="84" t="n">
        <v>46693</v>
      </c>
      <c r="K126" s="87">
        <f>J126-WEEKDAY(J126,2)+1</f>
        <v/>
      </c>
      <c r="L126" s="84">
        <f>J126</f>
        <v/>
      </c>
      <c r="M126" s="52">
        <f>INDEX(LR_Target,MATCH(B126,LR_Lane,0))</f>
        <v/>
      </c>
      <c r="N126" s="84">
        <f>WORKDAY.INTL(L126,M126,INDEX(LR_Code,MATCH(B126,LR_Lane,0)),INDEX(DH_Table,0,MATCH(B126&amp;"*",DH_Head,0)))</f>
        <v/>
      </c>
      <c r="O126" s="65">
        <f>IF(W126&lt;&gt;"",W126,IF(U126="Helmond",IF(COUNTIFS(RC_Lane,B126,RC_Band,E126,RC_Transit,"&lt;&gt;")=0,"",SUMIFS(RC_Transit,RC_Lane,B126,RC_Band,E126)),IF(U126="Other","",IF(INDEX(RS_Transit,MATCH(B126,RS_Lane,0))="","",INDEX(RS_Transit,MATCH(B126,RS_Lane,0))))))</f>
        <v/>
      </c>
      <c r="P126" s="140" t="n"/>
      <c r="Q126" s="84">
        <f>IF(P126&lt;&gt;"",P126,IF(O126="","",WORKDAY.INTL(L126,ROUNDUP(O126,0),INDEX(LR_Code,MATCH(B126,LR_Lane,0)),INDEX(DH_Table,0,MATCH(B126&amp;"*",DH_Head,0)))))</f>
        <v/>
      </c>
      <c r="R126" s="100">
        <f>IF(Q126="","",IF(Q126&lt;=N126,"Yes","No"))</f>
        <v/>
      </c>
      <c r="S126" s="52">
        <f>IF(Q126="","",IF(Q126&lt;=N126,0,NETWORKDAYS.INTL(N126,Q126,INDEX(LR_Code,MATCH(B126,LR_Lane,0)),INDEX(DH_Table,0,MATCH(B126&amp;"*",DH_Head,0)))-1))</f>
        <v/>
      </c>
      <c r="T126" s="127" t="n"/>
      <c r="U126" s="112">
        <f>IF(V126&lt;&gt;"",V126,IF(IFERROR(INDEX(RS_Flag,MATCH(B126,RS_Lane,0)),"")="Yes",IF(IFERROR(INDEX(RS_Loc,MATCH(B126,RS_Lane,0)),"")="","Regional stock",IFERROR(INDEX(RS_Loc,MATCH(B126,RS_Lane,0)),"")),"Helmond"))</f>
        <v/>
      </c>
      <c r="V126" s="141" t="n"/>
      <c r="W126" s="142" t="n"/>
      <c r="X126" s="143" t="n"/>
      <c r="Y126" s="116">
        <f>IF(X126&lt;&gt;"",X126,IF(U126="Helmond",IF(COUNTIFS(RC_Lane,B126,RC_Band,E126,RC_CostPS,"&gt;0")=0,"",SUMIFS(RC_CostPS,RC_Lane,B126,RC_Band,E126)),IF(U126="Other","",IF(INDEX(RS_Rate,MATCH(B126,RS_Lane,0))="","",INDEX(RS_Rate,MATCH(B126,RS_Lane,0))))))</f>
        <v/>
      </c>
    </row>
    <row r="127">
      <c r="A127" s="95" t="inlineStr">
        <is>
          <t>A-123</t>
        </is>
      </c>
      <c r="B127" s="112" t="inlineStr">
        <is>
          <t>L07</t>
        </is>
      </c>
      <c r="C127" s="101" t="inlineStr">
        <is>
          <t>Algeria</t>
        </is>
      </c>
      <c r="D127" s="101" t="inlineStr">
        <is>
          <t>Algiers</t>
        </is>
      </c>
      <c r="E127" s="101" t="inlineStr">
        <is>
          <t>B1  0 to 30 kg</t>
        </is>
      </c>
      <c r="F127" s="123" t="n">
        <v>5.5</v>
      </c>
      <c r="G127" s="86">
        <f>F127*0.006477</f>
        <v/>
      </c>
      <c r="H127" s="123">
        <f>F127*1.079436</f>
        <v/>
      </c>
      <c r="I127" s="122">
        <f>MAX(1,ROUNDUP(G127/0.096,0))</f>
        <v/>
      </c>
      <c r="J127" s="84" t="n">
        <v>46693</v>
      </c>
      <c r="K127" s="87">
        <f>J127-WEEKDAY(J127,2)+1</f>
        <v/>
      </c>
      <c r="L127" s="84">
        <f>J127</f>
        <v/>
      </c>
      <c r="M127" s="52">
        <f>INDEX(LR_Target,MATCH(B127,LR_Lane,0))</f>
        <v/>
      </c>
      <c r="N127" s="84">
        <f>WORKDAY.INTL(L127,M127,INDEX(LR_Code,MATCH(B127,LR_Lane,0)),INDEX(DH_Table,0,MATCH(B127&amp;"*",DH_Head,0)))</f>
        <v/>
      </c>
      <c r="O127" s="65">
        <f>IF(W127&lt;&gt;"",W127,IF(U127="Helmond",IF(COUNTIFS(RC_Lane,B127,RC_Band,E127,RC_Transit,"&lt;&gt;")=0,"",SUMIFS(RC_Transit,RC_Lane,B127,RC_Band,E127)),IF(U127="Other","",IF(INDEX(RS_Transit,MATCH(B127,RS_Lane,0))="","",INDEX(RS_Transit,MATCH(B127,RS_Lane,0))))))</f>
        <v/>
      </c>
      <c r="P127" s="140" t="n"/>
      <c r="Q127" s="84">
        <f>IF(P127&lt;&gt;"",P127,IF(O127="","",WORKDAY.INTL(L127,ROUNDUP(O127,0),INDEX(LR_Code,MATCH(B127,LR_Lane,0)),INDEX(DH_Table,0,MATCH(B127&amp;"*",DH_Head,0)))))</f>
        <v/>
      </c>
      <c r="R127" s="100">
        <f>IF(Q127="","",IF(Q127&lt;=N127,"Yes","No"))</f>
        <v/>
      </c>
      <c r="S127" s="52">
        <f>IF(Q127="","",IF(Q127&lt;=N127,0,NETWORKDAYS.INTL(N127,Q127,INDEX(LR_Code,MATCH(B127,LR_Lane,0)),INDEX(DH_Table,0,MATCH(B127&amp;"*",DH_Head,0)))-1))</f>
        <v/>
      </c>
      <c r="T127" s="127" t="n"/>
      <c r="U127" s="112">
        <f>IF(V127&lt;&gt;"",V127,IF(IFERROR(INDEX(RS_Flag,MATCH(B127,RS_Lane,0)),"")="Yes",IF(IFERROR(INDEX(RS_Loc,MATCH(B127,RS_Lane,0)),"")="","Regional stock",IFERROR(INDEX(RS_Loc,MATCH(B127,RS_Lane,0)),"")),"Helmond"))</f>
        <v/>
      </c>
      <c r="V127" s="141" t="n"/>
      <c r="W127" s="142" t="n"/>
      <c r="X127" s="143" t="n"/>
      <c r="Y127" s="116">
        <f>IF(X127&lt;&gt;"",X127,IF(U127="Helmond",IF(COUNTIFS(RC_Lane,B127,RC_Band,E127,RC_CostPS,"&gt;0")=0,"",SUMIFS(RC_CostPS,RC_Lane,B127,RC_Band,E127)),IF(U127="Other","",IF(INDEX(RS_Rate,MATCH(B127,RS_Lane,0))="","",INDEX(RS_Rate,MATCH(B127,RS_Lane,0))))))</f>
        <v/>
      </c>
    </row>
    <row r="128">
      <c r="A128" s="95" t="inlineStr">
        <is>
          <t>A-124</t>
        </is>
      </c>
      <c r="B128" s="112" t="inlineStr">
        <is>
          <t>L01</t>
        </is>
      </c>
      <c r="C128" s="101" t="inlineStr">
        <is>
          <t>Saudi Arabia</t>
        </is>
      </c>
      <c r="D128" s="101" t="inlineStr">
        <is>
          <t>Riyadh</t>
        </is>
      </c>
      <c r="E128" s="101" t="inlineStr">
        <is>
          <t>B4  500 to 2,000 kg</t>
        </is>
      </c>
      <c r="F128" s="123" t="n">
        <v>1172.3</v>
      </c>
      <c r="G128" s="86">
        <f>F128*0.006477</f>
        <v/>
      </c>
      <c r="H128" s="123">
        <f>F128*1.079436</f>
        <v/>
      </c>
      <c r="I128" s="122">
        <f>MAX(1,ROUNDUP(G128/0.096,0))</f>
        <v/>
      </c>
      <c r="J128" s="84" t="n">
        <v>46694</v>
      </c>
      <c r="K128" s="87">
        <f>J128-WEEKDAY(J128,2)+1</f>
        <v/>
      </c>
      <c r="L128" s="84">
        <f>J128</f>
        <v/>
      </c>
      <c r="M128" s="52">
        <f>INDEX(LR_Target,MATCH(B128,LR_Lane,0))</f>
        <v/>
      </c>
      <c r="N128" s="84">
        <f>WORKDAY.INTL(L128,M128,INDEX(LR_Code,MATCH(B128,LR_Lane,0)),INDEX(DH_Table,0,MATCH(B128&amp;"*",DH_Head,0)))</f>
        <v/>
      </c>
      <c r="O128" s="65">
        <f>IF(W128&lt;&gt;"",W128,IF(U128="Helmond",IF(COUNTIFS(RC_Lane,B128,RC_Band,E128,RC_Transit,"&lt;&gt;")=0,"",SUMIFS(RC_Transit,RC_Lane,B128,RC_Band,E128)),IF(U128="Other","",IF(INDEX(RS_Transit,MATCH(B128,RS_Lane,0))="","",INDEX(RS_Transit,MATCH(B128,RS_Lane,0))))))</f>
        <v/>
      </c>
      <c r="P128" s="140" t="n"/>
      <c r="Q128" s="84">
        <f>IF(P128&lt;&gt;"",P128,IF(O128="","",WORKDAY.INTL(L128,ROUNDUP(O128,0),INDEX(LR_Code,MATCH(B128,LR_Lane,0)),INDEX(DH_Table,0,MATCH(B128&amp;"*",DH_Head,0)))))</f>
        <v/>
      </c>
      <c r="R128" s="100">
        <f>IF(Q128="","",IF(Q128&lt;=N128,"Yes","No"))</f>
        <v/>
      </c>
      <c r="S128" s="52">
        <f>IF(Q128="","",IF(Q128&lt;=N128,0,NETWORKDAYS.INTL(N128,Q128,INDEX(LR_Code,MATCH(B128,LR_Lane,0)),INDEX(DH_Table,0,MATCH(B128&amp;"*",DH_Head,0)))-1))</f>
        <v/>
      </c>
      <c r="T128" s="127" t="n"/>
      <c r="U128" s="112">
        <f>IF(V128&lt;&gt;"",V128,IF(IFERROR(INDEX(RS_Flag,MATCH(B128,RS_Lane,0)),"")="Yes",IF(IFERROR(INDEX(RS_Loc,MATCH(B128,RS_Lane,0)),"")="","Regional stock",IFERROR(INDEX(RS_Loc,MATCH(B128,RS_Lane,0)),"")),"Helmond"))</f>
        <v/>
      </c>
      <c r="V128" s="141" t="n"/>
      <c r="W128" s="142" t="n"/>
      <c r="X128" s="143" t="n"/>
      <c r="Y128" s="116">
        <f>IF(X128&lt;&gt;"",X128,IF(U128="Helmond",IF(COUNTIFS(RC_Lane,B128,RC_Band,E128,RC_CostPS,"&gt;0")=0,"",SUMIFS(RC_CostPS,RC_Lane,B128,RC_Band,E128)),IF(U128="Other","",IF(INDEX(RS_Rate,MATCH(B128,RS_Lane,0))="","",INDEX(RS_Rate,MATCH(B128,RS_Lane,0))))))</f>
        <v/>
      </c>
    </row>
    <row r="129">
      <c r="A129" s="95" t="inlineStr">
        <is>
          <t>A-125</t>
        </is>
      </c>
      <c r="B129" s="112" t="inlineStr">
        <is>
          <t>L05</t>
        </is>
      </c>
      <c r="C129" s="101" t="inlineStr">
        <is>
          <t>Türkiye</t>
        </is>
      </c>
      <c r="D129" s="101" t="inlineStr">
        <is>
          <t>Istanbul</t>
        </is>
      </c>
      <c r="E129" s="101" t="inlineStr">
        <is>
          <t>B2  30 to 100 kg</t>
        </is>
      </c>
      <c r="F129" s="123" t="n">
        <v>51.2</v>
      </c>
      <c r="G129" s="86">
        <f>F129*0.006477</f>
        <v/>
      </c>
      <c r="H129" s="123">
        <f>F129*1.079436</f>
        <v/>
      </c>
      <c r="I129" s="122">
        <f>MAX(1,ROUNDUP(G129/0.096,0))</f>
        <v/>
      </c>
      <c r="J129" s="84" t="n">
        <v>46702</v>
      </c>
      <c r="K129" s="87">
        <f>J129-WEEKDAY(J129,2)+1</f>
        <v/>
      </c>
      <c r="L129" s="84">
        <f>J129</f>
        <v/>
      </c>
      <c r="M129" s="52">
        <f>INDEX(LR_Target,MATCH(B129,LR_Lane,0))</f>
        <v/>
      </c>
      <c r="N129" s="84">
        <f>WORKDAY.INTL(L129,M129,INDEX(LR_Code,MATCH(B129,LR_Lane,0)),INDEX(DH_Table,0,MATCH(B129&amp;"*",DH_Head,0)))</f>
        <v/>
      </c>
      <c r="O129" s="65">
        <f>IF(W129&lt;&gt;"",W129,IF(U129="Helmond",IF(COUNTIFS(RC_Lane,B129,RC_Band,E129,RC_Transit,"&lt;&gt;")=0,"",SUMIFS(RC_Transit,RC_Lane,B129,RC_Band,E129)),IF(U129="Other","",IF(INDEX(RS_Transit,MATCH(B129,RS_Lane,0))="","",INDEX(RS_Transit,MATCH(B129,RS_Lane,0))))))</f>
        <v/>
      </c>
      <c r="P129" s="140" t="n"/>
      <c r="Q129" s="84">
        <f>IF(P129&lt;&gt;"",P129,IF(O129="","",WORKDAY.INTL(L129,ROUNDUP(O129,0),INDEX(LR_Code,MATCH(B129,LR_Lane,0)),INDEX(DH_Table,0,MATCH(B129&amp;"*",DH_Head,0)))))</f>
        <v/>
      </c>
      <c r="R129" s="100">
        <f>IF(Q129="","",IF(Q129&lt;=N129,"Yes","No"))</f>
        <v/>
      </c>
      <c r="S129" s="52">
        <f>IF(Q129="","",IF(Q129&lt;=N129,0,NETWORKDAYS.INTL(N129,Q129,INDEX(LR_Code,MATCH(B129,LR_Lane,0)),INDEX(DH_Table,0,MATCH(B129&amp;"*",DH_Head,0)))-1))</f>
        <v/>
      </c>
      <c r="T129" s="127" t="n"/>
      <c r="U129" s="112">
        <f>IF(V129&lt;&gt;"",V129,IF(IFERROR(INDEX(RS_Flag,MATCH(B129,RS_Lane,0)),"")="Yes",IF(IFERROR(INDEX(RS_Loc,MATCH(B129,RS_Lane,0)),"")="","Regional stock",IFERROR(INDEX(RS_Loc,MATCH(B129,RS_Lane,0)),"")),"Helmond"))</f>
        <v/>
      </c>
      <c r="V129" s="141" t="n"/>
      <c r="W129" s="142" t="n"/>
      <c r="X129" s="143" t="n"/>
      <c r="Y129" s="116">
        <f>IF(X129&lt;&gt;"",X129,IF(U129="Helmond",IF(COUNTIFS(RC_Lane,B129,RC_Band,E129,RC_CostPS,"&gt;0")=0,"",SUMIFS(RC_CostPS,RC_Lane,B129,RC_Band,E129)),IF(U129="Other","",IF(INDEX(RS_Rate,MATCH(B129,RS_Lane,0))="","",INDEX(RS_Rate,MATCH(B129,RS_Lane,0))))))</f>
        <v/>
      </c>
    </row>
    <row r="130">
      <c r="A130" s="95" t="inlineStr">
        <is>
          <t>A-126</t>
        </is>
      </c>
      <c r="B130" s="112" t="inlineStr">
        <is>
          <t>L01</t>
        </is>
      </c>
      <c r="C130" s="101" t="inlineStr">
        <is>
          <t>Saudi Arabia</t>
        </is>
      </c>
      <c r="D130" s="101" t="inlineStr">
        <is>
          <t>Jeddah</t>
        </is>
      </c>
      <c r="E130" s="101" t="inlineStr">
        <is>
          <t>B1  0 to 30 kg</t>
        </is>
      </c>
      <c r="F130" s="123" t="n">
        <v>14.2</v>
      </c>
      <c r="G130" s="86">
        <f>F130*0.006477</f>
        <v/>
      </c>
      <c r="H130" s="123">
        <f>F130*1.079436</f>
        <v/>
      </c>
      <c r="I130" s="122">
        <f>MAX(1,ROUNDUP(G130/0.096,0))</f>
        <v/>
      </c>
      <c r="J130" s="84" t="n">
        <v>46703</v>
      </c>
      <c r="K130" s="87">
        <f>J130-WEEKDAY(J130,2)+1</f>
        <v/>
      </c>
      <c r="L130" s="84">
        <f>J130</f>
        <v/>
      </c>
      <c r="M130" s="52">
        <f>INDEX(LR_Target,MATCH(B130,LR_Lane,0))</f>
        <v/>
      </c>
      <c r="N130" s="84">
        <f>WORKDAY.INTL(L130,M130,INDEX(LR_Code,MATCH(B130,LR_Lane,0)),INDEX(DH_Table,0,MATCH(B130&amp;"*",DH_Head,0)))</f>
        <v/>
      </c>
      <c r="O130" s="65">
        <f>IF(W130&lt;&gt;"",W130,IF(U130="Helmond",IF(COUNTIFS(RC_Lane,B130,RC_Band,E130,RC_Transit,"&lt;&gt;")=0,"",SUMIFS(RC_Transit,RC_Lane,B130,RC_Band,E130)),IF(U130="Other","",IF(INDEX(RS_Transit,MATCH(B130,RS_Lane,0))="","",INDEX(RS_Transit,MATCH(B130,RS_Lane,0))))))</f>
        <v/>
      </c>
      <c r="P130" s="140" t="n"/>
      <c r="Q130" s="84">
        <f>IF(P130&lt;&gt;"",P130,IF(O130="","",WORKDAY.INTL(L130,ROUNDUP(O130,0),INDEX(LR_Code,MATCH(B130,LR_Lane,0)),INDEX(DH_Table,0,MATCH(B130&amp;"*",DH_Head,0)))))</f>
        <v/>
      </c>
      <c r="R130" s="100">
        <f>IF(Q130="","",IF(Q130&lt;=N130,"Yes","No"))</f>
        <v/>
      </c>
      <c r="S130" s="52">
        <f>IF(Q130="","",IF(Q130&lt;=N130,0,NETWORKDAYS.INTL(N130,Q130,INDEX(LR_Code,MATCH(B130,LR_Lane,0)),INDEX(DH_Table,0,MATCH(B130&amp;"*",DH_Head,0)))-1))</f>
        <v/>
      </c>
      <c r="T130" s="127" t="n"/>
      <c r="U130" s="112">
        <f>IF(V130&lt;&gt;"",V130,IF(IFERROR(INDEX(RS_Flag,MATCH(B130,RS_Lane,0)),"")="Yes",IF(IFERROR(INDEX(RS_Loc,MATCH(B130,RS_Lane,0)),"")="","Regional stock",IFERROR(INDEX(RS_Loc,MATCH(B130,RS_Lane,0)),"")),"Helmond"))</f>
        <v/>
      </c>
      <c r="V130" s="141" t="n"/>
      <c r="W130" s="142" t="n"/>
      <c r="X130" s="143" t="n"/>
      <c r="Y130" s="116">
        <f>IF(X130&lt;&gt;"",X130,IF(U130="Helmond",IF(COUNTIFS(RC_Lane,B130,RC_Band,E130,RC_CostPS,"&gt;0")=0,"",SUMIFS(RC_CostPS,RC_Lane,B130,RC_Band,E130)),IF(U130="Other","",IF(INDEX(RS_Rate,MATCH(B130,RS_Lane,0))="","",INDEX(RS_Rate,MATCH(B130,RS_Lane,0))))))</f>
        <v/>
      </c>
    </row>
    <row r="131">
      <c r="A131" s="95" t="inlineStr">
        <is>
          <t>A-127</t>
        </is>
      </c>
      <c r="B131" s="112" t="inlineStr">
        <is>
          <t>L01</t>
        </is>
      </c>
      <c r="C131" s="101" t="inlineStr">
        <is>
          <t>Saudi Arabia</t>
        </is>
      </c>
      <c r="D131" s="101" t="inlineStr">
        <is>
          <t>Jeddah</t>
        </is>
      </c>
      <c r="E131" s="101" t="inlineStr">
        <is>
          <t>B1  0 to 30 kg</t>
        </is>
      </c>
      <c r="F131" s="123" t="n">
        <v>2.4</v>
      </c>
      <c r="G131" s="86">
        <f>F131*0.006477</f>
        <v/>
      </c>
      <c r="H131" s="123">
        <f>F131*1.079436</f>
        <v/>
      </c>
      <c r="I131" s="122">
        <f>MAX(1,ROUNDUP(G131/0.096,0))</f>
        <v/>
      </c>
      <c r="J131" s="84" t="n">
        <v>46703</v>
      </c>
      <c r="K131" s="87">
        <f>J131-WEEKDAY(J131,2)+1</f>
        <v/>
      </c>
      <c r="L131" s="84">
        <f>J131</f>
        <v/>
      </c>
      <c r="M131" s="52">
        <f>INDEX(LR_Target,MATCH(B131,LR_Lane,0))</f>
        <v/>
      </c>
      <c r="N131" s="84">
        <f>WORKDAY.INTL(L131,M131,INDEX(LR_Code,MATCH(B131,LR_Lane,0)),INDEX(DH_Table,0,MATCH(B131&amp;"*",DH_Head,0)))</f>
        <v/>
      </c>
      <c r="O131" s="65">
        <f>IF(W131&lt;&gt;"",W131,IF(U131="Helmond",IF(COUNTIFS(RC_Lane,B131,RC_Band,E131,RC_Transit,"&lt;&gt;")=0,"",SUMIFS(RC_Transit,RC_Lane,B131,RC_Band,E131)),IF(U131="Other","",IF(INDEX(RS_Transit,MATCH(B131,RS_Lane,0))="","",INDEX(RS_Transit,MATCH(B131,RS_Lane,0))))))</f>
        <v/>
      </c>
      <c r="P131" s="140" t="n"/>
      <c r="Q131" s="84">
        <f>IF(P131&lt;&gt;"",P131,IF(O131="","",WORKDAY.INTL(L131,ROUNDUP(O131,0),INDEX(LR_Code,MATCH(B131,LR_Lane,0)),INDEX(DH_Table,0,MATCH(B131&amp;"*",DH_Head,0)))))</f>
        <v/>
      </c>
      <c r="R131" s="100">
        <f>IF(Q131="","",IF(Q131&lt;=N131,"Yes","No"))</f>
        <v/>
      </c>
      <c r="S131" s="52">
        <f>IF(Q131="","",IF(Q131&lt;=N131,0,NETWORKDAYS.INTL(N131,Q131,INDEX(LR_Code,MATCH(B131,LR_Lane,0)),INDEX(DH_Table,0,MATCH(B131&amp;"*",DH_Head,0)))-1))</f>
        <v/>
      </c>
      <c r="T131" s="127" t="n"/>
      <c r="U131" s="112">
        <f>IF(V131&lt;&gt;"",V131,IF(IFERROR(INDEX(RS_Flag,MATCH(B131,RS_Lane,0)),"")="Yes",IF(IFERROR(INDEX(RS_Loc,MATCH(B131,RS_Lane,0)),"")="","Regional stock",IFERROR(INDEX(RS_Loc,MATCH(B131,RS_Lane,0)),"")),"Helmond"))</f>
        <v/>
      </c>
      <c r="V131" s="141" t="n"/>
      <c r="W131" s="142" t="n"/>
      <c r="X131" s="143" t="n"/>
      <c r="Y131" s="116">
        <f>IF(X131&lt;&gt;"",X131,IF(U131="Helmond",IF(COUNTIFS(RC_Lane,B131,RC_Band,E131,RC_CostPS,"&gt;0")=0,"",SUMIFS(RC_CostPS,RC_Lane,B131,RC_Band,E131)),IF(U131="Other","",IF(INDEX(RS_Rate,MATCH(B131,RS_Lane,0))="","",INDEX(RS_Rate,MATCH(B131,RS_Lane,0))))))</f>
        <v/>
      </c>
    </row>
    <row r="132">
      <c r="A132" s="95" t="inlineStr">
        <is>
          <t>A-128</t>
        </is>
      </c>
      <c r="B132" s="112" t="inlineStr">
        <is>
          <t>L02</t>
        </is>
      </c>
      <c r="C132" s="101" t="inlineStr">
        <is>
          <t>United Arab Emirates</t>
        </is>
      </c>
      <c r="D132" s="101" t="inlineStr">
        <is>
          <t>Dubai</t>
        </is>
      </c>
      <c r="E132" s="101" t="inlineStr">
        <is>
          <t>B1  0 to 30 kg</t>
        </is>
      </c>
      <c r="F132" s="123" t="n">
        <v>0.9</v>
      </c>
      <c r="G132" s="86">
        <f>F132*0.006477</f>
        <v/>
      </c>
      <c r="H132" s="123">
        <f>F132*1.079436</f>
        <v/>
      </c>
      <c r="I132" s="122">
        <f>MAX(1,ROUNDUP(G132/0.096,0))</f>
        <v/>
      </c>
      <c r="J132" s="84" t="n">
        <v>46710</v>
      </c>
      <c r="K132" s="87">
        <f>J132-WEEKDAY(J132,2)+1</f>
        <v/>
      </c>
      <c r="L132" s="84">
        <f>J132</f>
        <v/>
      </c>
      <c r="M132" s="52">
        <f>INDEX(LR_Target,MATCH(B132,LR_Lane,0))</f>
        <v/>
      </c>
      <c r="N132" s="84">
        <f>WORKDAY.INTL(L132,M132,INDEX(LR_Code,MATCH(B132,LR_Lane,0)),INDEX(DH_Table,0,MATCH(B132&amp;"*",DH_Head,0)))</f>
        <v/>
      </c>
      <c r="O132" s="65">
        <f>IF(W132&lt;&gt;"",W132,IF(U132="Helmond",IF(COUNTIFS(RC_Lane,B132,RC_Band,E132,RC_Transit,"&lt;&gt;")=0,"",SUMIFS(RC_Transit,RC_Lane,B132,RC_Band,E132)),IF(U132="Other","",IF(INDEX(RS_Transit,MATCH(B132,RS_Lane,0))="","",INDEX(RS_Transit,MATCH(B132,RS_Lane,0))))))</f>
        <v/>
      </c>
      <c r="P132" s="140" t="n"/>
      <c r="Q132" s="84">
        <f>IF(P132&lt;&gt;"",P132,IF(O132="","",WORKDAY.INTL(L132,ROUNDUP(O132,0),INDEX(LR_Code,MATCH(B132,LR_Lane,0)),INDEX(DH_Table,0,MATCH(B132&amp;"*",DH_Head,0)))))</f>
        <v/>
      </c>
      <c r="R132" s="100">
        <f>IF(Q132="","",IF(Q132&lt;=N132,"Yes","No"))</f>
        <v/>
      </c>
      <c r="S132" s="52">
        <f>IF(Q132="","",IF(Q132&lt;=N132,0,NETWORKDAYS.INTL(N132,Q132,INDEX(LR_Code,MATCH(B132,LR_Lane,0)),INDEX(DH_Table,0,MATCH(B132&amp;"*",DH_Head,0)))-1))</f>
        <v/>
      </c>
      <c r="T132" s="127" t="n"/>
      <c r="U132" s="112">
        <f>IF(V132&lt;&gt;"",V132,IF(IFERROR(INDEX(RS_Flag,MATCH(B132,RS_Lane,0)),"")="Yes",IF(IFERROR(INDEX(RS_Loc,MATCH(B132,RS_Lane,0)),"")="","Regional stock",IFERROR(INDEX(RS_Loc,MATCH(B132,RS_Lane,0)),"")),"Helmond"))</f>
        <v/>
      </c>
      <c r="V132" s="141" t="n"/>
      <c r="W132" s="142" t="n"/>
      <c r="X132" s="143" t="n"/>
      <c r="Y132" s="116">
        <f>IF(X132&lt;&gt;"",X132,IF(U132="Helmond",IF(COUNTIFS(RC_Lane,B132,RC_Band,E132,RC_CostPS,"&gt;0")=0,"",SUMIFS(RC_CostPS,RC_Lane,B132,RC_Band,E132)),IF(U132="Other","",IF(INDEX(RS_Rate,MATCH(B132,RS_Lane,0))="","",INDEX(RS_Rate,MATCH(B132,RS_Lane,0))))))</f>
        <v/>
      </c>
    </row>
    <row r="133">
      <c r="A133" s="95" t="inlineStr">
        <is>
          <t>A-129</t>
        </is>
      </c>
      <c r="B133" s="112" t="inlineStr">
        <is>
          <t>L01</t>
        </is>
      </c>
      <c r="C133" s="101" t="inlineStr">
        <is>
          <t>Saudi Arabia</t>
        </is>
      </c>
      <c r="D133" s="101" t="inlineStr">
        <is>
          <t>Jeddah</t>
        </is>
      </c>
      <c r="E133" s="101" t="inlineStr">
        <is>
          <t>B5  over 2,000 kg</t>
        </is>
      </c>
      <c r="F133" s="123" t="n">
        <v>2625.2</v>
      </c>
      <c r="G133" s="86">
        <f>F133*0.006477</f>
        <v/>
      </c>
      <c r="H133" s="123">
        <f>F133*1.079436</f>
        <v/>
      </c>
      <c r="I133" s="122">
        <f>MAX(1,ROUNDUP(G133/0.096,0))</f>
        <v/>
      </c>
      <c r="J133" s="84" t="n">
        <v>46715</v>
      </c>
      <c r="K133" s="87">
        <f>J133-WEEKDAY(J133,2)+1</f>
        <v/>
      </c>
      <c r="L133" s="84">
        <f>J133</f>
        <v/>
      </c>
      <c r="M133" s="52">
        <f>INDEX(LR_Target,MATCH(B133,LR_Lane,0))</f>
        <v/>
      </c>
      <c r="N133" s="84">
        <f>WORKDAY.INTL(L133,M133,INDEX(LR_Code,MATCH(B133,LR_Lane,0)),INDEX(DH_Table,0,MATCH(B133&amp;"*",DH_Head,0)))</f>
        <v/>
      </c>
      <c r="O133" s="65">
        <f>IF(W133&lt;&gt;"",W133,IF(U133="Helmond",IF(COUNTIFS(RC_Lane,B133,RC_Band,E133,RC_Transit,"&lt;&gt;")=0,"",SUMIFS(RC_Transit,RC_Lane,B133,RC_Band,E133)),IF(U133="Other","",IF(INDEX(RS_Transit,MATCH(B133,RS_Lane,0))="","",INDEX(RS_Transit,MATCH(B133,RS_Lane,0))))))</f>
        <v/>
      </c>
      <c r="P133" s="140" t="n"/>
      <c r="Q133" s="84">
        <f>IF(P133&lt;&gt;"",P133,IF(O133="","",WORKDAY.INTL(L133,ROUNDUP(O133,0),INDEX(LR_Code,MATCH(B133,LR_Lane,0)),INDEX(DH_Table,0,MATCH(B133&amp;"*",DH_Head,0)))))</f>
        <v/>
      </c>
      <c r="R133" s="100">
        <f>IF(Q133="","",IF(Q133&lt;=N133,"Yes","No"))</f>
        <v/>
      </c>
      <c r="S133" s="52">
        <f>IF(Q133="","",IF(Q133&lt;=N133,0,NETWORKDAYS.INTL(N133,Q133,INDEX(LR_Code,MATCH(B133,LR_Lane,0)),INDEX(DH_Table,0,MATCH(B133&amp;"*",DH_Head,0)))-1))</f>
        <v/>
      </c>
      <c r="T133" s="127" t="n"/>
      <c r="U133" s="112">
        <f>IF(V133&lt;&gt;"",V133,IF(IFERROR(INDEX(RS_Flag,MATCH(B133,RS_Lane,0)),"")="Yes",IF(IFERROR(INDEX(RS_Loc,MATCH(B133,RS_Lane,0)),"")="","Regional stock",IFERROR(INDEX(RS_Loc,MATCH(B133,RS_Lane,0)),"")),"Helmond"))</f>
        <v/>
      </c>
      <c r="V133" s="141" t="n"/>
      <c r="W133" s="142" t="n"/>
      <c r="X133" s="143" t="n"/>
      <c r="Y133" s="116">
        <f>IF(X133&lt;&gt;"",X133,IF(U133="Helmond",IF(COUNTIFS(RC_Lane,B133,RC_Band,E133,RC_CostPS,"&gt;0")=0,"",SUMIFS(RC_CostPS,RC_Lane,B133,RC_Band,E133)),IF(U133="Other","",IF(INDEX(RS_Rate,MATCH(B133,RS_Lane,0))="","",INDEX(RS_Rate,MATCH(B133,RS_Lane,0))))))</f>
        <v/>
      </c>
    </row>
    <row r="134">
      <c r="A134" s="95" t="inlineStr">
        <is>
          <t>A-130</t>
        </is>
      </c>
      <c r="B134" s="112" t="inlineStr">
        <is>
          <t>L04</t>
        </is>
      </c>
      <c r="C134" s="101" t="inlineStr">
        <is>
          <t>Qatar</t>
        </is>
      </c>
      <c r="D134" s="101" t="inlineStr">
        <is>
          <t>Doha</t>
        </is>
      </c>
      <c r="E134" s="101" t="inlineStr">
        <is>
          <t>B2  30 to 100 kg</t>
        </is>
      </c>
      <c r="F134" s="123" t="n">
        <v>68.59999999999999</v>
      </c>
      <c r="G134" s="86">
        <f>F134*0.006477</f>
        <v/>
      </c>
      <c r="H134" s="123">
        <f>F134*1.079436</f>
        <v/>
      </c>
      <c r="I134" s="122">
        <f>MAX(1,ROUNDUP(G134/0.096,0))</f>
        <v/>
      </c>
      <c r="J134" s="84" t="n">
        <v>46715</v>
      </c>
      <c r="K134" s="87">
        <f>J134-WEEKDAY(J134,2)+1</f>
        <v/>
      </c>
      <c r="L134" s="84">
        <f>J134</f>
        <v/>
      </c>
      <c r="M134" s="52">
        <f>INDEX(LR_Target,MATCH(B134,LR_Lane,0))</f>
        <v/>
      </c>
      <c r="N134" s="84">
        <f>WORKDAY.INTL(L134,M134,INDEX(LR_Code,MATCH(B134,LR_Lane,0)),INDEX(DH_Table,0,MATCH(B134&amp;"*",DH_Head,0)))</f>
        <v/>
      </c>
      <c r="O134" s="65">
        <f>IF(W134&lt;&gt;"",W134,IF(U134="Helmond",IF(COUNTIFS(RC_Lane,B134,RC_Band,E134,RC_Transit,"&lt;&gt;")=0,"",SUMIFS(RC_Transit,RC_Lane,B134,RC_Band,E134)),IF(U134="Other","",IF(INDEX(RS_Transit,MATCH(B134,RS_Lane,0))="","",INDEX(RS_Transit,MATCH(B134,RS_Lane,0))))))</f>
        <v/>
      </c>
      <c r="P134" s="140" t="n"/>
      <c r="Q134" s="84">
        <f>IF(P134&lt;&gt;"",P134,IF(O134="","",WORKDAY.INTL(L134,ROUNDUP(O134,0),INDEX(LR_Code,MATCH(B134,LR_Lane,0)),INDEX(DH_Table,0,MATCH(B134&amp;"*",DH_Head,0)))))</f>
        <v/>
      </c>
      <c r="R134" s="100">
        <f>IF(Q134="","",IF(Q134&lt;=N134,"Yes","No"))</f>
        <v/>
      </c>
      <c r="S134" s="52">
        <f>IF(Q134="","",IF(Q134&lt;=N134,0,NETWORKDAYS.INTL(N134,Q134,INDEX(LR_Code,MATCH(B134,LR_Lane,0)),INDEX(DH_Table,0,MATCH(B134&amp;"*",DH_Head,0)))-1))</f>
        <v/>
      </c>
      <c r="T134" s="127" t="n"/>
      <c r="U134" s="112">
        <f>IF(V134&lt;&gt;"",V134,IF(IFERROR(INDEX(RS_Flag,MATCH(B134,RS_Lane,0)),"")="Yes",IF(IFERROR(INDEX(RS_Loc,MATCH(B134,RS_Lane,0)),"")="","Regional stock",IFERROR(INDEX(RS_Loc,MATCH(B134,RS_Lane,0)),"")),"Helmond"))</f>
        <v/>
      </c>
      <c r="V134" s="141" t="n"/>
      <c r="W134" s="142" t="n"/>
      <c r="X134" s="143" t="n"/>
      <c r="Y134" s="116">
        <f>IF(X134&lt;&gt;"",X134,IF(U134="Helmond",IF(COUNTIFS(RC_Lane,B134,RC_Band,E134,RC_CostPS,"&gt;0")=0,"",SUMIFS(RC_CostPS,RC_Lane,B134,RC_Band,E134)),IF(U134="Other","",IF(INDEX(RS_Rate,MATCH(B134,RS_Lane,0))="","",INDEX(RS_Rate,MATCH(B134,RS_Lane,0))))))</f>
        <v/>
      </c>
    </row>
    <row r="135">
      <c r="A135" s="95" t="inlineStr">
        <is>
          <t>A-131</t>
        </is>
      </c>
      <c r="B135" s="112" t="inlineStr">
        <is>
          <t>L01</t>
        </is>
      </c>
      <c r="C135" s="101" t="inlineStr">
        <is>
          <t>Saudi Arabia</t>
        </is>
      </c>
      <c r="D135" s="101" t="inlineStr">
        <is>
          <t>Jeddah</t>
        </is>
      </c>
      <c r="E135" s="101" t="inlineStr">
        <is>
          <t>B4  500 to 2,000 kg</t>
        </is>
      </c>
      <c r="F135" s="123" t="n">
        <v>784.8</v>
      </c>
      <c r="G135" s="86">
        <f>F135*0.006477</f>
        <v/>
      </c>
      <c r="H135" s="123">
        <f>F135*1.079436</f>
        <v/>
      </c>
      <c r="I135" s="122">
        <f>MAX(1,ROUNDUP(G135/0.096,0))</f>
        <v/>
      </c>
      <c r="J135" s="84" t="n">
        <v>46720</v>
      </c>
      <c r="K135" s="87">
        <f>J135-WEEKDAY(J135,2)+1</f>
        <v/>
      </c>
      <c r="L135" s="84">
        <f>J135</f>
        <v/>
      </c>
      <c r="M135" s="52">
        <f>INDEX(LR_Target,MATCH(B135,LR_Lane,0))</f>
        <v/>
      </c>
      <c r="N135" s="84">
        <f>WORKDAY.INTL(L135,M135,INDEX(LR_Code,MATCH(B135,LR_Lane,0)),INDEX(DH_Table,0,MATCH(B135&amp;"*",DH_Head,0)))</f>
        <v/>
      </c>
      <c r="O135" s="65">
        <f>IF(W135&lt;&gt;"",W135,IF(U135="Helmond",IF(COUNTIFS(RC_Lane,B135,RC_Band,E135,RC_Transit,"&lt;&gt;")=0,"",SUMIFS(RC_Transit,RC_Lane,B135,RC_Band,E135)),IF(U135="Other","",IF(INDEX(RS_Transit,MATCH(B135,RS_Lane,0))="","",INDEX(RS_Transit,MATCH(B135,RS_Lane,0))))))</f>
        <v/>
      </c>
      <c r="P135" s="140" t="n"/>
      <c r="Q135" s="84">
        <f>IF(P135&lt;&gt;"",P135,IF(O135="","",WORKDAY.INTL(L135,ROUNDUP(O135,0),INDEX(LR_Code,MATCH(B135,LR_Lane,0)),INDEX(DH_Table,0,MATCH(B135&amp;"*",DH_Head,0)))))</f>
        <v/>
      </c>
      <c r="R135" s="100">
        <f>IF(Q135="","",IF(Q135&lt;=N135,"Yes","No"))</f>
        <v/>
      </c>
      <c r="S135" s="52">
        <f>IF(Q135="","",IF(Q135&lt;=N135,0,NETWORKDAYS.INTL(N135,Q135,INDEX(LR_Code,MATCH(B135,LR_Lane,0)),INDEX(DH_Table,0,MATCH(B135&amp;"*",DH_Head,0)))-1))</f>
        <v/>
      </c>
      <c r="T135" s="127" t="n"/>
      <c r="U135" s="112">
        <f>IF(V135&lt;&gt;"",V135,IF(IFERROR(INDEX(RS_Flag,MATCH(B135,RS_Lane,0)),"")="Yes",IF(IFERROR(INDEX(RS_Loc,MATCH(B135,RS_Lane,0)),"")="","Regional stock",IFERROR(INDEX(RS_Loc,MATCH(B135,RS_Lane,0)),"")),"Helmond"))</f>
        <v/>
      </c>
      <c r="V135" s="141" t="n"/>
      <c r="W135" s="142" t="n"/>
      <c r="X135" s="143" t="n"/>
      <c r="Y135" s="116">
        <f>IF(X135&lt;&gt;"",X135,IF(U135="Helmond",IF(COUNTIFS(RC_Lane,B135,RC_Band,E135,RC_CostPS,"&gt;0")=0,"",SUMIFS(RC_CostPS,RC_Lane,B135,RC_Band,E135)),IF(U135="Other","",IF(INDEX(RS_Rate,MATCH(B135,RS_Lane,0))="","",INDEX(RS_Rate,MATCH(B135,RS_Lane,0))))))</f>
        <v/>
      </c>
    </row>
    <row r="136">
      <c r="A136" s="95" t="inlineStr">
        <is>
          <t>A-132</t>
        </is>
      </c>
      <c r="B136" s="112" t="inlineStr">
        <is>
          <t>L02</t>
        </is>
      </c>
      <c r="C136" s="101" t="inlineStr">
        <is>
          <t>United Arab Emirates</t>
        </is>
      </c>
      <c r="D136" s="101" t="inlineStr">
        <is>
          <t>Dubai</t>
        </is>
      </c>
      <c r="E136" s="101" t="inlineStr">
        <is>
          <t>B1  0 to 30 kg</t>
        </is>
      </c>
      <c r="F136" s="123" t="n">
        <v>11.8</v>
      </c>
      <c r="G136" s="86">
        <f>F136*0.006477</f>
        <v/>
      </c>
      <c r="H136" s="123">
        <f>F136*1.079436</f>
        <v/>
      </c>
      <c r="I136" s="122">
        <f>MAX(1,ROUNDUP(G136/0.096,0))</f>
        <v/>
      </c>
      <c r="J136" s="84" t="n">
        <v>46720</v>
      </c>
      <c r="K136" s="87">
        <f>J136-WEEKDAY(J136,2)+1</f>
        <v/>
      </c>
      <c r="L136" s="84">
        <f>J136</f>
        <v/>
      </c>
      <c r="M136" s="52">
        <f>INDEX(LR_Target,MATCH(B136,LR_Lane,0))</f>
        <v/>
      </c>
      <c r="N136" s="84">
        <f>WORKDAY.INTL(L136,M136,INDEX(LR_Code,MATCH(B136,LR_Lane,0)),INDEX(DH_Table,0,MATCH(B136&amp;"*",DH_Head,0)))</f>
        <v/>
      </c>
      <c r="O136" s="65">
        <f>IF(W136&lt;&gt;"",W136,IF(U136="Helmond",IF(COUNTIFS(RC_Lane,B136,RC_Band,E136,RC_Transit,"&lt;&gt;")=0,"",SUMIFS(RC_Transit,RC_Lane,B136,RC_Band,E136)),IF(U136="Other","",IF(INDEX(RS_Transit,MATCH(B136,RS_Lane,0))="","",INDEX(RS_Transit,MATCH(B136,RS_Lane,0))))))</f>
        <v/>
      </c>
      <c r="P136" s="140" t="n"/>
      <c r="Q136" s="84">
        <f>IF(P136&lt;&gt;"",P136,IF(O136="","",WORKDAY.INTL(L136,ROUNDUP(O136,0),INDEX(LR_Code,MATCH(B136,LR_Lane,0)),INDEX(DH_Table,0,MATCH(B136&amp;"*",DH_Head,0)))))</f>
        <v/>
      </c>
      <c r="R136" s="100">
        <f>IF(Q136="","",IF(Q136&lt;=N136,"Yes","No"))</f>
        <v/>
      </c>
      <c r="S136" s="52">
        <f>IF(Q136="","",IF(Q136&lt;=N136,0,NETWORKDAYS.INTL(N136,Q136,INDEX(LR_Code,MATCH(B136,LR_Lane,0)),INDEX(DH_Table,0,MATCH(B136&amp;"*",DH_Head,0)))-1))</f>
        <v/>
      </c>
      <c r="T136" s="127" t="n"/>
      <c r="U136" s="112">
        <f>IF(V136&lt;&gt;"",V136,IF(IFERROR(INDEX(RS_Flag,MATCH(B136,RS_Lane,0)),"")="Yes",IF(IFERROR(INDEX(RS_Loc,MATCH(B136,RS_Lane,0)),"")="","Regional stock",IFERROR(INDEX(RS_Loc,MATCH(B136,RS_Lane,0)),"")),"Helmond"))</f>
        <v/>
      </c>
      <c r="V136" s="141" t="n"/>
      <c r="W136" s="142" t="n"/>
      <c r="X136" s="143" t="n"/>
      <c r="Y136" s="116">
        <f>IF(X136&lt;&gt;"",X136,IF(U136="Helmond",IF(COUNTIFS(RC_Lane,B136,RC_Band,E136,RC_CostPS,"&gt;0")=0,"",SUMIFS(RC_CostPS,RC_Lane,B136,RC_Band,E136)),IF(U136="Other","",IF(INDEX(RS_Rate,MATCH(B136,RS_Lane,0))="","",INDEX(RS_Rate,MATCH(B136,RS_Lane,0))))))</f>
        <v/>
      </c>
    </row>
    <row r="137">
      <c r="A137" s="95" t="inlineStr">
        <is>
          <t>A-133</t>
        </is>
      </c>
      <c r="B137" s="112" t="inlineStr">
        <is>
          <t>L02</t>
        </is>
      </c>
      <c r="C137" s="101" t="inlineStr">
        <is>
          <t>United Arab Emirates</t>
        </is>
      </c>
      <c r="D137" s="101" t="inlineStr">
        <is>
          <t>Dubai</t>
        </is>
      </c>
      <c r="E137" s="101" t="inlineStr">
        <is>
          <t>B1  0 to 30 kg</t>
        </is>
      </c>
      <c r="F137" s="123" t="n">
        <v>6.6</v>
      </c>
      <c r="G137" s="86">
        <f>F137*0.006477</f>
        <v/>
      </c>
      <c r="H137" s="123">
        <f>F137*1.079436</f>
        <v/>
      </c>
      <c r="I137" s="122">
        <f>MAX(1,ROUNDUP(G137/0.096,0))</f>
        <v/>
      </c>
      <c r="J137" s="84" t="n">
        <v>46720</v>
      </c>
      <c r="K137" s="87">
        <f>J137-WEEKDAY(J137,2)+1</f>
        <v/>
      </c>
      <c r="L137" s="84">
        <f>J137</f>
        <v/>
      </c>
      <c r="M137" s="52">
        <f>INDEX(LR_Target,MATCH(B137,LR_Lane,0))</f>
        <v/>
      </c>
      <c r="N137" s="84">
        <f>WORKDAY.INTL(L137,M137,INDEX(LR_Code,MATCH(B137,LR_Lane,0)),INDEX(DH_Table,0,MATCH(B137&amp;"*",DH_Head,0)))</f>
        <v/>
      </c>
      <c r="O137" s="65">
        <f>IF(W137&lt;&gt;"",W137,IF(U137="Helmond",IF(COUNTIFS(RC_Lane,B137,RC_Band,E137,RC_Transit,"&lt;&gt;")=0,"",SUMIFS(RC_Transit,RC_Lane,B137,RC_Band,E137)),IF(U137="Other","",IF(INDEX(RS_Transit,MATCH(B137,RS_Lane,0))="","",INDEX(RS_Transit,MATCH(B137,RS_Lane,0))))))</f>
        <v/>
      </c>
      <c r="P137" s="140" t="n"/>
      <c r="Q137" s="84">
        <f>IF(P137&lt;&gt;"",P137,IF(O137="","",WORKDAY.INTL(L137,ROUNDUP(O137,0),INDEX(LR_Code,MATCH(B137,LR_Lane,0)),INDEX(DH_Table,0,MATCH(B137&amp;"*",DH_Head,0)))))</f>
        <v/>
      </c>
      <c r="R137" s="100">
        <f>IF(Q137="","",IF(Q137&lt;=N137,"Yes","No"))</f>
        <v/>
      </c>
      <c r="S137" s="52">
        <f>IF(Q137="","",IF(Q137&lt;=N137,0,NETWORKDAYS.INTL(N137,Q137,INDEX(LR_Code,MATCH(B137,LR_Lane,0)),INDEX(DH_Table,0,MATCH(B137&amp;"*",DH_Head,0)))-1))</f>
        <v/>
      </c>
      <c r="T137" s="127" t="n"/>
      <c r="U137" s="112">
        <f>IF(V137&lt;&gt;"",V137,IF(IFERROR(INDEX(RS_Flag,MATCH(B137,RS_Lane,0)),"")="Yes",IF(IFERROR(INDEX(RS_Loc,MATCH(B137,RS_Lane,0)),"")="","Regional stock",IFERROR(INDEX(RS_Loc,MATCH(B137,RS_Lane,0)),"")),"Helmond"))</f>
        <v/>
      </c>
      <c r="V137" s="141" t="n"/>
      <c r="W137" s="142" t="n"/>
      <c r="X137" s="143" t="n"/>
      <c r="Y137" s="116">
        <f>IF(X137&lt;&gt;"",X137,IF(U137="Helmond",IF(COUNTIFS(RC_Lane,B137,RC_Band,E137,RC_CostPS,"&gt;0")=0,"",SUMIFS(RC_CostPS,RC_Lane,B137,RC_Band,E137)),IF(U137="Other","",IF(INDEX(RS_Rate,MATCH(B137,RS_Lane,0))="","",INDEX(RS_Rate,MATCH(B137,RS_Lane,0))))))</f>
        <v/>
      </c>
    </row>
    <row r="138">
      <c r="A138" s="95" t="inlineStr">
        <is>
          <t>A-134</t>
        </is>
      </c>
      <c r="B138" s="112" t="inlineStr">
        <is>
          <t>L03</t>
        </is>
      </c>
      <c r="C138" s="101" t="inlineStr">
        <is>
          <t>Kuwait</t>
        </is>
      </c>
      <c r="D138" s="101" t="inlineStr">
        <is>
          <t>Kuwait City</t>
        </is>
      </c>
      <c r="E138" s="101" t="inlineStr">
        <is>
          <t>B3  100 to 500 kg</t>
        </is>
      </c>
      <c r="F138" s="123" t="n">
        <v>269.7</v>
      </c>
      <c r="G138" s="86">
        <f>F138*0.006477</f>
        <v/>
      </c>
      <c r="H138" s="123">
        <f>F138*1.079436</f>
        <v/>
      </c>
      <c r="I138" s="122">
        <f>MAX(1,ROUNDUP(G138/0.096,0))</f>
        <v/>
      </c>
      <c r="J138" s="84" t="n">
        <v>46720</v>
      </c>
      <c r="K138" s="87">
        <f>J138-WEEKDAY(J138,2)+1</f>
        <v/>
      </c>
      <c r="L138" s="84">
        <f>J138</f>
        <v/>
      </c>
      <c r="M138" s="52">
        <f>INDEX(LR_Target,MATCH(B138,LR_Lane,0))</f>
        <v/>
      </c>
      <c r="N138" s="84">
        <f>WORKDAY.INTL(L138,M138,INDEX(LR_Code,MATCH(B138,LR_Lane,0)),INDEX(DH_Table,0,MATCH(B138&amp;"*",DH_Head,0)))</f>
        <v/>
      </c>
      <c r="O138" s="65">
        <f>IF(W138&lt;&gt;"",W138,IF(U138="Helmond",IF(COUNTIFS(RC_Lane,B138,RC_Band,E138,RC_Transit,"&lt;&gt;")=0,"",SUMIFS(RC_Transit,RC_Lane,B138,RC_Band,E138)),IF(U138="Other","",IF(INDEX(RS_Transit,MATCH(B138,RS_Lane,0))="","",INDEX(RS_Transit,MATCH(B138,RS_Lane,0))))))</f>
        <v/>
      </c>
      <c r="P138" s="140" t="n"/>
      <c r="Q138" s="84">
        <f>IF(P138&lt;&gt;"",P138,IF(O138="","",WORKDAY.INTL(L138,ROUNDUP(O138,0),INDEX(LR_Code,MATCH(B138,LR_Lane,0)),INDEX(DH_Table,0,MATCH(B138&amp;"*",DH_Head,0)))))</f>
        <v/>
      </c>
      <c r="R138" s="100">
        <f>IF(Q138="","",IF(Q138&lt;=N138,"Yes","No"))</f>
        <v/>
      </c>
      <c r="S138" s="52">
        <f>IF(Q138="","",IF(Q138&lt;=N138,0,NETWORKDAYS.INTL(N138,Q138,INDEX(LR_Code,MATCH(B138,LR_Lane,0)),INDEX(DH_Table,0,MATCH(B138&amp;"*",DH_Head,0)))-1))</f>
        <v/>
      </c>
      <c r="T138" s="127" t="n"/>
      <c r="U138" s="112">
        <f>IF(V138&lt;&gt;"",V138,IF(IFERROR(INDEX(RS_Flag,MATCH(B138,RS_Lane,0)),"")="Yes",IF(IFERROR(INDEX(RS_Loc,MATCH(B138,RS_Lane,0)),"")="","Regional stock",IFERROR(INDEX(RS_Loc,MATCH(B138,RS_Lane,0)),"")),"Helmond"))</f>
        <v/>
      </c>
      <c r="V138" s="141" t="n"/>
      <c r="W138" s="142" t="n"/>
      <c r="X138" s="143" t="n"/>
      <c r="Y138" s="116">
        <f>IF(X138&lt;&gt;"",X138,IF(U138="Helmond",IF(COUNTIFS(RC_Lane,B138,RC_Band,E138,RC_CostPS,"&gt;0")=0,"",SUMIFS(RC_CostPS,RC_Lane,B138,RC_Band,E138)),IF(U138="Other","",IF(INDEX(RS_Rate,MATCH(B138,RS_Lane,0))="","",INDEX(RS_Rate,MATCH(B138,RS_Lane,0))))))</f>
        <v/>
      </c>
    </row>
    <row r="139">
      <c r="A139" s="95" t="inlineStr">
        <is>
          <t>A-135</t>
        </is>
      </c>
      <c r="B139" s="112" t="inlineStr">
        <is>
          <t>L03</t>
        </is>
      </c>
      <c r="C139" s="101" t="inlineStr">
        <is>
          <t>Kuwait</t>
        </is>
      </c>
      <c r="D139" s="101" t="inlineStr">
        <is>
          <t>Kuwait City</t>
        </is>
      </c>
      <c r="E139" s="101" t="inlineStr">
        <is>
          <t>B3  100 to 500 kg</t>
        </is>
      </c>
      <c r="F139" s="123" t="n">
        <v>312.4</v>
      </c>
      <c r="G139" s="86">
        <f>F139*0.006477</f>
        <v/>
      </c>
      <c r="H139" s="123">
        <f>F139*1.079436</f>
        <v/>
      </c>
      <c r="I139" s="122">
        <f>MAX(1,ROUNDUP(G139/0.096,0))</f>
        <v/>
      </c>
      <c r="J139" s="84" t="n">
        <v>46722</v>
      </c>
      <c r="K139" s="87">
        <f>J139-WEEKDAY(J139,2)+1</f>
        <v/>
      </c>
      <c r="L139" s="84">
        <f>J139</f>
        <v/>
      </c>
      <c r="M139" s="52">
        <f>INDEX(LR_Target,MATCH(B139,LR_Lane,0))</f>
        <v/>
      </c>
      <c r="N139" s="84">
        <f>WORKDAY.INTL(L139,M139,INDEX(LR_Code,MATCH(B139,LR_Lane,0)),INDEX(DH_Table,0,MATCH(B139&amp;"*",DH_Head,0)))</f>
        <v/>
      </c>
      <c r="O139" s="65">
        <f>IF(W139&lt;&gt;"",W139,IF(U139="Helmond",IF(COUNTIFS(RC_Lane,B139,RC_Band,E139,RC_Transit,"&lt;&gt;")=0,"",SUMIFS(RC_Transit,RC_Lane,B139,RC_Band,E139)),IF(U139="Other","",IF(INDEX(RS_Transit,MATCH(B139,RS_Lane,0))="","",INDEX(RS_Transit,MATCH(B139,RS_Lane,0))))))</f>
        <v/>
      </c>
      <c r="P139" s="140" t="n"/>
      <c r="Q139" s="84">
        <f>IF(P139&lt;&gt;"",P139,IF(O139="","",WORKDAY.INTL(L139,ROUNDUP(O139,0),INDEX(LR_Code,MATCH(B139,LR_Lane,0)),INDEX(DH_Table,0,MATCH(B139&amp;"*",DH_Head,0)))))</f>
        <v/>
      </c>
      <c r="R139" s="100">
        <f>IF(Q139="","",IF(Q139&lt;=N139,"Yes","No"))</f>
        <v/>
      </c>
      <c r="S139" s="52">
        <f>IF(Q139="","",IF(Q139&lt;=N139,0,NETWORKDAYS.INTL(N139,Q139,INDEX(LR_Code,MATCH(B139,LR_Lane,0)),INDEX(DH_Table,0,MATCH(B139&amp;"*",DH_Head,0)))-1))</f>
        <v/>
      </c>
      <c r="T139" s="127" t="n"/>
      <c r="U139" s="112">
        <f>IF(V139&lt;&gt;"",V139,IF(IFERROR(INDEX(RS_Flag,MATCH(B139,RS_Lane,0)),"")="Yes",IF(IFERROR(INDEX(RS_Loc,MATCH(B139,RS_Lane,0)),"")="","Regional stock",IFERROR(INDEX(RS_Loc,MATCH(B139,RS_Lane,0)),"")),"Helmond"))</f>
        <v/>
      </c>
      <c r="V139" s="141" t="n"/>
      <c r="W139" s="142" t="n"/>
      <c r="X139" s="143" t="n"/>
      <c r="Y139" s="116">
        <f>IF(X139&lt;&gt;"",X139,IF(U139="Helmond",IF(COUNTIFS(RC_Lane,B139,RC_Band,E139,RC_CostPS,"&gt;0")=0,"",SUMIFS(RC_CostPS,RC_Lane,B139,RC_Band,E139)),IF(U139="Other","",IF(INDEX(RS_Rate,MATCH(B139,RS_Lane,0))="","",INDEX(RS_Rate,MATCH(B139,RS_Lane,0))))))</f>
        <v/>
      </c>
    </row>
    <row r="140">
      <c r="A140" s="95" t="inlineStr">
        <is>
          <t>A-136</t>
        </is>
      </c>
      <c r="B140" s="112" t="inlineStr">
        <is>
          <t>L05</t>
        </is>
      </c>
      <c r="C140" s="101" t="inlineStr">
        <is>
          <t>Türkiye</t>
        </is>
      </c>
      <c r="D140" s="101" t="inlineStr">
        <is>
          <t>Istanbul</t>
        </is>
      </c>
      <c r="E140" s="101" t="inlineStr">
        <is>
          <t>B1  0 to 30 kg</t>
        </is>
      </c>
      <c r="F140" s="123" t="n">
        <v>10.3</v>
      </c>
      <c r="G140" s="86">
        <f>F140*0.006477</f>
        <v/>
      </c>
      <c r="H140" s="123">
        <f>F140*1.079436</f>
        <v/>
      </c>
      <c r="I140" s="122">
        <f>MAX(1,ROUNDUP(G140/0.096,0))</f>
        <v/>
      </c>
      <c r="J140" s="84" t="n">
        <v>46724</v>
      </c>
      <c r="K140" s="87">
        <f>J140-WEEKDAY(J140,2)+1</f>
        <v/>
      </c>
      <c r="L140" s="84">
        <f>J140</f>
        <v/>
      </c>
      <c r="M140" s="52">
        <f>INDEX(LR_Target,MATCH(B140,LR_Lane,0))</f>
        <v/>
      </c>
      <c r="N140" s="84">
        <f>WORKDAY.INTL(L140,M140,INDEX(LR_Code,MATCH(B140,LR_Lane,0)),INDEX(DH_Table,0,MATCH(B140&amp;"*",DH_Head,0)))</f>
        <v/>
      </c>
      <c r="O140" s="65">
        <f>IF(W140&lt;&gt;"",W140,IF(U140="Helmond",IF(COUNTIFS(RC_Lane,B140,RC_Band,E140,RC_Transit,"&lt;&gt;")=0,"",SUMIFS(RC_Transit,RC_Lane,B140,RC_Band,E140)),IF(U140="Other","",IF(INDEX(RS_Transit,MATCH(B140,RS_Lane,0))="","",INDEX(RS_Transit,MATCH(B140,RS_Lane,0))))))</f>
        <v/>
      </c>
      <c r="P140" s="140" t="n"/>
      <c r="Q140" s="84">
        <f>IF(P140&lt;&gt;"",P140,IF(O140="","",WORKDAY.INTL(L140,ROUNDUP(O140,0),INDEX(LR_Code,MATCH(B140,LR_Lane,0)),INDEX(DH_Table,0,MATCH(B140&amp;"*",DH_Head,0)))))</f>
        <v/>
      </c>
      <c r="R140" s="100">
        <f>IF(Q140="","",IF(Q140&lt;=N140,"Yes","No"))</f>
        <v/>
      </c>
      <c r="S140" s="52">
        <f>IF(Q140="","",IF(Q140&lt;=N140,0,NETWORKDAYS.INTL(N140,Q140,INDEX(LR_Code,MATCH(B140,LR_Lane,0)),INDEX(DH_Table,0,MATCH(B140&amp;"*",DH_Head,0)))-1))</f>
        <v/>
      </c>
      <c r="T140" s="127" t="n"/>
      <c r="U140" s="112">
        <f>IF(V140&lt;&gt;"",V140,IF(IFERROR(INDEX(RS_Flag,MATCH(B140,RS_Lane,0)),"")="Yes",IF(IFERROR(INDEX(RS_Loc,MATCH(B140,RS_Lane,0)),"")="","Regional stock",IFERROR(INDEX(RS_Loc,MATCH(B140,RS_Lane,0)),"")),"Helmond"))</f>
        <v/>
      </c>
      <c r="V140" s="141" t="n"/>
      <c r="W140" s="142" t="n"/>
      <c r="X140" s="143" t="n"/>
      <c r="Y140" s="116">
        <f>IF(X140&lt;&gt;"",X140,IF(U140="Helmond",IF(COUNTIFS(RC_Lane,B140,RC_Band,E140,RC_CostPS,"&gt;0")=0,"",SUMIFS(RC_CostPS,RC_Lane,B140,RC_Band,E140)),IF(U140="Other","",IF(INDEX(RS_Rate,MATCH(B140,RS_Lane,0))="","",INDEX(RS_Rate,MATCH(B140,RS_Lane,0))))))</f>
        <v/>
      </c>
    </row>
    <row r="141">
      <c r="A141" s="95" t="inlineStr">
        <is>
          <t>A-137</t>
        </is>
      </c>
      <c r="B141" s="112" t="inlineStr">
        <is>
          <t>L01</t>
        </is>
      </c>
      <c r="C141" s="101" t="inlineStr">
        <is>
          <t>Saudi Arabia</t>
        </is>
      </c>
      <c r="D141" s="101" t="inlineStr">
        <is>
          <t>Riyadh</t>
        </is>
      </c>
      <c r="E141" s="101" t="inlineStr">
        <is>
          <t>B1  0 to 30 kg</t>
        </is>
      </c>
      <c r="F141" s="123" t="n">
        <v>14.8</v>
      </c>
      <c r="G141" s="86">
        <f>F141*0.006477</f>
        <v/>
      </c>
      <c r="H141" s="123">
        <f>F141*1.079436</f>
        <v/>
      </c>
      <c r="I141" s="122">
        <f>MAX(1,ROUNDUP(G141/0.096,0))</f>
        <v/>
      </c>
      <c r="J141" s="84" t="n">
        <v>46727</v>
      </c>
      <c r="K141" s="87">
        <f>J141-WEEKDAY(J141,2)+1</f>
        <v/>
      </c>
      <c r="L141" s="84">
        <f>J141</f>
        <v/>
      </c>
      <c r="M141" s="52">
        <f>INDEX(LR_Target,MATCH(B141,LR_Lane,0))</f>
        <v/>
      </c>
      <c r="N141" s="84">
        <f>WORKDAY.INTL(L141,M141,INDEX(LR_Code,MATCH(B141,LR_Lane,0)),INDEX(DH_Table,0,MATCH(B141&amp;"*",DH_Head,0)))</f>
        <v/>
      </c>
      <c r="O141" s="65">
        <f>IF(W141&lt;&gt;"",W141,IF(U141="Helmond",IF(COUNTIFS(RC_Lane,B141,RC_Band,E141,RC_Transit,"&lt;&gt;")=0,"",SUMIFS(RC_Transit,RC_Lane,B141,RC_Band,E141)),IF(U141="Other","",IF(INDEX(RS_Transit,MATCH(B141,RS_Lane,0))="","",INDEX(RS_Transit,MATCH(B141,RS_Lane,0))))))</f>
        <v/>
      </c>
      <c r="P141" s="140" t="n"/>
      <c r="Q141" s="84">
        <f>IF(P141&lt;&gt;"",P141,IF(O141="","",WORKDAY.INTL(L141,ROUNDUP(O141,0),INDEX(LR_Code,MATCH(B141,LR_Lane,0)),INDEX(DH_Table,0,MATCH(B141&amp;"*",DH_Head,0)))))</f>
        <v/>
      </c>
      <c r="R141" s="100">
        <f>IF(Q141="","",IF(Q141&lt;=N141,"Yes","No"))</f>
        <v/>
      </c>
      <c r="S141" s="52">
        <f>IF(Q141="","",IF(Q141&lt;=N141,0,NETWORKDAYS.INTL(N141,Q141,INDEX(LR_Code,MATCH(B141,LR_Lane,0)),INDEX(DH_Table,0,MATCH(B141&amp;"*",DH_Head,0)))-1))</f>
        <v/>
      </c>
      <c r="T141" s="127" t="n"/>
      <c r="U141" s="112">
        <f>IF(V141&lt;&gt;"",V141,IF(IFERROR(INDEX(RS_Flag,MATCH(B141,RS_Lane,0)),"")="Yes",IF(IFERROR(INDEX(RS_Loc,MATCH(B141,RS_Lane,0)),"")="","Regional stock",IFERROR(INDEX(RS_Loc,MATCH(B141,RS_Lane,0)),"")),"Helmond"))</f>
        <v/>
      </c>
      <c r="V141" s="141" t="n"/>
      <c r="W141" s="142" t="n"/>
      <c r="X141" s="143" t="n"/>
      <c r="Y141" s="116">
        <f>IF(X141&lt;&gt;"",X141,IF(U141="Helmond",IF(COUNTIFS(RC_Lane,B141,RC_Band,E141,RC_CostPS,"&gt;0")=0,"",SUMIFS(RC_CostPS,RC_Lane,B141,RC_Band,E141)),IF(U141="Other","",IF(INDEX(RS_Rate,MATCH(B141,RS_Lane,0))="","",INDEX(RS_Rate,MATCH(B141,RS_Lane,0))))))</f>
        <v/>
      </c>
    </row>
    <row r="142">
      <c r="A142" s="95" t="inlineStr">
        <is>
          <t>A-138</t>
        </is>
      </c>
      <c r="B142" s="112" t="inlineStr">
        <is>
          <t>L01</t>
        </is>
      </c>
      <c r="C142" s="101" t="inlineStr">
        <is>
          <t>Saudi Arabia</t>
        </is>
      </c>
      <c r="D142" s="101" t="inlineStr">
        <is>
          <t>Jeddah</t>
        </is>
      </c>
      <c r="E142" s="101" t="inlineStr">
        <is>
          <t>B2  30 to 100 kg</t>
        </is>
      </c>
      <c r="F142" s="123" t="n">
        <v>71.7</v>
      </c>
      <c r="G142" s="86">
        <f>F142*0.006477</f>
        <v/>
      </c>
      <c r="H142" s="123">
        <f>F142*1.079436</f>
        <v/>
      </c>
      <c r="I142" s="122">
        <f>MAX(1,ROUNDUP(G142/0.096,0))</f>
        <v/>
      </c>
      <c r="J142" s="84" t="n">
        <v>46728</v>
      </c>
      <c r="K142" s="87">
        <f>J142-WEEKDAY(J142,2)+1</f>
        <v/>
      </c>
      <c r="L142" s="84">
        <f>J142</f>
        <v/>
      </c>
      <c r="M142" s="52">
        <f>INDEX(LR_Target,MATCH(B142,LR_Lane,0))</f>
        <v/>
      </c>
      <c r="N142" s="84">
        <f>WORKDAY.INTL(L142,M142,INDEX(LR_Code,MATCH(B142,LR_Lane,0)),INDEX(DH_Table,0,MATCH(B142&amp;"*",DH_Head,0)))</f>
        <v/>
      </c>
      <c r="O142" s="65">
        <f>IF(W142&lt;&gt;"",W142,IF(U142="Helmond",IF(COUNTIFS(RC_Lane,B142,RC_Band,E142,RC_Transit,"&lt;&gt;")=0,"",SUMIFS(RC_Transit,RC_Lane,B142,RC_Band,E142)),IF(U142="Other","",IF(INDEX(RS_Transit,MATCH(B142,RS_Lane,0))="","",INDEX(RS_Transit,MATCH(B142,RS_Lane,0))))))</f>
        <v/>
      </c>
      <c r="P142" s="140" t="n"/>
      <c r="Q142" s="84">
        <f>IF(P142&lt;&gt;"",P142,IF(O142="","",WORKDAY.INTL(L142,ROUNDUP(O142,0),INDEX(LR_Code,MATCH(B142,LR_Lane,0)),INDEX(DH_Table,0,MATCH(B142&amp;"*",DH_Head,0)))))</f>
        <v/>
      </c>
      <c r="R142" s="100">
        <f>IF(Q142="","",IF(Q142&lt;=N142,"Yes","No"))</f>
        <v/>
      </c>
      <c r="S142" s="52">
        <f>IF(Q142="","",IF(Q142&lt;=N142,0,NETWORKDAYS.INTL(N142,Q142,INDEX(LR_Code,MATCH(B142,LR_Lane,0)),INDEX(DH_Table,0,MATCH(B142&amp;"*",DH_Head,0)))-1))</f>
        <v/>
      </c>
      <c r="T142" s="127" t="n"/>
      <c r="U142" s="112">
        <f>IF(V142&lt;&gt;"",V142,IF(IFERROR(INDEX(RS_Flag,MATCH(B142,RS_Lane,0)),"")="Yes",IF(IFERROR(INDEX(RS_Loc,MATCH(B142,RS_Lane,0)),"")="","Regional stock",IFERROR(INDEX(RS_Loc,MATCH(B142,RS_Lane,0)),"")),"Helmond"))</f>
        <v/>
      </c>
      <c r="V142" s="141" t="n"/>
      <c r="W142" s="142" t="n"/>
      <c r="X142" s="143" t="n"/>
      <c r="Y142" s="116">
        <f>IF(X142&lt;&gt;"",X142,IF(U142="Helmond",IF(COUNTIFS(RC_Lane,B142,RC_Band,E142,RC_CostPS,"&gt;0")=0,"",SUMIFS(RC_CostPS,RC_Lane,B142,RC_Band,E142)),IF(U142="Other","",IF(INDEX(RS_Rate,MATCH(B142,RS_Lane,0))="","",INDEX(RS_Rate,MATCH(B142,RS_Lane,0))))))</f>
        <v/>
      </c>
    </row>
    <row r="143">
      <c r="A143" s="95" t="inlineStr">
        <is>
          <t>A-139</t>
        </is>
      </c>
      <c r="B143" s="112" t="inlineStr">
        <is>
          <t>L02</t>
        </is>
      </c>
      <c r="C143" s="101" t="inlineStr">
        <is>
          <t>United Arab Emirates</t>
        </is>
      </c>
      <c r="D143" s="101" t="inlineStr">
        <is>
          <t>Dubai</t>
        </is>
      </c>
      <c r="E143" s="101" t="inlineStr">
        <is>
          <t>B1  0 to 30 kg</t>
        </is>
      </c>
      <c r="F143" s="123" t="n">
        <v>4.6</v>
      </c>
      <c r="G143" s="86">
        <f>F143*0.006477</f>
        <v/>
      </c>
      <c r="H143" s="123">
        <f>F143*1.079436</f>
        <v/>
      </c>
      <c r="I143" s="122">
        <f>MAX(1,ROUNDUP(G143/0.096,0))</f>
        <v/>
      </c>
      <c r="J143" s="84" t="n">
        <v>46741</v>
      </c>
      <c r="K143" s="87">
        <f>J143-WEEKDAY(J143,2)+1</f>
        <v/>
      </c>
      <c r="L143" s="84">
        <f>J143</f>
        <v/>
      </c>
      <c r="M143" s="52">
        <f>INDEX(LR_Target,MATCH(B143,LR_Lane,0))</f>
        <v/>
      </c>
      <c r="N143" s="84">
        <f>WORKDAY.INTL(L143,M143,INDEX(LR_Code,MATCH(B143,LR_Lane,0)),INDEX(DH_Table,0,MATCH(B143&amp;"*",DH_Head,0)))</f>
        <v/>
      </c>
      <c r="O143" s="65">
        <f>IF(W143&lt;&gt;"",W143,IF(U143="Helmond",IF(COUNTIFS(RC_Lane,B143,RC_Band,E143,RC_Transit,"&lt;&gt;")=0,"",SUMIFS(RC_Transit,RC_Lane,B143,RC_Band,E143)),IF(U143="Other","",IF(INDEX(RS_Transit,MATCH(B143,RS_Lane,0))="","",INDEX(RS_Transit,MATCH(B143,RS_Lane,0))))))</f>
        <v/>
      </c>
      <c r="P143" s="140" t="n"/>
      <c r="Q143" s="84">
        <f>IF(P143&lt;&gt;"",P143,IF(O143="","",WORKDAY.INTL(L143,ROUNDUP(O143,0),INDEX(LR_Code,MATCH(B143,LR_Lane,0)),INDEX(DH_Table,0,MATCH(B143&amp;"*",DH_Head,0)))))</f>
        <v/>
      </c>
      <c r="R143" s="100">
        <f>IF(Q143="","",IF(Q143&lt;=N143,"Yes","No"))</f>
        <v/>
      </c>
      <c r="S143" s="52">
        <f>IF(Q143="","",IF(Q143&lt;=N143,0,NETWORKDAYS.INTL(N143,Q143,INDEX(LR_Code,MATCH(B143,LR_Lane,0)),INDEX(DH_Table,0,MATCH(B143&amp;"*",DH_Head,0)))-1))</f>
        <v/>
      </c>
      <c r="T143" s="127" t="n"/>
      <c r="U143" s="112">
        <f>IF(V143&lt;&gt;"",V143,IF(IFERROR(INDEX(RS_Flag,MATCH(B143,RS_Lane,0)),"")="Yes",IF(IFERROR(INDEX(RS_Loc,MATCH(B143,RS_Lane,0)),"")="","Regional stock",IFERROR(INDEX(RS_Loc,MATCH(B143,RS_Lane,0)),"")),"Helmond"))</f>
        <v/>
      </c>
      <c r="V143" s="141" t="n"/>
      <c r="W143" s="142" t="n"/>
      <c r="X143" s="143" t="n"/>
      <c r="Y143" s="116">
        <f>IF(X143&lt;&gt;"",X143,IF(U143="Helmond",IF(COUNTIFS(RC_Lane,B143,RC_Band,E143,RC_CostPS,"&gt;0")=0,"",SUMIFS(RC_CostPS,RC_Lane,B143,RC_Band,E143)),IF(U143="Other","",IF(INDEX(RS_Rate,MATCH(B143,RS_Lane,0))="","",INDEX(RS_Rate,MATCH(B143,RS_Lane,0))))))</f>
        <v/>
      </c>
    </row>
    <row r="144">
      <c r="A144" s="95" t="inlineStr">
        <is>
          <t>A-140</t>
        </is>
      </c>
      <c r="B144" s="112" t="inlineStr">
        <is>
          <t>L02</t>
        </is>
      </c>
      <c r="C144" s="101" t="inlineStr">
        <is>
          <t>United Arab Emirates</t>
        </is>
      </c>
      <c r="D144" s="101" t="inlineStr">
        <is>
          <t>Dubai</t>
        </is>
      </c>
      <c r="E144" s="101" t="inlineStr">
        <is>
          <t>B1  0 to 30 kg</t>
        </is>
      </c>
      <c r="F144" s="123" t="n">
        <v>6.8</v>
      </c>
      <c r="G144" s="86">
        <f>F144*0.006477</f>
        <v/>
      </c>
      <c r="H144" s="123">
        <f>F144*1.079436</f>
        <v/>
      </c>
      <c r="I144" s="122">
        <f>MAX(1,ROUNDUP(G144/0.096,0))</f>
        <v/>
      </c>
      <c r="J144" s="84" t="n">
        <v>46743</v>
      </c>
      <c r="K144" s="87">
        <f>J144-WEEKDAY(J144,2)+1</f>
        <v/>
      </c>
      <c r="L144" s="84">
        <f>J144</f>
        <v/>
      </c>
      <c r="M144" s="52">
        <f>INDEX(LR_Target,MATCH(B144,LR_Lane,0))</f>
        <v/>
      </c>
      <c r="N144" s="84">
        <f>WORKDAY.INTL(L144,M144,INDEX(LR_Code,MATCH(B144,LR_Lane,0)),INDEX(DH_Table,0,MATCH(B144&amp;"*",DH_Head,0)))</f>
        <v/>
      </c>
      <c r="O144" s="65">
        <f>IF(W144&lt;&gt;"",W144,IF(U144="Helmond",IF(COUNTIFS(RC_Lane,B144,RC_Band,E144,RC_Transit,"&lt;&gt;")=0,"",SUMIFS(RC_Transit,RC_Lane,B144,RC_Band,E144)),IF(U144="Other","",IF(INDEX(RS_Transit,MATCH(B144,RS_Lane,0))="","",INDEX(RS_Transit,MATCH(B144,RS_Lane,0))))))</f>
        <v/>
      </c>
      <c r="P144" s="140" t="n"/>
      <c r="Q144" s="84">
        <f>IF(P144&lt;&gt;"",P144,IF(O144="","",WORKDAY.INTL(L144,ROUNDUP(O144,0),INDEX(LR_Code,MATCH(B144,LR_Lane,0)),INDEX(DH_Table,0,MATCH(B144&amp;"*",DH_Head,0)))))</f>
        <v/>
      </c>
      <c r="R144" s="100">
        <f>IF(Q144="","",IF(Q144&lt;=N144,"Yes","No"))</f>
        <v/>
      </c>
      <c r="S144" s="52">
        <f>IF(Q144="","",IF(Q144&lt;=N144,0,NETWORKDAYS.INTL(N144,Q144,INDEX(LR_Code,MATCH(B144,LR_Lane,0)),INDEX(DH_Table,0,MATCH(B144&amp;"*",DH_Head,0)))-1))</f>
        <v/>
      </c>
      <c r="T144" s="127" t="n"/>
      <c r="U144" s="112">
        <f>IF(V144&lt;&gt;"",V144,IF(IFERROR(INDEX(RS_Flag,MATCH(B144,RS_Lane,0)),"")="Yes",IF(IFERROR(INDEX(RS_Loc,MATCH(B144,RS_Lane,0)),"")="","Regional stock",IFERROR(INDEX(RS_Loc,MATCH(B144,RS_Lane,0)),"")),"Helmond"))</f>
        <v/>
      </c>
      <c r="V144" s="141" t="n"/>
      <c r="W144" s="142" t="n"/>
      <c r="X144" s="143" t="n"/>
      <c r="Y144" s="116">
        <f>IF(X144&lt;&gt;"",X144,IF(U144="Helmond",IF(COUNTIFS(RC_Lane,B144,RC_Band,E144,RC_CostPS,"&gt;0")=0,"",SUMIFS(RC_CostPS,RC_Lane,B144,RC_Band,E144)),IF(U144="Other","",IF(INDEX(RS_Rate,MATCH(B144,RS_Lane,0))="","",INDEX(RS_Rate,MATCH(B144,RS_Lane,0))))))</f>
        <v/>
      </c>
    </row>
    <row r="145">
      <c r="A145" s="95" t="inlineStr">
        <is>
          <t>A-141</t>
        </is>
      </c>
      <c r="B145" s="112" t="inlineStr">
        <is>
          <t>L01</t>
        </is>
      </c>
      <c r="C145" s="101" t="inlineStr">
        <is>
          <t>Saudi Arabia</t>
        </is>
      </c>
      <c r="D145" s="101" t="inlineStr">
        <is>
          <t>Riyadh</t>
        </is>
      </c>
      <c r="E145" s="101" t="inlineStr">
        <is>
          <t>B1  0 to 30 kg</t>
        </is>
      </c>
      <c r="F145" s="123" t="n">
        <v>9.5</v>
      </c>
      <c r="G145" s="86">
        <f>F145*0.006477</f>
        <v/>
      </c>
      <c r="H145" s="123">
        <f>F145*1.079436</f>
        <v/>
      </c>
      <c r="I145" s="122">
        <f>MAX(1,ROUNDUP(G145/0.096,0))</f>
        <v/>
      </c>
      <c r="J145" s="84" t="n">
        <v>46750</v>
      </c>
      <c r="K145" s="87">
        <f>J145-WEEKDAY(J145,2)+1</f>
        <v/>
      </c>
      <c r="L145" s="84">
        <f>J145</f>
        <v/>
      </c>
      <c r="M145" s="52">
        <f>INDEX(LR_Target,MATCH(B145,LR_Lane,0))</f>
        <v/>
      </c>
      <c r="N145" s="84">
        <f>WORKDAY.INTL(L145,M145,INDEX(LR_Code,MATCH(B145,LR_Lane,0)),INDEX(DH_Table,0,MATCH(B145&amp;"*",DH_Head,0)))</f>
        <v/>
      </c>
      <c r="O145" s="65">
        <f>IF(W145&lt;&gt;"",W145,IF(U145="Helmond",IF(COUNTIFS(RC_Lane,B145,RC_Band,E145,RC_Transit,"&lt;&gt;")=0,"",SUMIFS(RC_Transit,RC_Lane,B145,RC_Band,E145)),IF(U145="Other","",IF(INDEX(RS_Transit,MATCH(B145,RS_Lane,0))="","",INDEX(RS_Transit,MATCH(B145,RS_Lane,0))))))</f>
        <v/>
      </c>
      <c r="P145" s="140" t="n"/>
      <c r="Q145" s="84">
        <f>IF(P145&lt;&gt;"",P145,IF(O145="","",WORKDAY.INTL(L145,ROUNDUP(O145,0),INDEX(LR_Code,MATCH(B145,LR_Lane,0)),INDEX(DH_Table,0,MATCH(B145&amp;"*",DH_Head,0)))))</f>
        <v/>
      </c>
      <c r="R145" s="100">
        <f>IF(Q145="","",IF(Q145&lt;=N145,"Yes","No"))</f>
        <v/>
      </c>
      <c r="S145" s="52">
        <f>IF(Q145="","",IF(Q145&lt;=N145,0,NETWORKDAYS.INTL(N145,Q145,INDEX(LR_Code,MATCH(B145,LR_Lane,0)),INDEX(DH_Table,0,MATCH(B145&amp;"*",DH_Head,0)))-1))</f>
        <v/>
      </c>
      <c r="T145" s="127" t="n"/>
      <c r="U145" s="112">
        <f>IF(V145&lt;&gt;"",V145,IF(IFERROR(INDEX(RS_Flag,MATCH(B145,RS_Lane,0)),"")="Yes",IF(IFERROR(INDEX(RS_Loc,MATCH(B145,RS_Lane,0)),"")="","Regional stock",IFERROR(INDEX(RS_Loc,MATCH(B145,RS_Lane,0)),"")),"Helmond"))</f>
        <v/>
      </c>
      <c r="V145" s="141" t="n"/>
      <c r="W145" s="142" t="n"/>
      <c r="X145" s="143" t="n"/>
      <c r="Y145" s="116">
        <f>IF(X145&lt;&gt;"",X145,IF(U145="Helmond",IF(COUNTIFS(RC_Lane,B145,RC_Band,E145,RC_CostPS,"&gt;0")=0,"",SUMIFS(RC_CostPS,RC_Lane,B145,RC_Band,E145)),IF(U145="Other","",IF(INDEX(RS_Rate,MATCH(B145,RS_Lane,0))="","",INDEX(RS_Rate,MATCH(B145,RS_Lane,0))))))</f>
        <v/>
      </c>
    </row>
    <row r="146">
      <c r="A146" s="96">
        <f>COUNTA(A5:A145)&amp;" shipments"</f>
        <v/>
      </c>
      <c r="B146" s="118" t="inlineStr"/>
      <c r="C146" s="118" t="inlineStr"/>
      <c r="D146" s="118" t="inlineStr"/>
      <c r="E146" s="118" t="inlineStr"/>
      <c r="F146" s="124">
        <f>SUM(F5:F145)</f>
        <v/>
      </c>
      <c r="G146" s="125">
        <f>SUM(G5:G145)</f>
        <v/>
      </c>
      <c r="H146" s="124">
        <f>SUM(H5:H145)</f>
        <v/>
      </c>
      <c r="I146" s="124">
        <f>SUM(I5:I145)</f>
        <v/>
      </c>
      <c r="J146" s="118" t="inlineStr"/>
      <c r="K146" s="118" t="inlineStr"/>
      <c r="L146" s="118" t="inlineStr"/>
      <c r="M146" s="118" t="inlineStr"/>
      <c r="N146" s="118" t="inlineStr"/>
      <c r="O146" s="118" t="inlineStr"/>
      <c r="P146" s="118" t="inlineStr"/>
      <c r="Q146" s="118" t="inlineStr"/>
      <c r="R146" s="118" t="inlineStr"/>
      <c r="S146" s="118" t="inlineStr"/>
      <c r="T146" s="118" t="inlineStr"/>
      <c r="U146" s="117">
        <f>COUNTIF(U5:U145,"&lt;&gt;Helmond")&amp;" not from Helmond"</f>
        <v/>
      </c>
      <c r="V146" s="118" t="inlineStr"/>
      <c r="W146" s="118" t="inlineStr"/>
      <c r="X146" s="118" t="inlineStr"/>
      <c r="Y146" s="119">
        <f>SUM(Y5:Y145)</f>
        <v/>
      </c>
    </row>
  </sheetData>
  <sheetProtection selectLockedCells="0" selectUnlockedCells="0" sheet="1" objects="0" insertRows="1" insertHyperlinks="1" autoFilter="0" scenarios="0" formatColumns="0" deleteColumns="1" insertColumns="1" pivotTables="1" deleteRows="1" formatCells="1" formatRows="0" sort="0"/>
  <autoFilter ref="A4:Y145"/>
  <conditionalFormatting sqref="R5:R145">
    <cfRule type="expression" priority="1" dxfId="1">
      <formula>R5="Yes"</formula>
    </cfRule>
    <cfRule type="expression" priority="2" dxfId="2">
      <formula>R5="No"</formula>
    </cfRule>
  </conditionalFormatting>
  <dataValidations count="2">
    <dataValidation sqref="P5:P145" showDropDown="0" showInputMessage="0" showErrorMessage="0" allowBlank="1" type="date" operator="between">
      <formula1>DATE(2027,1,1)</formula1>
      <formula2>DATE(2028,3,31)</formula2>
    </dataValidation>
    <dataValidation sqref="V5:V145" showDropDown="0" showInputMessage="0" showErrorMessage="0" allowBlank="1" type="list">
      <formula1>"Helmond,W1,W2,W3,Other"</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2E75B6"/>
    <outlinePr summaryBelow="1" summaryRight="1"/>
    <pageSetUpPr fitToPage="1"/>
  </sheetPr>
  <dimension ref="A1:Y33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20" customWidth="1" min="3" max="3"/>
    <col width="16" customWidth="1" min="4" max="4"/>
    <col width="17" customWidth="1" min="5" max="5"/>
    <col width="9" customWidth="1" min="6" max="6"/>
    <col width="8" customWidth="1" min="7" max="7"/>
    <col width="10" customWidth="1" min="8" max="8"/>
    <col width="8" customWidth="1" min="9" max="9"/>
    <col width="15" customWidth="1" min="10" max="10"/>
    <col width="11" customWidth="1" min="11" max="11"/>
    <col width="15" customWidth="1" min="12" max="12"/>
    <col width="10" customWidth="1" min="13" max="13"/>
    <col width="15" customWidth="1" min="14" max="14"/>
    <col width="9" customWidth="1" min="15" max="15"/>
    <col width="15" customWidth="1" min="16" max="16"/>
    <col width="15" customWidth="1" min="17" max="17"/>
    <col width="8" customWidth="1" min="18" max="18"/>
    <col width="7" customWidth="1" min="19" max="19"/>
    <col width="26" customWidth="1" min="20" max="20"/>
    <col width="15" customWidth="1" min="21" max="21"/>
    <col width="13" customWidth="1" min="22" max="22"/>
    <col width="14" customWidth="1" min="23" max="23"/>
    <col width="15" customWidth="1" min="24" max="24"/>
    <col width="13" customWidth="1" min="25" max="25"/>
  </cols>
  <sheetData>
    <row r="1">
      <c r="A1" s="99" t="inlineStr">
        <is>
          <t>Scenario B: shipment schedule</t>
        </is>
      </c>
    </row>
    <row r="2">
      <c r="A2" s="98" t="inlineStr">
        <is>
          <t>One row per shipment. Default origin is Helmond. Where another origin is possible or better (your hub W1 to W3, a supplier, another hub), set it per shipment in the yellow origin columns. Expected delivery and shipment cost then follow that origin.</t>
        </is>
      </c>
    </row>
    <row r="3"/>
    <row r="4" ht="58" customHeight="1">
      <c r="A4" s="10" t="inlineStr">
        <is>
          <t>Shipment ID</t>
        </is>
      </c>
      <c r="B4" s="10" t="inlineStr">
        <is>
          <t>Lane</t>
        </is>
      </c>
      <c r="C4" s="10" t="inlineStr">
        <is>
          <t>Destination</t>
        </is>
      </c>
      <c r="D4" s="10" t="inlineStr">
        <is>
          <t>Delivery city</t>
        </is>
      </c>
      <c r="E4" s="10" t="inlineStr">
        <is>
          <t>Weight band</t>
        </is>
      </c>
      <c r="F4" s="10" t="inlineStr">
        <is>
          <t>Gross kg</t>
        </is>
      </c>
      <c r="G4" s="10" t="inlineStr">
        <is>
          <t>m3 (est.)</t>
        </is>
      </c>
      <c r="H4" s="10" t="inlineStr">
        <is>
          <t>Chargeable kg</t>
        </is>
      </c>
      <c r="I4" s="10" t="inlineStr">
        <is>
          <t>Cartons (est.)</t>
        </is>
      </c>
      <c r="J4" s="10" t="inlineStr">
        <is>
          <t>Order release date</t>
        </is>
      </c>
      <c r="K4" s="10" t="inlineStr">
        <is>
          <t>Week starting</t>
        </is>
      </c>
      <c r="L4" s="10" t="inlineStr">
        <is>
          <t>Planned pickup</t>
        </is>
      </c>
      <c r="M4" s="10" t="inlineStr">
        <is>
          <t>Target (working days)</t>
        </is>
      </c>
      <c r="N4" s="10" t="inlineStr">
        <is>
          <t>Target delivery date</t>
        </is>
      </c>
      <c r="O4" s="10" t="inlineStr">
        <is>
          <t>Quoted transit days</t>
        </is>
      </c>
      <c r="P4" s="18" t="inlineStr">
        <is>
          <t>Your expected delivery date (optional)</t>
        </is>
      </c>
      <c r="Q4" s="10" t="inlineStr">
        <is>
          <t>Expected delivery date</t>
        </is>
      </c>
      <c r="R4" s="10" t="inlineStr">
        <is>
          <t>Meets target</t>
        </is>
      </c>
      <c r="S4" s="10" t="inlineStr">
        <is>
          <t>Days late</t>
        </is>
      </c>
      <c r="T4" s="18" t="inlineStr">
        <is>
          <t>Comment</t>
        </is>
      </c>
      <c r="U4" s="10" t="inlineStr">
        <is>
          <t>Ships from</t>
        </is>
      </c>
      <c r="V4" s="18" t="inlineStr">
        <is>
          <t>Proposed origin (optional)</t>
        </is>
      </c>
      <c r="W4" s="18" t="inlineStr">
        <is>
          <t>Transit days from proposed origin (optional)</t>
        </is>
      </c>
      <c r="X4" s="18" t="inlineStr">
        <is>
          <t>Cost per shipment from proposed origin (EUR, optional)</t>
        </is>
      </c>
      <c r="Y4" s="10" t="inlineStr">
        <is>
          <t>Shipment cost (EUR)</t>
        </is>
      </c>
    </row>
    <row r="5">
      <c r="A5" s="95" t="inlineStr">
        <is>
          <t>B-001</t>
        </is>
      </c>
      <c r="B5" s="112" t="inlineStr">
        <is>
          <t>L02</t>
        </is>
      </c>
      <c r="C5" s="101" t="inlineStr">
        <is>
          <t>United Arab Emirates</t>
        </is>
      </c>
      <c r="D5" s="101" t="inlineStr">
        <is>
          <t>Dubai</t>
        </is>
      </c>
      <c r="E5" s="101" t="inlineStr">
        <is>
          <t>B1  0 to 30 kg</t>
        </is>
      </c>
      <c r="F5" s="123" t="n">
        <v>7.7</v>
      </c>
      <c r="G5" s="86">
        <f>F5*0.006477</f>
        <v/>
      </c>
      <c r="H5" s="123">
        <f>F5*1.079436</f>
        <v/>
      </c>
      <c r="I5" s="122">
        <f>MAX(1,ROUNDUP(G5/0.096,0))</f>
        <v/>
      </c>
      <c r="J5" s="84" t="n">
        <v>46391</v>
      </c>
      <c r="K5" s="87">
        <f>J5-WEEKDAY(J5,2)+1</f>
        <v/>
      </c>
      <c r="L5" s="84">
        <f>J5</f>
        <v/>
      </c>
      <c r="M5" s="52">
        <f>INDEX(LR_Target,MATCH(B5,LR_Lane,0))</f>
        <v/>
      </c>
      <c r="N5" s="84">
        <f>WORKDAY.INTL(L5,M5,INDEX(LR_Code,MATCH(B5,LR_Lane,0)),INDEX(DH_Table,0,MATCH(B5&amp;"*",DH_Head,0)))</f>
        <v/>
      </c>
      <c r="O5" s="65">
        <f>IF(W5&lt;&gt;"",W5,IF(U5="Helmond",IF(COUNTIFS(RC_Lane,B5,RC_Band,E5,RC_Transit,"&lt;&gt;")=0,"",SUMIFS(RC_Transit,RC_Lane,B5,RC_Band,E5)),IF(U5="Other","",IF(INDEX(RS_Transit,MATCH(B5,RS_Lane,0))="","",INDEX(RS_Transit,MATCH(B5,RS_Lane,0))))))</f>
        <v/>
      </c>
      <c r="P5" s="140" t="n"/>
      <c r="Q5" s="84">
        <f>IF(P5&lt;&gt;"",P5,IF(O5="","",WORKDAY.INTL(L5,ROUNDUP(O5,0),INDEX(LR_Code,MATCH(B5,LR_Lane,0)),INDEX(DH_Table,0,MATCH(B5&amp;"*",DH_Head,0)))))</f>
        <v/>
      </c>
      <c r="R5" s="100">
        <f>IF(Q5="","",IF(Q5&lt;=N5,"Yes","No"))</f>
        <v/>
      </c>
      <c r="S5" s="52">
        <f>IF(Q5="","",IF(Q5&lt;=N5,0,NETWORKDAYS.INTL(N5,Q5,INDEX(LR_Code,MATCH(B5,LR_Lane,0)),INDEX(DH_Table,0,MATCH(B5&amp;"*",DH_Head,0)))-1))</f>
        <v/>
      </c>
      <c r="T5" s="127" t="n"/>
      <c r="U5" s="112">
        <f>IF(V5&lt;&gt;"",V5,IF(IFERROR(INDEX(RS_Flag,MATCH(B5,RS_Lane,0)),"")="Yes",IF(IFERROR(INDEX(RS_Loc,MATCH(B5,RS_Lane,0)),"")="","Regional stock",IFERROR(INDEX(RS_Loc,MATCH(B5,RS_Lane,0)),"")),"Helmond"))</f>
        <v/>
      </c>
      <c r="V5" s="141" t="n"/>
      <c r="W5" s="142" t="n"/>
      <c r="X5" s="143" t="n"/>
      <c r="Y5" s="116">
        <f>IF(X5&lt;&gt;"",X5,IF(U5="Helmond",IF(COUNTIFS(RC_Lane,B5,RC_Band,E5,RC_CostPS,"&gt;0")=0,"",SUMIFS(RC_CostPS,RC_Lane,B5,RC_Band,E5)*(1-SUMIFS(RC_Disc,RC_Lane,B5,RC_Band,E5))),IF(U5="Other","",IF(INDEX(RS_Rate,MATCH(B5,RS_Lane,0))="","",INDEX(RS_Rate,MATCH(B5,RS_Lane,0))))))</f>
        <v/>
      </c>
    </row>
    <row r="6">
      <c r="A6" s="95" t="inlineStr">
        <is>
          <t>B-002</t>
        </is>
      </c>
      <c r="B6" s="112" t="inlineStr">
        <is>
          <t>L05</t>
        </is>
      </c>
      <c r="C6" s="101" t="inlineStr">
        <is>
          <t>Türkiye</t>
        </is>
      </c>
      <c r="D6" s="101" t="inlineStr">
        <is>
          <t>Istanbul</t>
        </is>
      </c>
      <c r="E6" s="101" t="inlineStr">
        <is>
          <t>B1  0 to 30 kg</t>
        </is>
      </c>
      <c r="F6" s="123" t="n">
        <v>3.5</v>
      </c>
      <c r="G6" s="86">
        <f>F6*0.006477</f>
        <v/>
      </c>
      <c r="H6" s="123">
        <f>F6*1.079436</f>
        <v/>
      </c>
      <c r="I6" s="122">
        <f>MAX(1,ROUNDUP(G6/0.096,0))</f>
        <v/>
      </c>
      <c r="J6" s="84" t="n">
        <v>46391</v>
      </c>
      <c r="K6" s="87">
        <f>J6-WEEKDAY(J6,2)+1</f>
        <v/>
      </c>
      <c r="L6" s="84">
        <f>J6</f>
        <v/>
      </c>
      <c r="M6" s="52">
        <f>INDEX(LR_Target,MATCH(B6,LR_Lane,0))</f>
        <v/>
      </c>
      <c r="N6" s="84">
        <f>WORKDAY.INTL(L6,M6,INDEX(LR_Code,MATCH(B6,LR_Lane,0)),INDEX(DH_Table,0,MATCH(B6&amp;"*",DH_Head,0)))</f>
        <v/>
      </c>
      <c r="O6" s="65">
        <f>IF(W6&lt;&gt;"",W6,IF(U6="Helmond",IF(COUNTIFS(RC_Lane,B6,RC_Band,E6,RC_Transit,"&lt;&gt;")=0,"",SUMIFS(RC_Transit,RC_Lane,B6,RC_Band,E6)),IF(U6="Other","",IF(INDEX(RS_Transit,MATCH(B6,RS_Lane,0))="","",INDEX(RS_Transit,MATCH(B6,RS_Lane,0))))))</f>
        <v/>
      </c>
      <c r="P6" s="140" t="n"/>
      <c r="Q6" s="84">
        <f>IF(P6&lt;&gt;"",P6,IF(O6="","",WORKDAY.INTL(L6,ROUNDUP(O6,0),INDEX(LR_Code,MATCH(B6,LR_Lane,0)),INDEX(DH_Table,0,MATCH(B6&amp;"*",DH_Head,0)))))</f>
        <v/>
      </c>
      <c r="R6" s="100">
        <f>IF(Q6="","",IF(Q6&lt;=N6,"Yes","No"))</f>
        <v/>
      </c>
      <c r="S6" s="52">
        <f>IF(Q6="","",IF(Q6&lt;=N6,0,NETWORKDAYS.INTL(N6,Q6,INDEX(LR_Code,MATCH(B6,LR_Lane,0)),INDEX(DH_Table,0,MATCH(B6&amp;"*",DH_Head,0)))-1))</f>
        <v/>
      </c>
      <c r="T6" s="127" t="n"/>
      <c r="U6" s="112">
        <f>IF(V6&lt;&gt;"",V6,IF(IFERROR(INDEX(RS_Flag,MATCH(B6,RS_Lane,0)),"")="Yes",IF(IFERROR(INDEX(RS_Loc,MATCH(B6,RS_Lane,0)),"")="","Regional stock",IFERROR(INDEX(RS_Loc,MATCH(B6,RS_Lane,0)),"")),"Helmond"))</f>
        <v/>
      </c>
      <c r="V6" s="141" t="n"/>
      <c r="W6" s="142" t="n"/>
      <c r="X6" s="143" t="n"/>
      <c r="Y6" s="116">
        <f>IF(X6&lt;&gt;"",X6,IF(U6="Helmond",IF(COUNTIFS(RC_Lane,B6,RC_Band,E6,RC_CostPS,"&gt;0")=0,"",SUMIFS(RC_CostPS,RC_Lane,B6,RC_Band,E6)*(1-SUMIFS(RC_Disc,RC_Lane,B6,RC_Band,E6))),IF(U6="Other","",IF(INDEX(RS_Rate,MATCH(B6,RS_Lane,0))="","",INDEX(RS_Rate,MATCH(B6,RS_Lane,0))))))</f>
        <v/>
      </c>
    </row>
    <row r="7">
      <c r="A7" s="95" t="inlineStr">
        <is>
          <t>B-003</t>
        </is>
      </c>
      <c r="B7" s="112" t="inlineStr">
        <is>
          <t>L01</t>
        </is>
      </c>
      <c r="C7" s="101" t="inlineStr">
        <is>
          <t>Saudi Arabia</t>
        </is>
      </c>
      <c r="D7" s="101" t="inlineStr">
        <is>
          <t>Riyadh</t>
        </is>
      </c>
      <c r="E7" s="101" t="inlineStr">
        <is>
          <t>B3  100 to 500 kg</t>
        </is>
      </c>
      <c r="F7" s="123" t="n">
        <v>153.3</v>
      </c>
      <c r="G7" s="86">
        <f>F7*0.006477</f>
        <v/>
      </c>
      <c r="H7" s="123">
        <f>F7*1.079436</f>
        <v/>
      </c>
      <c r="I7" s="122">
        <f>MAX(1,ROUNDUP(G7/0.096,0))</f>
        <v/>
      </c>
      <c r="J7" s="84" t="n">
        <v>46393</v>
      </c>
      <c r="K7" s="87">
        <f>J7-WEEKDAY(J7,2)+1</f>
        <v/>
      </c>
      <c r="L7" s="84">
        <f>J7</f>
        <v/>
      </c>
      <c r="M7" s="52">
        <f>INDEX(LR_Target,MATCH(B7,LR_Lane,0))</f>
        <v/>
      </c>
      <c r="N7" s="84">
        <f>WORKDAY.INTL(L7,M7,INDEX(LR_Code,MATCH(B7,LR_Lane,0)),INDEX(DH_Table,0,MATCH(B7&amp;"*",DH_Head,0)))</f>
        <v/>
      </c>
      <c r="O7" s="65">
        <f>IF(W7&lt;&gt;"",W7,IF(U7="Helmond",IF(COUNTIFS(RC_Lane,B7,RC_Band,E7,RC_Transit,"&lt;&gt;")=0,"",SUMIFS(RC_Transit,RC_Lane,B7,RC_Band,E7)),IF(U7="Other","",IF(INDEX(RS_Transit,MATCH(B7,RS_Lane,0))="","",INDEX(RS_Transit,MATCH(B7,RS_Lane,0))))))</f>
        <v/>
      </c>
      <c r="P7" s="140" t="n"/>
      <c r="Q7" s="84">
        <f>IF(P7&lt;&gt;"",P7,IF(O7="","",WORKDAY.INTL(L7,ROUNDUP(O7,0),INDEX(LR_Code,MATCH(B7,LR_Lane,0)),INDEX(DH_Table,0,MATCH(B7&amp;"*",DH_Head,0)))))</f>
        <v/>
      </c>
      <c r="R7" s="100">
        <f>IF(Q7="","",IF(Q7&lt;=N7,"Yes","No"))</f>
        <v/>
      </c>
      <c r="S7" s="52">
        <f>IF(Q7="","",IF(Q7&lt;=N7,0,NETWORKDAYS.INTL(N7,Q7,INDEX(LR_Code,MATCH(B7,LR_Lane,0)),INDEX(DH_Table,0,MATCH(B7&amp;"*",DH_Head,0)))-1))</f>
        <v/>
      </c>
      <c r="T7" s="127" t="n"/>
      <c r="U7" s="112">
        <f>IF(V7&lt;&gt;"",V7,IF(IFERROR(INDEX(RS_Flag,MATCH(B7,RS_Lane,0)),"")="Yes",IF(IFERROR(INDEX(RS_Loc,MATCH(B7,RS_Lane,0)),"")="","Regional stock",IFERROR(INDEX(RS_Loc,MATCH(B7,RS_Lane,0)),"")),"Helmond"))</f>
        <v/>
      </c>
      <c r="V7" s="141" t="n"/>
      <c r="W7" s="142" t="n"/>
      <c r="X7" s="143" t="n"/>
      <c r="Y7" s="116">
        <f>IF(X7&lt;&gt;"",X7,IF(U7="Helmond",IF(COUNTIFS(RC_Lane,B7,RC_Band,E7,RC_CostPS,"&gt;0")=0,"",SUMIFS(RC_CostPS,RC_Lane,B7,RC_Band,E7)*(1-SUMIFS(RC_Disc,RC_Lane,B7,RC_Band,E7))),IF(U7="Other","",IF(INDEX(RS_Rate,MATCH(B7,RS_Lane,0))="","",INDEX(RS_Rate,MATCH(B7,RS_Lane,0))))))</f>
        <v/>
      </c>
    </row>
    <row r="8">
      <c r="A8" s="95" t="inlineStr">
        <is>
          <t>B-004</t>
        </is>
      </c>
      <c r="B8" s="112" t="inlineStr">
        <is>
          <t>L05</t>
        </is>
      </c>
      <c r="C8" s="101" t="inlineStr">
        <is>
          <t>Türkiye</t>
        </is>
      </c>
      <c r="D8" s="101" t="inlineStr">
        <is>
          <t>Istanbul</t>
        </is>
      </c>
      <c r="E8" s="101" t="inlineStr">
        <is>
          <t>B1  0 to 30 kg</t>
        </is>
      </c>
      <c r="F8" s="123" t="n">
        <v>2.2</v>
      </c>
      <c r="G8" s="86">
        <f>F8*0.006477</f>
        <v/>
      </c>
      <c r="H8" s="123">
        <f>F8*1.079436</f>
        <v/>
      </c>
      <c r="I8" s="122">
        <f>MAX(1,ROUNDUP(G8/0.096,0))</f>
        <v/>
      </c>
      <c r="J8" s="84" t="n">
        <v>46393</v>
      </c>
      <c r="K8" s="87">
        <f>J8-WEEKDAY(J8,2)+1</f>
        <v/>
      </c>
      <c r="L8" s="84">
        <f>J8</f>
        <v/>
      </c>
      <c r="M8" s="52">
        <f>INDEX(LR_Target,MATCH(B8,LR_Lane,0))</f>
        <v/>
      </c>
      <c r="N8" s="84">
        <f>WORKDAY.INTL(L8,M8,INDEX(LR_Code,MATCH(B8,LR_Lane,0)),INDEX(DH_Table,0,MATCH(B8&amp;"*",DH_Head,0)))</f>
        <v/>
      </c>
      <c r="O8" s="65">
        <f>IF(W8&lt;&gt;"",W8,IF(U8="Helmond",IF(COUNTIFS(RC_Lane,B8,RC_Band,E8,RC_Transit,"&lt;&gt;")=0,"",SUMIFS(RC_Transit,RC_Lane,B8,RC_Band,E8)),IF(U8="Other","",IF(INDEX(RS_Transit,MATCH(B8,RS_Lane,0))="","",INDEX(RS_Transit,MATCH(B8,RS_Lane,0))))))</f>
        <v/>
      </c>
      <c r="P8" s="140" t="n"/>
      <c r="Q8" s="84">
        <f>IF(P8&lt;&gt;"",P8,IF(O8="","",WORKDAY.INTL(L8,ROUNDUP(O8,0),INDEX(LR_Code,MATCH(B8,LR_Lane,0)),INDEX(DH_Table,0,MATCH(B8&amp;"*",DH_Head,0)))))</f>
        <v/>
      </c>
      <c r="R8" s="100">
        <f>IF(Q8="","",IF(Q8&lt;=N8,"Yes","No"))</f>
        <v/>
      </c>
      <c r="S8" s="52">
        <f>IF(Q8="","",IF(Q8&lt;=N8,0,NETWORKDAYS.INTL(N8,Q8,INDEX(LR_Code,MATCH(B8,LR_Lane,0)),INDEX(DH_Table,0,MATCH(B8&amp;"*",DH_Head,0)))-1))</f>
        <v/>
      </c>
      <c r="T8" s="127" t="n"/>
      <c r="U8" s="112">
        <f>IF(V8&lt;&gt;"",V8,IF(IFERROR(INDEX(RS_Flag,MATCH(B8,RS_Lane,0)),"")="Yes",IF(IFERROR(INDEX(RS_Loc,MATCH(B8,RS_Lane,0)),"")="","Regional stock",IFERROR(INDEX(RS_Loc,MATCH(B8,RS_Lane,0)),"")),"Helmond"))</f>
        <v/>
      </c>
      <c r="V8" s="141" t="n"/>
      <c r="W8" s="142" t="n"/>
      <c r="X8" s="143" t="n"/>
      <c r="Y8" s="116">
        <f>IF(X8&lt;&gt;"",X8,IF(U8="Helmond",IF(COUNTIFS(RC_Lane,B8,RC_Band,E8,RC_CostPS,"&gt;0")=0,"",SUMIFS(RC_CostPS,RC_Lane,B8,RC_Band,E8)*(1-SUMIFS(RC_Disc,RC_Lane,B8,RC_Band,E8))),IF(U8="Other","",IF(INDEX(RS_Rate,MATCH(B8,RS_Lane,0))="","",INDEX(RS_Rate,MATCH(B8,RS_Lane,0))))))</f>
        <v/>
      </c>
    </row>
    <row r="9">
      <c r="A9" s="95" t="inlineStr">
        <is>
          <t>B-005</t>
        </is>
      </c>
      <c r="B9" s="112" t="inlineStr">
        <is>
          <t>L01</t>
        </is>
      </c>
      <c r="C9" s="101" t="inlineStr">
        <is>
          <t>Saudi Arabia</t>
        </is>
      </c>
      <c r="D9" s="101" t="inlineStr">
        <is>
          <t>Jeddah</t>
        </is>
      </c>
      <c r="E9" s="101" t="inlineStr">
        <is>
          <t>B1  0 to 30 kg</t>
        </is>
      </c>
      <c r="F9" s="123" t="n">
        <v>10.9</v>
      </c>
      <c r="G9" s="86">
        <f>F9*0.006477</f>
        <v/>
      </c>
      <c r="H9" s="123">
        <f>F9*1.079436</f>
        <v/>
      </c>
      <c r="I9" s="122">
        <f>MAX(1,ROUNDUP(G9/0.096,0))</f>
        <v/>
      </c>
      <c r="J9" s="84" t="n">
        <v>46395</v>
      </c>
      <c r="K9" s="87">
        <f>J9-WEEKDAY(J9,2)+1</f>
        <v/>
      </c>
      <c r="L9" s="84">
        <f>J9</f>
        <v/>
      </c>
      <c r="M9" s="52">
        <f>INDEX(LR_Target,MATCH(B9,LR_Lane,0))</f>
        <v/>
      </c>
      <c r="N9" s="84">
        <f>WORKDAY.INTL(L9,M9,INDEX(LR_Code,MATCH(B9,LR_Lane,0)),INDEX(DH_Table,0,MATCH(B9&amp;"*",DH_Head,0)))</f>
        <v/>
      </c>
      <c r="O9" s="65">
        <f>IF(W9&lt;&gt;"",W9,IF(U9="Helmond",IF(COUNTIFS(RC_Lane,B9,RC_Band,E9,RC_Transit,"&lt;&gt;")=0,"",SUMIFS(RC_Transit,RC_Lane,B9,RC_Band,E9)),IF(U9="Other","",IF(INDEX(RS_Transit,MATCH(B9,RS_Lane,0))="","",INDEX(RS_Transit,MATCH(B9,RS_Lane,0))))))</f>
        <v/>
      </c>
      <c r="P9" s="140" t="n"/>
      <c r="Q9" s="84">
        <f>IF(P9&lt;&gt;"",P9,IF(O9="","",WORKDAY.INTL(L9,ROUNDUP(O9,0),INDEX(LR_Code,MATCH(B9,LR_Lane,0)),INDEX(DH_Table,0,MATCH(B9&amp;"*",DH_Head,0)))))</f>
        <v/>
      </c>
      <c r="R9" s="100">
        <f>IF(Q9="","",IF(Q9&lt;=N9,"Yes","No"))</f>
        <v/>
      </c>
      <c r="S9" s="52">
        <f>IF(Q9="","",IF(Q9&lt;=N9,0,NETWORKDAYS.INTL(N9,Q9,INDEX(LR_Code,MATCH(B9,LR_Lane,0)),INDEX(DH_Table,0,MATCH(B9&amp;"*",DH_Head,0)))-1))</f>
        <v/>
      </c>
      <c r="T9" s="127" t="n"/>
      <c r="U9" s="112">
        <f>IF(V9&lt;&gt;"",V9,IF(IFERROR(INDEX(RS_Flag,MATCH(B9,RS_Lane,0)),"")="Yes",IF(IFERROR(INDEX(RS_Loc,MATCH(B9,RS_Lane,0)),"")="","Regional stock",IFERROR(INDEX(RS_Loc,MATCH(B9,RS_Lane,0)),"")),"Helmond"))</f>
        <v/>
      </c>
      <c r="V9" s="141" t="n"/>
      <c r="W9" s="142" t="n"/>
      <c r="X9" s="143" t="n"/>
      <c r="Y9" s="116">
        <f>IF(X9&lt;&gt;"",X9,IF(U9="Helmond",IF(COUNTIFS(RC_Lane,B9,RC_Band,E9,RC_CostPS,"&gt;0")=0,"",SUMIFS(RC_CostPS,RC_Lane,B9,RC_Band,E9)*(1-SUMIFS(RC_Disc,RC_Lane,B9,RC_Band,E9))),IF(U9="Other","",IF(INDEX(RS_Rate,MATCH(B9,RS_Lane,0))="","",INDEX(RS_Rate,MATCH(B9,RS_Lane,0))))))</f>
        <v/>
      </c>
    </row>
    <row r="10">
      <c r="A10" s="95" t="inlineStr">
        <is>
          <t>B-006</t>
        </is>
      </c>
      <c r="B10" s="112" t="inlineStr">
        <is>
          <t>L02</t>
        </is>
      </c>
      <c r="C10" s="101" t="inlineStr">
        <is>
          <t>United Arab Emirates</t>
        </is>
      </c>
      <c r="D10" s="101" t="inlineStr">
        <is>
          <t>Dubai</t>
        </is>
      </c>
      <c r="E10" s="101" t="inlineStr">
        <is>
          <t>B1  0 to 30 kg</t>
        </is>
      </c>
      <c r="F10" s="123" t="n">
        <v>7.4</v>
      </c>
      <c r="G10" s="86">
        <f>F10*0.006477</f>
        <v/>
      </c>
      <c r="H10" s="123">
        <f>F10*1.079436</f>
        <v/>
      </c>
      <c r="I10" s="122">
        <f>MAX(1,ROUNDUP(G10/0.096,0))</f>
        <v/>
      </c>
      <c r="J10" s="84" t="n">
        <v>46399</v>
      </c>
      <c r="K10" s="87">
        <f>J10-WEEKDAY(J10,2)+1</f>
        <v/>
      </c>
      <c r="L10" s="84">
        <f>J10</f>
        <v/>
      </c>
      <c r="M10" s="52">
        <f>INDEX(LR_Target,MATCH(B10,LR_Lane,0))</f>
        <v/>
      </c>
      <c r="N10" s="84">
        <f>WORKDAY.INTL(L10,M10,INDEX(LR_Code,MATCH(B10,LR_Lane,0)),INDEX(DH_Table,0,MATCH(B10&amp;"*",DH_Head,0)))</f>
        <v/>
      </c>
      <c r="O10" s="65">
        <f>IF(W10&lt;&gt;"",W10,IF(U10="Helmond",IF(COUNTIFS(RC_Lane,B10,RC_Band,E10,RC_Transit,"&lt;&gt;")=0,"",SUMIFS(RC_Transit,RC_Lane,B10,RC_Band,E10)),IF(U10="Other","",IF(INDEX(RS_Transit,MATCH(B10,RS_Lane,0))="","",INDEX(RS_Transit,MATCH(B10,RS_Lane,0))))))</f>
        <v/>
      </c>
      <c r="P10" s="140" t="n"/>
      <c r="Q10" s="84">
        <f>IF(P10&lt;&gt;"",P10,IF(O10="","",WORKDAY.INTL(L10,ROUNDUP(O10,0),INDEX(LR_Code,MATCH(B10,LR_Lane,0)),INDEX(DH_Table,0,MATCH(B10&amp;"*",DH_Head,0)))))</f>
        <v/>
      </c>
      <c r="R10" s="100">
        <f>IF(Q10="","",IF(Q10&lt;=N10,"Yes","No"))</f>
        <v/>
      </c>
      <c r="S10" s="52">
        <f>IF(Q10="","",IF(Q10&lt;=N10,0,NETWORKDAYS.INTL(N10,Q10,INDEX(LR_Code,MATCH(B10,LR_Lane,0)),INDEX(DH_Table,0,MATCH(B10&amp;"*",DH_Head,0)))-1))</f>
        <v/>
      </c>
      <c r="T10" s="127" t="n"/>
      <c r="U10" s="112">
        <f>IF(V10&lt;&gt;"",V10,IF(IFERROR(INDEX(RS_Flag,MATCH(B10,RS_Lane,0)),"")="Yes",IF(IFERROR(INDEX(RS_Loc,MATCH(B10,RS_Lane,0)),"")="","Regional stock",IFERROR(INDEX(RS_Loc,MATCH(B10,RS_Lane,0)),"")),"Helmond"))</f>
        <v/>
      </c>
      <c r="V10" s="141" t="n"/>
      <c r="W10" s="142" t="n"/>
      <c r="X10" s="143" t="n"/>
      <c r="Y10" s="116">
        <f>IF(X10&lt;&gt;"",X10,IF(U10="Helmond",IF(COUNTIFS(RC_Lane,B10,RC_Band,E10,RC_CostPS,"&gt;0")=0,"",SUMIFS(RC_CostPS,RC_Lane,B10,RC_Band,E10)*(1-SUMIFS(RC_Disc,RC_Lane,B10,RC_Band,E10))),IF(U10="Other","",IF(INDEX(RS_Rate,MATCH(B10,RS_Lane,0))="","",INDEX(RS_Rate,MATCH(B10,RS_Lane,0))))))</f>
        <v/>
      </c>
    </row>
    <row r="11">
      <c r="A11" s="95" t="inlineStr">
        <is>
          <t>B-007</t>
        </is>
      </c>
      <c r="B11" s="112" t="inlineStr">
        <is>
          <t>L02</t>
        </is>
      </c>
      <c r="C11" s="101" t="inlineStr">
        <is>
          <t>United Arab Emirates</t>
        </is>
      </c>
      <c r="D11" s="101" t="inlineStr">
        <is>
          <t>Dubai</t>
        </is>
      </c>
      <c r="E11" s="101" t="inlineStr">
        <is>
          <t>B1  0 to 30 kg</t>
        </is>
      </c>
      <c r="F11" s="123" t="n">
        <v>11</v>
      </c>
      <c r="G11" s="86">
        <f>F11*0.006477</f>
        <v/>
      </c>
      <c r="H11" s="123">
        <f>F11*1.079436</f>
        <v/>
      </c>
      <c r="I11" s="122">
        <f>MAX(1,ROUNDUP(G11/0.096,0))</f>
        <v/>
      </c>
      <c r="J11" s="84" t="n">
        <v>46399</v>
      </c>
      <c r="K11" s="87">
        <f>J11-WEEKDAY(J11,2)+1</f>
        <v/>
      </c>
      <c r="L11" s="84">
        <f>J11</f>
        <v/>
      </c>
      <c r="M11" s="52">
        <f>INDEX(LR_Target,MATCH(B11,LR_Lane,0))</f>
        <v/>
      </c>
      <c r="N11" s="84">
        <f>WORKDAY.INTL(L11,M11,INDEX(LR_Code,MATCH(B11,LR_Lane,0)),INDEX(DH_Table,0,MATCH(B11&amp;"*",DH_Head,0)))</f>
        <v/>
      </c>
      <c r="O11" s="65">
        <f>IF(W11&lt;&gt;"",W11,IF(U11="Helmond",IF(COUNTIFS(RC_Lane,B11,RC_Band,E11,RC_Transit,"&lt;&gt;")=0,"",SUMIFS(RC_Transit,RC_Lane,B11,RC_Band,E11)),IF(U11="Other","",IF(INDEX(RS_Transit,MATCH(B11,RS_Lane,0))="","",INDEX(RS_Transit,MATCH(B11,RS_Lane,0))))))</f>
        <v/>
      </c>
      <c r="P11" s="140" t="n"/>
      <c r="Q11" s="84">
        <f>IF(P11&lt;&gt;"",P11,IF(O11="","",WORKDAY.INTL(L11,ROUNDUP(O11,0),INDEX(LR_Code,MATCH(B11,LR_Lane,0)),INDEX(DH_Table,0,MATCH(B11&amp;"*",DH_Head,0)))))</f>
        <v/>
      </c>
      <c r="R11" s="100">
        <f>IF(Q11="","",IF(Q11&lt;=N11,"Yes","No"))</f>
        <v/>
      </c>
      <c r="S11" s="52">
        <f>IF(Q11="","",IF(Q11&lt;=N11,0,NETWORKDAYS.INTL(N11,Q11,INDEX(LR_Code,MATCH(B11,LR_Lane,0)),INDEX(DH_Table,0,MATCH(B11&amp;"*",DH_Head,0)))-1))</f>
        <v/>
      </c>
      <c r="T11" s="127" t="n"/>
      <c r="U11" s="112">
        <f>IF(V11&lt;&gt;"",V11,IF(IFERROR(INDEX(RS_Flag,MATCH(B11,RS_Lane,0)),"")="Yes",IF(IFERROR(INDEX(RS_Loc,MATCH(B11,RS_Lane,0)),"")="","Regional stock",IFERROR(INDEX(RS_Loc,MATCH(B11,RS_Lane,0)),"")),"Helmond"))</f>
        <v/>
      </c>
      <c r="V11" s="141" t="n"/>
      <c r="W11" s="142" t="n"/>
      <c r="X11" s="143" t="n"/>
      <c r="Y11" s="116">
        <f>IF(X11&lt;&gt;"",X11,IF(U11="Helmond",IF(COUNTIFS(RC_Lane,B11,RC_Band,E11,RC_CostPS,"&gt;0")=0,"",SUMIFS(RC_CostPS,RC_Lane,B11,RC_Band,E11)*(1-SUMIFS(RC_Disc,RC_Lane,B11,RC_Band,E11))),IF(U11="Other","",IF(INDEX(RS_Rate,MATCH(B11,RS_Lane,0))="","",INDEX(RS_Rate,MATCH(B11,RS_Lane,0))))))</f>
        <v/>
      </c>
    </row>
    <row r="12">
      <c r="A12" s="95" t="inlineStr">
        <is>
          <t>B-008</t>
        </is>
      </c>
      <c r="B12" s="112" t="inlineStr">
        <is>
          <t>L03</t>
        </is>
      </c>
      <c r="C12" s="101" t="inlineStr">
        <is>
          <t>Kuwait</t>
        </is>
      </c>
      <c r="D12" s="101" t="inlineStr">
        <is>
          <t>Kuwait City</t>
        </is>
      </c>
      <c r="E12" s="101" t="inlineStr">
        <is>
          <t>B1  0 to 30 kg</t>
        </is>
      </c>
      <c r="F12" s="123" t="n">
        <v>4.8</v>
      </c>
      <c r="G12" s="86">
        <f>F12*0.006477</f>
        <v/>
      </c>
      <c r="H12" s="123">
        <f>F12*1.079436</f>
        <v/>
      </c>
      <c r="I12" s="122">
        <f>MAX(1,ROUNDUP(G12/0.096,0))</f>
        <v/>
      </c>
      <c r="J12" s="84" t="n">
        <v>46399</v>
      </c>
      <c r="K12" s="87">
        <f>J12-WEEKDAY(J12,2)+1</f>
        <v/>
      </c>
      <c r="L12" s="84">
        <f>J12</f>
        <v/>
      </c>
      <c r="M12" s="52">
        <f>INDEX(LR_Target,MATCH(B12,LR_Lane,0))</f>
        <v/>
      </c>
      <c r="N12" s="84">
        <f>WORKDAY.INTL(L12,M12,INDEX(LR_Code,MATCH(B12,LR_Lane,0)),INDEX(DH_Table,0,MATCH(B12&amp;"*",DH_Head,0)))</f>
        <v/>
      </c>
      <c r="O12" s="65">
        <f>IF(W12&lt;&gt;"",W12,IF(U12="Helmond",IF(COUNTIFS(RC_Lane,B12,RC_Band,E12,RC_Transit,"&lt;&gt;")=0,"",SUMIFS(RC_Transit,RC_Lane,B12,RC_Band,E12)),IF(U12="Other","",IF(INDEX(RS_Transit,MATCH(B12,RS_Lane,0))="","",INDEX(RS_Transit,MATCH(B12,RS_Lane,0))))))</f>
        <v/>
      </c>
      <c r="P12" s="140" t="n"/>
      <c r="Q12" s="84">
        <f>IF(P12&lt;&gt;"",P12,IF(O12="","",WORKDAY.INTL(L12,ROUNDUP(O12,0),INDEX(LR_Code,MATCH(B12,LR_Lane,0)),INDEX(DH_Table,0,MATCH(B12&amp;"*",DH_Head,0)))))</f>
        <v/>
      </c>
      <c r="R12" s="100">
        <f>IF(Q12="","",IF(Q12&lt;=N12,"Yes","No"))</f>
        <v/>
      </c>
      <c r="S12" s="52">
        <f>IF(Q12="","",IF(Q12&lt;=N12,0,NETWORKDAYS.INTL(N12,Q12,INDEX(LR_Code,MATCH(B12,LR_Lane,0)),INDEX(DH_Table,0,MATCH(B12&amp;"*",DH_Head,0)))-1))</f>
        <v/>
      </c>
      <c r="T12" s="127" t="n"/>
      <c r="U12" s="112">
        <f>IF(V12&lt;&gt;"",V12,IF(IFERROR(INDEX(RS_Flag,MATCH(B12,RS_Lane,0)),"")="Yes",IF(IFERROR(INDEX(RS_Loc,MATCH(B12,RS_Lane,0)),"")="","Regional stock",IFERROR(INDEX(RS_Loc,MATCH(B12,RS_Lane,0)),"")),"Helmond"))</f>
        <v/>
      </c>
      <c r="V12" s="141" t="n"/>
      <c r="W12" s="142" t="n"/>
      <c r="X12" s="143" t="n"/>
      <c r="Y12" s="116">
        <f>IF(X12&lt;&gt;"",X12,IF(U12="Helmond",IF(COUNTIFS(RC_Lane,B12,RC_Band,E12,RC_CostPS,"&gt;0")=0,"",SUMIFS(RC_CostPS,RC_Lane,B12,RC_Band,E12)*(1-SUMIFS(RC_Disc,RC_Lane,B12,RC_Band,E12))),IF(U12="Other","",IF(INDEX(RS_Rate,MATCH(B12,RS_Lane,0))="","",INDEX(RS_Rate,MATCH(B12,RS_Lane,0))))))</f>
        <v/>
      </c>
    </row>
    <row r="13">
      <c r="A13" s="95" t="inlineStr">
        <is>
          <t>B-009</t>
        </is>
      </c>
      <c r="B13" s="112" t="inlineStr">
        <is>
          <t>L01</t>
        </is>
      </c>
      <c r="C13" s="101" t="inlineStr">
        <is>
          <t>Saudi Arabia</t>
        </is>
      </c>
      <c r="D13" s="101" t="inlineStr">
        <is>
          <t>Riyadh</t>
        </is>
      </c>
      <c r="E13" s="101" t="inlineStr">
        <is>
          <t>B1  0 to 30 kg</t>
        </is>
      </c>
      <c r="F13" s="123" t="n">
        <v>9.4</v>
      </c>
      <c r="G13" s="86">
        <f>F13*0.006477</f>
        <v/>
      </c>
      <c r="H13" s="123">
        <f>F13*1.079436</f>
        <v/>
      </c>
      <c r="I13" s="122">
        <f>MAX(1,ROUNDUP(G13/0.096,0))</f>
        <v/>
      </c>
      <c r="J13" s="84" t="n">
        <v>46400</v>
      </c>
      <c r="K13" s="87">
        <f>J13-WEEKDAY(J13,2)+1</f>
        <v/>
      </c>
      <c r="L13" s="84">
        <f>J13</f>
        <v/>
      </c>
      <c r="M13" s="52">
        <f>INDEX(LR_Target,MATCH(B13,LR_Lane,0))</f>
        <v/>
      </c>
      <c r="N13" s="84">
        <f>WORKDAY.INTL(L13,M13,INDEX(LR_Code,MATCH(B13,LR_Lane,0)),INDEX(DH_Table,0,MATCH(B13&amp;"*",DH_Head,0)))</f>
        <v/>
      </c>
      <c r="O13" s="65">
        <f>IF(W13&lt;&gt;"",W13,IF(U13="Helmond",IF(COUNTIFS(RC_Lane,B13,RC_Band,E13,RC_Transit,"&lt;&gt;")=0,"",SUMIFS(RC_Transit,RC_Lane,B13,RC_Band,E13)),IF(U13="Other","",IF(INDEX(RS_Transit,MATCH(B13,RS_Lane,0))="","",INDEX(RS_Transit,MATCH(B13,RS_Lane,0))))))</f>
        <v/>
      </c>
      <c r="P13" s="140" t="n"/>
      <c r="Q13" s="84">
        <f>IF(P13&lt;&gt;"",P13,IF(O13="","",WORKDAY.INTL(L13,ROUNDUP(O13,0),INDEX(LR_Code,MATCH(B13,LR_Lane,0)),INDEX(DH_Table,0,MATCH(B13&amp;"*",DH_Head,0)))))</f>
        <v/>
      </c>
      <c r="R13" s="100">
        <f>IF(Q13="","",IF(Q13&lt;=N13,"Yes","No"))</f>
        <v/>
      </c>
      <c r="S13" s="52">
        <f>IF(Q13="","",IF(Q13&lt;=N13,0,NETWORKDAYS.INTL(N13,Q13,INDEX(LR_Code,MATCH(B13,LR_Lane,0)),INDEX(DH_Table,0,MATCH(B13&amp;"*",DH_Head,0)))-1))</f>
        <v/>
      </c>
      <c r="T13" s="127" t="n"/>
      <c r="U13" s="112">
        <f>IF(V13&lt;&gt;"",V13,IF(IFERROR(INDEX(RS_Flag,MATCH(B13,RS_Lane,0)),"")="Yes",IF(IFERROR(INDEX(RS_Loc,MATCH(B13,RS_Lane,0)),"")="","Regional stock",IFERROR(INDEX(RS_Loc,MATCH(B13,RS_Lane,0)),"")),"Helmond"))</f>
        <v/>
      </c>
      <c r="V13" s="141" t="n"/>
      <c r="W13" s="142" t="n"/>
      <c r="X13" s="143" t="n"/>
      <c r="Y13" s="116">
        <f>IF(X13&lt;&gt;"",X13,IF(U13="Helmond",IF(COUNTIFS(RC_Lane,B13,RC_Band,E13,RC_CostPS,"&gt;0")=0,"",SUMIFS(RC_CostPS,RC_Lane,B13,RC_Band,E13)*(1-SUMIFS(RC_Disc,RC_Lane,B13,RC_Band,E13))),IF(U13="Other","",IF(INDEX(RS_Rate,MATCH(B13,RS_Lane,0))="","",INDEX(RS_Rate,MATCH(B13,RS_Lane,0))))))</f>
        <v/>
      </c>
    </row>
    <row r="14">
      <c r="A14" s="95" t="inlineStr">
        <is>
          <t>B-010</t>
        </is>
      </c>
      <c r="B14" s="112" t="inlineStr">
        <is>
          <t>L02</t>
        </is>
      </c>
      <c r="C14" s="101" t="inlineStr">
        <is>
          <t>United Arab Emirates</t>
        </is>
      </c>
      <c r="D14" s="101" t="inlineStr">
        <is>
          <t>Dubai</t>
        </is>
      </c>
      <c r="E14" s="101" t="inlineStr">
        <is>
          <t>B1  0 to 30 kg</t>
        </is>
      </c>
      <c r="F14" s="123" t="n">
        <v>3.2</v>
      </c>
      <c r="G14" s="86">
        <f>F14*0.006477</f>
        <v/>
      </c>
      <c r="H14" s="123">
        <f>F14*1.079436</f>
        <v/>
      </c>
      <c r="I14" s="122">
        <f>MAX(1,ROUNDUP(G14/0.096,0))</f>
        <v/>
      </c>
      <c r="J14" s="84" t="n">
        <v>46400</v>
      </c>
      <c r="K14" s="87">
        <f>J14-WEEKDAY(J14,2)+1</f>
        <v/>
      </c>
      <c r="L14" s="84">
        <f>J14</f>
        <v/>
      </c>
      <c r="M14" s="52">
        <f>INDEX(LR_Target,MATCH(B14,LR_Lane,0))</f>
        <v/>
      </c>
      <c r="N14" s="84">
        <f>WORKDAY.INTL(L14,M14,INDEX(LR_Code,MATCH(B14,LR_Lane,0)),INDEX(DH_Table,0,MATCH(B14&amp;"*",DH_Head,0)))</f>
        <v/>
      </c>
      <c r="O14" s="65">
        <f>IF(W14&lt;&gt;"",W14,IF(U14="Helmond",IF(COUNTIFS(RC_Lane,B14,RC_Band,E14,RC_Transit,"&lt;&gt;")=0,"",SUMIFS(RC_Transit,RC_Lane,B14,RC_Band,E14)),IF(U14="Other","",IF(INDEX(RS_Transit,MATCH(B14,RS_Lane,0))="","",INDEX(RS_Transit,MATCH(B14,RS_Lane,0))))))</f>
        <v/>
      </c>
      <c r="P14" s="140" t="n"/>
      <c r="Q14" s="84">
        <f>IF(P14&lt;&gt;"",P14,IF(O14="","",WORKDAY.INTL(L14,ROUNDUP(O14,0),INDEX(LR_Code,MATCH(B14,LR_Lane,0)),INDEX(DH_Table,0,MATCH(B14&amp;"*",DH_Head,0)))))</f>
        <v/>
      </c>
      <c r="R14" s="100">
        <f>IF(Q14="","",IF(Q14&lt;=N14,"Yes","No"))</f>
        <v/>
      </c>
      <c r="S14" s="52">
        <f>IF(Q14="","",IF(Q14&lt;=N14,0,NETWORKDAYS.INTL(N14,Q14,INDEX(LR_Code,MATCH(B14,LR_Lane,0)),INDEX(DH_Table,0,MATCH(B14&amp;"*",DH_Head,0)))-1))</f>
        <v/>
      </c>
      <c r="T14" s="127" t="n"/>
      <c r="U14" s="112">
        <f>IF(V14&lt;&gt;"",V14,IF(IFERROR(INDEX(RS_Flag,MATCH(B14,RS_Lane,0)),"")="Yes",IF(IFERROR(INDEX(RS_Loc,MATCH(B14,RS_Lane,0)),"")="","Regional stock",IFERROR(INDEX(RS_Loc,MATCH(B14,RS_Lane,0)),"")),"Helmond"))</f>
        <v/>
      </c>
      <c r="V14" s="141" t="n"/>
      <c r="W14" s="142" t="n"/>
      <c r="X14" s="143" t="n"/>
      <c r="Y14" s="116">
        <f>IF(X14&lt;&gt;"",X14,IF(U14="Helmond",IF(COUNTIFS(RC_Lane,B14,RC_Band,E14,RC_CostPS,"&gt;0")=0,"",SUMIFS(RC_CostPS,RC_Lane,B14,RC_Band,E14)*(1-SUMIFS(RC_Disc,RC_Lane,B14,RC_Band,E14))),IF(U14="Other","",IF(INDEX(RS_Rate,MATCH(B14,RS_Lane,0))="","",INDEX(RS_Rate,MATCH(B14,RS_Lane,0))))))</f>
        <v/>
      </c>
    </row>
    <row r="15">
      <c r="A15" s="95" t="inlineStr">
        <is>
          <t>B-011</t>
        </is>
      </c>
      <c r="B15" s="112" t="inlineStr">
        <is>
          <t>L04</t>
        </is>
      </c>
      <c r="C15" s="101" t="inlineStr">
        <is>
          <t>Qatar</t>
        </is>
      </c>
      <c r="D15" s="101" t="inlineStr">
        <is>
          <t>Doha</t>
        </is>
      </c>
      <c r="E15" s="101" t="inlineStr">
        <is>
          <t>B2  30 to 100 kg</t>
        </is>
      </c>
      <c r="F15" s="123" t="n">
        <v>68.90000000000001</v>
      </c>
      <c r="G15" s="86">
        <f>F15*0.006477</f>
        <v/>
      </c>
      <c r="H15" s="123">
        <f>F15*1.079436</f>
        <v/>
      </c>
      <c r="I15" s="122">
        <f>MAX(1,ROUNDUP(G15/0.096,0))</f>
        <v/>
      </c>
      <c r="J15" s="84" t="n">
        <v>46400</v>
      </c>
      <c r="K15" s="87">
        <f>J15-WEEKDAY(J15,2)+1</f>
        <v/>
      </c>
      <c r="L15" s="84">
        <f>J15</f>
        <v/>
      </c>
      <c r="M15" s="52">
        <f>INDEX(LR_Target,MATCH(B15,LR_Lane,0))</f>
        <v/>
      </c>
      <c r="N15" s="84">
        <f>WORKDAY.INTL(L15,M15,INDEX(LR_Code,MATCH(B15,LR_Lane,0)),INDEX(DH_Table,0,MATCH(B15&amp;"*",DH_Head,0)))</f>
        <v/>
      </c>
      <c r="O15" s="65">
        <f>IF(W15&lt;&gt;"",W15,IF(U15="Helmond",IF(COUNTIFS(RC_Lane,B15,RC_Band,E15,RC_Transit,"&lt;&gt;")=0,"",SUMIFS(RC_Transit,RC_Lane,B15,RC_Band,E15)),IF(U15="Other","",IF(INDEX(RS_Transit,MATCH(B15,RS_Lane,0))="","",INDEX(RS_Transit,MATCH(B15,RS_Lane,0))))))</f>
        <v/>
      </c>
      <c r="P15" s="140" t="n"/>
      <c r="Q15" s="84">
        <f>IF(P15&lt;&gt;"",P15,IF(O15="","",WORKDAY.INTL(L15,ROUNDUP(O15,0),INDEX(LR_Code,MATCH(B15,LR_Lane,0)),INDEX(DH_Table,0,MATCH(B15&amp;"*",DH_Head,0)))))</f>
        <v/>
      </c>
      <c r="R15" s="100">
        <f>IF(Q15="","",IF(Q15&lt;=N15,"Yes","No"))</f>
        <v/>
      </c>
      <c r="S15" s="52">
        <f>IF(Q15="","",IF(Q15&lt;=N15,0,NETWORKDAYS.INTL(N15,Q15,INDEX(LR_Code,MATCH(B15,LR_Lane,0)),INDEX(DH_Table,0,MATCH(B15&amp;"*",DH_Head,0)))-1))</f>
        <v/>
      </c>
      <c r="T15" s="127" t="n"/>
      <c r="U15" s="112">
        <f>IF(V15&lt;&gt;"",V15,IF(IFERROR(INDEX(RS_Flag,MATCH(B15,RS_Lane,0)),"")="Yes",IF(IFERROR(INDEX(RS_Loc,MATCH(B15,RS_Lane,0)),"")="","Regional stock",IFERROR(INDEX(RS_Loc,MATCH(B15,RS_Lane,0)),"")),"Helmond"))</f>
        <v/>
      </c>
      <c r="V15" s="141" t="n"/>
      <c r="W15" s="142" t="n"/>
      <c r="X15" s="143" t="n"/>
      <c r="Y15" s="116">
        <f>IF(X15&lt;&gt;"",X15,IF(U15="Helmond",IF(COUNTIFS(RC_Lane,B15,RC_Band,E15,RC_CostPS,"&gt;0")=0,"",SUMIFS(RC_CostPS,RC_Lane,B15,RC_Band,E15)*(1-SUMIFS(RC_Disc,RC_Lane,B15,RC_Band,E15))),IF(U15="Other","",IF(INDEX(RS_Rate,MATCH(B15,RS_Lane,0))="","",INDEX(RS_Rate,MATCH(B15,RS_Lane,0))))))</f>
        <v/>
      </c>
    </row>
    <row r="16">
      <c r="A16" s="95" t="inlineStr">
        <is>
          <t>B-012</t>
        </is>
      </c>
      <c r="B16" s="112" t="inlineStr">
        <is>
          <t>L01</t>
        </is>
      </c>
      <c r="C16" s="101" t="inlineStr">
        <is>
          <t>Saudi Arabia</t>
        </is>
      </c>
      <c r="D16" s="101" t="inlineStr">
        <is>
          <t>Riyadh</t>
        </is>
      </c>
      <c r="E16" s="101" t="inlineStr">
        <is>
          <t>B1  0 to 30 kg</t>
        </is>
      </c>
      <c r="F16" s="123" t="n">
        <v>13.8</v>
      </c>
      <c r="G16" s="86">
        <f>F16*0.006477</f>
        <v/>
      </c>
      <c r="H16" s="123">
        <f>F16*1.079436</f>
        <v/>
      </c>
      <c r="I16" s="122">
        <f>MAX(1,ROUNDUP(G16/0.096,0))</f>
        <v/>
      </c>
      <c r="J16" s="84" t="n">
        <v>46401</v>
      </c>
      <c r="K16" s="87">
        <f>J16-WEEKDAY(J16,2)+1</f>
        <v/>
      </c>
      <c r="L16" s="84">
        <f>J16</f>
        <v/>
      </c>
      <c r="M16" s="52">
        <f>INDEX(LR_Target,MATCH(B16,LR_Lane,0))</f>
        <v/>
      </c>
      <c r="N16" s="84">
        <f>WORKDAY.INTL(L16,M16,INDEX(LR_Code,MATCH(B16,LR_Lane,0)),INDEX(DH_Table,0,MATCH(B16&amp;"*",DH_Head,0)))</f>
        <v/>
      </c>
      <c r="O16" s="65">
        <f>IF(W16&lt;&gt;"",W16,IF(U16="Helmond",IF(COUNTIFS(RC_Lane,B16,RC_Band,E16,RC_Transit,"&lt;&gt;")=0,"",SUMIFS(RC_Transit,RC_Lane,B16,RC_Band,E16)),IF(U16="Other","",IF(INDEX(RS_Transit,MATCH(B16,RS_Lane,0))="","",INDEX(RS_Transit,MATCH(B16,RS_Lane,0))))))</f>
        <v/>
      </c>
      <c r="P16" s="140" t="n"/>
      <c r="Q16" s="84">
        <f>IF(P16&lt;&gt;"",P16,IF(O16="","",WORKDAY.INTL(L16,ROUNDUP(O16,0),INDEX(LR_Code,MATCH(B16,LR_Lane,0)),INDEX(DH_Table,0,MATCH(B16&amp;"*",DH_Head,0)))))</f>
        <v/>
      </c>
      <c r="R16" s="100">
        <f>IF(Q16="","",IF(Q16&lt;=N16,"Yes","No"))</f>
        <v/>
      </c>
      <c r="S16" s="52">
        <f>IF(Q16="","",IF(Q16&lt;=N16,0,NETWORKDAYS.INTL(N16,Q16,INDEX(LR_Code,MATCH(B16,LR_Lane,0)),INDEX(DH_Table,0,MATCH(B16&amp;"*",DH_Head,0)))-1))</f>
        <v/>
      </c>
      <c r="T16" s="127" t="n"/>
      <c r="U16" s="112">
        <f>IF(V16&lt;&gt;"",V16,IF(IFERROR(INDEX(RS_Flag,MATCH(B16,RS_Lane,0)),"")="Yes",IF(IFERROR(INDEX(RS_Loc,MATCH(B16,RS_Lane,0)),"")="","Regional stock",IFERROR(INDEX(RS_Loc,MATCH(B16,RS_Lane,0)),"")),"Helmond"))</f>
        <v/>
      </c>
      <c r="V16" s="141" t="n"/>
      <c r="W16" s="142" t="n"/>
      <c r="X16" s="143" t="n"/>
      <c r="Y16" s="116">
        <f>IF(X16&lt;&gt;"",X16,IF(U16="Helmond",IF(COUNTIFS(RC_Lane,B16,RC_Band,E16,RC_CostPS,"&gt;0")=0,"",SUMIFS(RC_CostPS,RC_Lane,B16,RC_Band,E16)*(1-SUMIFS(RC_Disc,RC_Lane,B16,RC_Band,E16))),IF(U16="Other","",IF(INDEX(RS_Rate,MATCH(B16,RS_Lane,0))="","",INDEX(RS_Rate,MATCH(B16,RS_Lane,0))))))</f>
        <v/>
      </c>
    </row>
    <row r="17">
      <c r="A17" s="95" t="inlineStr">
        <is>
          <t>B-013</t>
        </is>
      </c>
      <c r="B17" s="112" t="inlineStr">
        <is>
          <t>L03</t>
        </is>
      </c>
      <c r="C17" s="101" t="inlineStr">
        <is>
          <t>Kuwait</t>
        </is>
      </c>
      <c r="D17" s="101" t="inlineStr">
        <is>
          <t>Kuwait City</t>
        </is>
      </c>
      <c r="E17" s="101" t="inlineStr">
        <is>
          <t>B4  500 to 2,000 kg</t>
        </is>
      </c>
      <c r="F17" s="123" t="n">
        <v>653</v>
      </c>
      <c r="G17" s="86">
        <f>F17*0.006477</f>
        <v/>
      </c>
      <c r="H17" s="123">
        <f>F17*1.079436</f>
        <v/>
      </c>
      <c r="I17" s="122">
        <f>MAX(1,ROUNDUP(G17/0.096,0))</f>
        <v/>
      </c>
      <c r="J17" s="84" t="n">
        <v>46402</v>
      </c>
      <c r="K17" s="87">
        <f>J17-WEEKDAY(J17,2)+1</f>
        <v/>
      </c>
      <c r="L17" s="84">
        <f>J17</f>
        <v/>
      </c>
      <c r="M17" s="52">
        <f>INDEX(LR_Target,MATCH(B17,LR_Lane,0))</f>
        <v/>
      </c>
      <c r="N17" s="84">
        <f>WORKDAY.INTL(L17,M17,INDEX(LR_Code,MATCH(B17,LR_Lane,0)),INDEX(DH_Table,0,MATCH(B17&amp;"*",DH_Head,0)))</f>
        <v/>
      </c>
      <c r="O17" s="65">
        <f>IF(W17&lt;&gt;"",W17,IF(U17="Helmond",IF(COUNTIFS(RC_Lane,B17,RC_Band,E17,RC_Transit,"&lt;&gt;")=0,"",SUMIFS(RC_Transit,RC_Lane,B17,RC_Band,E17)),IF(U17="Other","",IF(INDEX(RS_Transit,MATCH(B17,RS_Lane,0))="","",INDEX(RS_Transit,MATCH(B17,RS_Lane,0))))))</f>
        <v/>
      </c>
      <c r="P17" s="140" t="n"/>
      <c r="Q17" s="84">
        <f>IF(P17&lt;&gt;"",P17,IF(O17="","",WORKDAY.INTL(L17,ROUNDUP(O17,0),INDEX(LR_Code,MATCH(B17,LR_Lane,0)),INDEX(DH_Table,0,MATCH(B17&amp;"*",DH_Head,0)))))</f>
        <v/>
      </c>
      <c r="R17" s="100">
        <f>IF(Q17="","",IF(Q17&lt;=N17,"Yes","No"))</f>
        <v/>
      </c>
      <c r="S17" s="52">
        <f>IF(Q17="","",IF(Q17&lt;=N17,0,NETWORKDAYS.INTL(N17,Q17,INDEX(LR_Code,MATCH(B17,LR_Lane,0)),INDEX(DH_Table,0,MATCH(B17&amp;"*",DH_Head,0)))-1))</f>
        <v/>
      </c>
      <c r="T17" s="127" t="n"/>
      <c r="U17" s="112">
        <f>IF(V17&lt;&gt;"",V17,IF(IFERROR(INDEX(RS_Flag,MATCH(B17,RS_Lane,0)),"")="Yes",IF(IFERROR(INDEX(RS_Loc,MATCH(B17,RS_Lane,0)),"")="","Regional stock",IFERROR(INDEX(RS_Loc,MATCH(B17,RS_Lane,0)),"")),"Helmond"))</f>
        <v/>
      </c>
      <c r="V17" s="141" t="n"/>
      <c r="W17" s="142" t="n"/>
      <c r="X17" s="143" t="n"/>
      <c r="Y17" s="116">
        <f>IF(X17&lt;&gt;"",X17,IF(U17="Helmond",IF(COUNTIFS(RC_Lane,B17,RC_Band,E17,RC_CostPS,"&gt;0")=0,"",SUMIFS(RC_CostPS,RC_Lane,B17,RC_Band,E17)*(1-SUMIFS(RC_Disc,RC_Lane,B17,RC_Band,E17))),IF(U17="Other","",IF(INDEX(RS_Rate,MATCH(B17,RS_Lane,0))="","",INDEX(RS_Rate,MATCH(B17,RS_Lane,0))))))</f>
        <v/>
      </c>
    </row>
    <row r="18">
      <c r="A18" s="95" t="inlineStr">
        <is>
          <t>B-014</t>
        </is>
      </c>
      <c r="B18" s="112" t="inlineStr">
        <is>
          <t>L05</t>
        </is>
      </c>
      <c r="C18" s="101" t="inlineStr">
        <is>
          <t>Türkiye</t>
        </is>
      </c>
      <c r="D18" s="101" t="inlineStr">
        <is>
          <t>Istanbul</t>
        </is>
      </c>
      <c r="E18" s="101" t="inlineStr">
        <is>
          <t>B1  0 to 30 kg</t>
        </is>
      </c>
      <c r="F18" s="123" t="n">
        <v>5.4</v>
      </c>
      <c r="G18" s="86">
        <f>F18*0.006477</f>
        <v/>
      </c>
      <c r="H18" s="123">
        <f>F18*1.079436</f>
        <v/>
      </c>
      <c r="I18" s="122">
        <f>MAX(1,ROUNDUP(G18/0.096,0))</f>
        <v/>
      </c>
      <c r="J18" s="84" t="n">
        <v>46405</v>
      </c>
      <c r="K18" s="87">
        <f>J18-WEEKDAY(J18,2)+1</f>
        <v/>
      </c>
      <c r="L18" s="84">
        <f>J18</f>
        <v/>
      </c>
      <c r="M18" s="52">
        <f>INDEX(LR_Target,MATCH(B18,LR_Lane,0))</f>
        <v/>
      </c>
      <c r="N18" s="84">
        <f>WORKDAY.INTL(L18,M18,INDEX(LR_Code,MATCH(B18,LR_Lane,0)),INDEX(DH_Table,0,MATCH(B18&amp;"*",DH_Head,0)))</f>
        <v/>
      </c>
      <c r="O18" s="65">
        <f>IF(W18&lt;&gt;"",W18,IF(U18="Helmond",IF(COUNTIFS(RC_Lane,B18,RC_Band,E18,RC_Transit,"&lt;&gt;")=0,"",SUMIFS(RC_Transit,RC_Lane,B18,RC_Band,E18)),IF(U18="Other","",IF(INDEX(RS_Transit,MATCH(B18,RS_Lane,0))="","",INDEX(RS_Transit,MATCH(B18,RS_Lane,0))))))</f>
        <v/>
      </c>
      <c r="P18" s="140" t="n"/>
      <c r="Q18" s="84">
        <f>IF(P18&lt;&gt;"",P18,IF(O18="","",WORKDAY.INTL(L18,ROUNDUP(O18,0),INDEX(LR_Code,MATCH(B18,LR_Lane,0)),INDEX(DH_Table,0,MATCH(B18&amp;"*",DH_Head,0)))))</f>
        <v/>
      </c>
      <c r="R18" s="100">
        <f>IF(Q18="","",IF(Q18&lt;=N18,"Yes","No"))</f>
        <v/>
      </c>
      <c r="S18" s="52">
        <f>IF(Q18="","",IF(Q18&lt;=N18,0,NETWORKDAYS.INTL(N18,Q18,INDEX(LR_Code,MATCH(B18,LR_Lane,0)),INDEX(DH_Table,0,MATCH(B18&amp;"*",DH_Head,0)))-1))</f>
        <v/>
      </c>
      <c r="T18" s="127" t="n"/>
      <c r="U18" s="112">
        <f>IF(V18&lt;&gt;"",V18,IF(IFERROR(INDEX(RS_Flag,MATCH(B18,RS_Lane,0)),"")="Yes",IF(IFERROR(INDEX(RS_Loc,MATCH(B18,RS_Lane,0)),"")="","Regional stock",IFERROR(INDEX(RS_Loc,MATCH(B18,RS_Lane,0)),"")),"Helmond"))</f>
        <v/>
      </c>
      <c r="V18" s="141" t="n"/>
      <c r="W18" s="142" t="n"/>
      <c r="X18" s="143" t="n"/>
      <c r="Y18" s="116">
        <f>IF(X18&lt;&gt;"",X18,IF(U18="Helmond",IF(COUNTIFS(RC_Lane,B18,RC_Band,E18,RC_CostPS,"&gt;0")=0,"",SUMIFS(RC_CostPS,RC_Lane,B18,RC_Band,E18)*(1-SUMIFS(RC_Disc,RC_Lane,B18,RC_Band,E18))),IF(U18="Other","",IF(INDEX(RS_Rate,MATCH(B18,RS_Lane,0))="","",INDEX(RS_Rate,MATCH(B18,RS_Lane,0))))))</f>
        <v/>
      </c>
    </row>
    <row r="19">
      <c r="A19" s="95" t="inlineStr">
        <is>
          <t>B-015</t>
        </is>
      </c>
      <c r="B19" s="112" t="inlineStr">
        <is>
          <t>L01</t>
        </is>
      </c>
      <c r="C19" s="101" t="inlineStr">
        <is>
          <t>Saudi Arabia</t>
        </is>
      </c>
      <c r="D19" s="101" t="inlineStr">
        <is>
          <t>Jeddah</t>
        </is>
      </c>
      <c r="E19" s="101" t="inlineStr">
        <is>
          <t>B2  30 to 100 kg</t>
        </is>
      </c>
      <c r="F19" s="123" t="n">
        <v>80.2</v>
      </c>
      <c r="G19" s="86">
        <f>F19*0.006477</f>
        <v/>
      </c>
      <c r="H19" s="123">
        <f>F19*1.079436</f>
        <v/>
      </c>
      <c r="I19" s="122">
        <f>MAX(1,ROUNDUP(G19/0.096,0))</f>
        <v/>
      </c>
      <c r="J19" s="84" t="n">
        <v>46406</v>
      </c>
      <c r="K19" s="87">
        <f>J19-WEEKDAY(J19,2)+1</f>
        <v/>
      </c>
      <c r="L19" s="84">
        <f>J19</f>
        <v/>
      </c>
      <c r="M19" s="52">
        <f>INDEX(LR_Target,MATCH(B19,LR_Lane,0))</f>
        <v/>
      </c>
      <c r="N19" s="84">
        <f>WORKDAY.INTL(L19,M19,INDEX(LR_Code,MATCH(B19,LR_Lane,0)),INDEX(DH_Table,0,MATCH(B19&amp;"*",DH_Head,0)))</f>
        <v/>
      </c>
      <c r="O19" s="65">
        <f>IF(W19&lt;&gt;"",W19,IF(U19="Helmond",IF(COUNTIFS(RC_Lane,B19,RC_Band,E19,RC_Transit,"&lt;&gt;")=0,"",SUMIFS(RC_Transit,RC_Lane,B19,RC_Band,E19)),IF(U19="Other","",IF(INDEX(RS_Transit,MATCH(B19,RS_Lane,0))="","",INDEX(RS_Transit,MATCH(B19,RS_Lane,0))))))</f>
        <v/>
      </c>
      <c r="P19" s="140" t="n"/>
      <c r="Q19" s="84">
        <f>IF(P19&lt;&gt;"",P19,IF(O19="","",WORKDAY.INTL(L19,ROUNDUP(O19,0),INDEX(LR_Code,MATCH(B19,LR_Lane,0)),INDEX(DH_Table,0,MATCH(B19&amp;"*",DH_Head,0)))))</f>
        <v/>
      </c>
      <c r="R19" s="100">
        <f>IF(Q19="","",IF(Q19&lt;=N19,"Yes","No"))</f>
        <v/>
      </c>
      <c r="S19" s="52">
        <f>IF(Q19="","",IF(Q19&lt;=N19,0,NETWORKDAYS.INTL(N19,Q19,INDEX(LR_Code,MATCH(B19,LR_Lane,0)),INDEX(DH_Table,0,MATCH(B19&amp;"*",DH_Head,0)))-1))</f>
        <v/>
      </c>
      <c r="T19" s="127" t="n"/>
      <c r="U19" s="112">
        <f>IF(V19&lt;&gt;"",V19,IF(IFERROR(INDEX(RS_Flag,MATCH(B19,RS_Lane,0)),"")="Yes",IF(IFERROR(INDEX(RS_Loc,MATCH(B19,RS_Lane,0)),"")="","Regional stock",IFERROR(INDEX(RS_Loc,MATCH(B19,RS_Lane,0)),"")),"Helmond"))</f>
        <v/>
      </c>
      <c r="V19" s="141" t="n"/>
      <c r="W19" s="142" t="n"/>
      <c r="X19" s="143" t="n"/>
      <c r="Y19" s="116">
        <f>IF(X19&lt;&gt;"",X19,IF(U19="Helmond",IF(COUNTIFS(RC_Lane,B19,RC_Band,E19,RC_CostPS,"&gt;0")=0,"",SUMIFS(RC_CostPS,RC_Lane,B19,RC_Band,E19)*(1-SUMIFS(RC_Disc,RC_Lane,B19,RC_Band,E19))),IF(U19="Other","",IF(INDEX(RS_Rate,MATCH(B19,RS_Lane,0))="","",INDEX(RS_Rate,MATCH(B19,RS_Lane,0))))))</f>
        <v/>
      </c>
    </row>
    <row r="20">
      <c r="A20" s="95" t="inlineStr">
        <is>
          <t>B-016</t>
        </is>
      </c>
      <c r="B20" s="112" t="inlineStr">
        <is>
          <t>L02</t>
        </is>
      </c>
      <c r="C20" s="101" t="inlineStr">
        <is>
          <t>United Arab Emirates</t>
        </is>
      </c>
      <c r="D20" s="101" t="inlineStr">
        <is>
          <t>Dubai</t>
        </is>
      </c>
      <c r="E20" s="101" t="inlineStr">
        <is>
          <t>B1  0 to 30 kg</t>
        </is>
      </c>
      <c r="F20" s="123" t="n">
        <v>8.1</v>
      </c>
      <c r="G20" s="86">
        <f>F20*0.006477</f>
        <v/>
      </c>
      <c r="H20" s="123">
        <f>F20*1.079436</f>
        <v/>
      </c>
      <c r="I20" s="122">
        <f>MAX(1,ROUNDUP(G20/0.096,0))</f>
        <v/>
      </c>
      <c r="J20" s="84" t="n">
        <v>46406</v>
      </c>
      <c r="K20" s="87">
        <f>J20-WEEKDAY(J20,2)+1</f>
        <v/>
      </c>
      <c r="L20" s="84">
        <f>J20</f>
        <v/>
      </c>
      <c r="M20" s="52">
        <f>INDEX(LR_Target,MATCH(B20,LR_Lane,0))</f>
        <v/>
      </c>
      <c r="N20" s="84">
        <f>WORKDAY.INTL(L20,M20,INDEX(LR_Code,MATCH(B20,LR_Lane,0)),INDEX(DH_Table,0,MATCH(B20&amp;"*",DH_Head,0)))</f>
        <v/>
      </c>
      <c r="O20" s="65">
        <f>IF(W20&lt;&gt;"",W20,IF(U20="Helmond",IF(COUNTIFS(RC_Lane,B20,RC_Band,E20,RC_Transit,"&lt;&gt;")=0,"",SUMIFS(RC_Transit,RC_Lane,B20,RC_Band,E20)),IF(U20="Other","",IF(INDEX(RS_Transit,MATCH(B20,RS_Lane,0))="","",INDEX(RS_Transit,MATCH(B20,RS_Lane,0))))))</f>
        <v/>
      </c>
      <c r="P20" s="140" t="n"/>
      <c r="Q20" s="84">
        <f>IF(P20&lt;&gt;"",P20,IF(O20="","",WORKDAY.INTL(L20,ROUNDUP(O20,0),INDEX(LR_Code,MATCH(B20,LR_Lane,0)),INDEX(DH_Table,0,MATCH(B20&amp;"*",DH_Head,0)))))</f>
        <v/>
      </c>
      <c r="R20" s="100">
        <f>IF(Q20="","",IF(Q20&lt;=N20,"Yes","No"))</f>
        <v/>
      </c>
      <c r="S20" s="52">
        <f>IF(Q20="","",IF(Q20&lt;=N20,0,NETWORKDAYS.INTL(N20,Q20,INDEX(LR_Code,MATCH(B20,LR_Lane,0)),INDEX(DH_Table,0,MATCH(B20&amp;"*",DH_Head,0)))-1))</f>
        <v/>
      </c>
      <c r="T20" s="127" t="n"/>
      <c r="U20" s="112">
        <f>IF(V20&lt;&gt;"",V20,IF(IFERROR(INDEX(RS_Flag,MATCH(B20,RS_Lane,0)),"")="Yes",IF(IFERROR(INDEX(RS_Loc,MATCH(B20,RS_Lane,0)),"")="","Regional stock",IFERROR(INDEX(RS_Loc,MATCH(B20,RS_Lane,0)),"")),"Helmond"))</f>
        <v/>
      </c>
      <c r="V20" s="141" t="n"/>
      <c r="W20" s="142" t="n"/>
      <c r="X20" s="143" t="n"/>
      <c r="Y20" s="116">
        <f>IF(X20&lt;&gt;"",X20,IF(U20="Helmond",IF(COUNTIFS(RC_Lane,B20,RC_Band,E20,RC_CostPS,"&gt;0")=0,"",SUMIFS(RC_CostPS,RC_Lane,B20,RC_Band,E20)*(1-SUMIFS(RC_Disc,RC_Lane,B20,RC_Band,E20))),IF(U20="Other","",IF(INDEX(RS_Rate,MATCH(B20,RS_Lane,0))="","",INDEX(RS_Rate,MATCH(B20,RS_Lane,0))))))</f>
        <v/>
      </c>
    </row>
    <row r="21">
      <c r="A21" s="95" t="inlineStr">
        <is>
          <t>B-017</t>
        </is>
      </c>
      <c r="B21" s="112" t="inlineStr">
        <is>
          <t>L02</t>
        </is>
      </c>
      <c r="C21" s="101" t="inlineStr">
        <is>
          <t>United Arab Emirates</t>
        </is>
      </c>
      <c r="D21" s="101" t="inlineStr">
        <is>
          <t>Dubai</t>
        </is>
      </c>
      <c r="E21" s="101" t="inlineStr">
        <is>
          <t>B3  100 to 500 kg</t>
        </is>
      </c>
      <c r="F21" s="123" t="n">
        <v>316.7</v>
      </c>
      <c r="G21" s="86">
        <f>F21*0.006477</f>
        <v/>
      </c>
      <c r="H21" s="123">
        <f>F21*1.079436</f>
        <v/>
      </c>
      <c r="I21" s="122">
        <f>MAX(1,ROUNDUP(G21/0.096,0))</f>
        <v/>
      </c>
      <c r="J21" s="84" t="n">
        <v>46407</v>
      </c>
      <c r="K21" s="87">
        <f>J21-WEEKDAY(J21,2)+1</f>
        <v/>
      </c>
      <c r="L21" s="84">
        <f>J21</f>
        <v/>
      </c>
      <c r="M21" s="52">
        <f>INDEX(LR_Target,MATCH(B21,LR_Lane,0))</f>
        <v/>
      </c>
      <c r="N21" s="84">
        <f>WORKDAY.INTL(L21,M21,INDEX(LR_Code,MATCH(B21,LR_Lane,0)),INDEX(DH_Table,0,MATCH(B21&amp;"*",DH_Head,0)))</f>
        <v/>
      </c>
      <c r="O21" s="65">
        <f>IF(W21&lt;&gt;"",W21,IF(U21="Helmond",IF(COUNTIFS(RC_Lane,B21,RC_Band,E21,RC_Transit,"&lt;&gt;")=0,"",SUMIFS(RC_Transit,RC_Lane,B21,RC_Band,E21)),IF(U21="Other","",IF(INDEX(RS_Transit,MATCH(B21,RS_Lane,0))="","",INDEX(RS_Transit,MATCH(B21,RS_Lane,0))))))</f>
        <v/>
      </c>
      <c r="P21" s="140" t="n"/>
      <c r="Q21" s="84">
        <f>IF(P21&lt;&gt;"",P21,IF(O21="","",WORKDAY.INTL(L21,ROUNDUP(O21,0),INDEX(LR_Code,MATCH(B21,LR_Lane,0)),INDEX(DH_Table,0,MATCH(B21&amp;"*",DH_Head,0)))))</f>
        <v/>
      </c>
      <c r="R21" s="100">
        <f>IF(Q21="","",IF(Q21&lt;=N21,"Yes","No"))</f>
        <v/>
      </c>
      <c r="S21" s="52">
        <f>IF(Q21="","",IF(Q21&lt;=N21,0,NETWORKDAYS.INTL(N21,Q21,INDEX(LR_Code,MATCH(B21,LR_Lane,0)),INDEX(DH_Table,0,MATCH(B21&amp;"*",DH_Head,0)))-1))</f>
        <v/>
      </c>
      <c r="T21" s="127" t="n"/>
      <c r="U21" s="112">
        <f>IF(V21&lt;&gt;"",V21,IF(IFERROR(INDEX(RS_Flag,MATCH(B21,RS_Lane,0)),"")="Yes",IF(IFERROR(INDEX(RS_Loc,MATCH(B21,RS_Lane,0)),"")="","Regional stock",IFERROR(INDEX(RS_Loc,MATCH(B21,RS_Lane,0)),"")),"Helmond"))</f>
        <v/>
      </c>
      <c r="V21" s="141" t="n"/>
      <c r="W21" s="142" t="n"/>
      <c r="X21" s="143" t="n"/>
      <c r="Y21" s="116">
        <f>IF(X21&lt;&gt;"",X21,IF(U21="Helmond",IF(COUNTIFS(RC_Lane,B21,RC_Band,E21,RC_CostPS,"&gt;0")=0,"",SUMIFS(RC_CostPS,RC_Lane,B21,RC_Band,E21)*(1-SUMIFS(RC_Disc,RC_Lane,B21,RC_Band,E21))),IF(U21="Other","",IF(INDEX(RS_Rate,MATCH(B21,RS_Lane,0))="","",INDEX(RS_Rate,MATCH(B21,RS_Lane,0))))))</f>
        <v/>
      </c>
    </row>
    <row r="22">
      <c r="A22" s="95" t="inlineStr">
        <is>
          <t>B-018</t>
        </is>
      </c>
      <c r="B22" s="112" t="inlineStr">
        <is>
          <t>L06</t>
        </is>
      </c>
      <c r="C22" s="101" t="inlineStr">
        <is>
          <t>Morocco</t>
        </is>
      </c>
      <c r="D22" s="101" t="inlineStr">
        <is>
          <t>Casablanca area</t>
        </is>
      </c>
      <c r="E22" s="101" t="inlineStr">
        <is>
          <t>B3  100 to 500 kg</t>
        </is>
      </c>
      <c r="F22" s="123" t="n">
        <v>299.9</v>
      </c>
      <c r="G22" s="86">
        <f>F22*0.006477</f>
        <v/>
      </c>
      <c r="H22" s="123">
        <f>F22*1.079436</f>
        <v/>
      </c>
      <c r="I22" s="122">
        <f>MAX(1,ROUNDUP(G22/0.096,0))</f>
        <v/>
      </c>
      <c r="J22" s="84" t="n">
        <v>46407</v>
      </c>
      <c r="K22" s="87">
        <f>J22-WEEKDAY(J22,2)+1</f>
        <v/>
      </c>
      <c r="L22" s="84">
        <f>J22</f>
        <v/>
      </c>
      <c r="M22" s="52">
        <f>INDEX(LR_Target,MATCH(B22,LR_Lane,0))</f>
        <v/>
      </c>
      <c r="N22" s="84">
        <f>WORKDAY.INTL(L22,M22,INDEX(LR_Code,MATCH(B22,LR_Lane,0)),INDEX(DH_Table,0,MATCH(B22&amp;"*",DH_Head,0)))</f>
        <v/>
      </c>
      <c r="O22" s="65">
        <f>IF(W22&lt;&gt;"",W22,IF(U22="Helmond",IF(COUNTIFS(RC_Lane,B22,RC_Band,E22,RC_Transit,"&lt;&gt;")=0,"",SUMIFS(RC_Transit,RC_Lane,B22,RC_Band,E22)),IF(U22="Other","",IF(INDEX(RS_Transit,MATCH(B22,RS_Lane,0))="","",INDEX(RS_Transit,MATCH(B22,RS_Lane,0))))))</f>
        <v/>
      </c>
      <c r="P22" s="140" t="n"/>
      <c r="Q22" s="84">
        <f>IF(P22&lt;&gt;"",P22,IF(O22="","",WORKDAY.INTL(L22,ROUNDUP(O22,0),INDEX(LR_Code,MATCH(B22,LR_Lane,0)),INDEX(DH_Table,0,MATCH(B22&amp;"*",DH_Head,0)))))</f>
        <v/>
      </c>
      <c r="R22" s="100">
        <f>IF(Q22="","",IF(Q22&lt;=N22,"Yes","No"))</f>
        <v/>
      </c>
      <c r="S22" s="52">
        <f>IF(Q22="","",IF(Q22&lt;=N22,0,NETWORKDAYS.INTL(N22,Q22,INDEX(LR_Code,MATCH(B22,LR_Lane,0)),INDEX(DH_Table,0,MATCH(B22&amp;"*",DH_Head,0)))-1))</f>
        <v/>
      </c>
      <c r="T22" s="127" t="n"/>
      <c r="U22" s="112">
        <f>IF(V22&lt;&gt;"",V22,IF(IFERROR(INDEX(RS_Flag,MATCH(B22,RS_Lane,0)),"")="Yes",IF(IFERROR(INDEX(RS_Loc,MATCH(B22,RS_Lane,0)),"")="","Regional stock",IFERROR(INDEX(RS_Loc,MATCH(B22,RS_Lane,0)),"")),"Helmond"))</f>
        <v/>
      </c>
      <c r="V22" s="141" t="n"/>
      <c r="W22" s="142" t="n"/>
      <c r="X22" s="143" t="n"/>
      <c r="Y22" s="116">
        <f>IF(X22&lt;&gt;"",X22,IF(U22="Helmond",IF(COUNTIFS(RC_Lane,B22,RC_Band,E22,RC_CostPS,"&gt;0")=0,"",SUMIFS(RC_CostPS,RC_Lane,B22,RC_Band,E22)*(1-SUMIFS(RC_Disc,RC_Lane,B22,RC_Band,E22))),IF(U22="Other","",IF(INDEX(RS_Rate,MATCH(B22,RS_Lane,0))="","",INDEX(RS_Rate,MATCH(B22,RS_Lane,0))))))</f>
        <v/>
      </c>
    </row>
    <row r="23">
      <c r="A23" s="95" t="inlineStr">
        <is>
          <t>B-019</t>
        </is>
      </c>
      <c r="B23" s="112" t="inlineStr">
        <is>
          <t>L07</t>
        </is>
      </c>
      <c r="C23" s="101" t="inlineStr">
        <is>
          <t>Algeria</t>
        </is>
      </c>
      <c r="D23" s="101" t="inlineStr">
        <is>
          <t>Algiers</t>
        </is>
      </c>
      <c r="E23" s="101" t="inlineStr">
        <is>
          <t>B3  100 to 500 kg</t>
        </is>
      </c>
      <c r="F23" s="123" t="n">
        <v>181.2</v>
      </c>
      <c r="G23" s="86">
        <f>F23*0.006477</f>
        <v/>
      </c>
      <c r="H23" s="123">
        <f>F23*1.079436</f>
        <v/>
      </c>
      <c r="I23" s="122">
        <f>MAX(1,ROUNDUP(G23/0.096,0))</f>
        <v/>
      </c>
      <c r="J23" s="84" t="n">
        <v>46407</v>
      </c>
      <c r="K23" s="87">
        <f>J23-WEEKDAY(J23,2)+1</f>
        <v/>
      </c>
      <c r="L23" s="84">
        <f>J23</f>
        <v/>
      </c>
      <c r="M23" s="52">
        <f>INDEX(LR_Target,MATCH(B23,LR_Lane,0))</f>
        <v/>
      </c>
      <c r="N23" s="84">
        <f>WORKDAY.INTL(L23,M23,INDEX(LR_Code,MATCH(B23,LR_Lane,0)),INDEX(DH_Table,0,MATCH(B23&amp;"*",DH_Head,0)))</f>
        <v/>
      </c>
      <c r="O23" s="65">
        <f>IF(W23&lt;&gt;"",W23,IF(U23="Helmond",IF(COUNTIFS(RC_Lane,B23,RC_Band,E23,RC_Transit,"&lt;&gt;")=0,"",SUMIFS(RC_Transit,RC_Lane,B23,RC_Band,E23)),IF(U23="Other","",IF(INDEX(RS_Transit,MATCH(B23,RS_Lane,0))="","",INDEX(RS_Transit,MATCH(B23,RS_Lane,0))))))</f>
        <v/>
      </c>
      <c r="P23" s="140" t="n"/>
      <c r="Q23" s="84">
        <f>IF(P23&lt;&gt;"",P23,IF(O23="","",WORKDAY.INTL(L23,ROUNDUP(O23,0),INDEX(LR_Code,MATCH(B23,LR_Lane,0)),INDEX(DH_Table,0,MATCH(B23&amp;"*",DH_Head,0)))))</f>
        <v/>
      </c>
      <c r="R23" s="100">
        <f>IF(Q23="","",IF(Q23&lt;=N23,"Yes","No"))</f>
        <v/>
      </c>
      <c r="S23" s="52">
        <f>IF(Q23="","",IF(Q23&lt;=N23,0,NETWORKDAYS.INTL(N23,Q23,INDEX(LR_Code,MATCH(B23,LR_Lane,0)),INDEX(DH_Table,0,MATCH(B23&amp;"*",DH_Head,0)))-1))</f>
        <v/>
      </c>
      <c r="T23" s="127" t="n"/>
      <c r="U23" s="112">
        <f>IF(V23&lt;&gt;"",V23,IF(IFERROR(INDEX(RS_Flag,MATCH(B23,RS_Lane,0)),"")="Yes",IF(IFERROR(INDEX(RS_Loc,MATCH(B23,RS_Lane,0)),"")="","Regional stock",IFERROR(INDEX(RS_Loc,MATCH(B23,RS_Lane,0)),"")),"Helmond"))</f>
        <v/>
      </c>
      <c r="V23" s="141" t="n"/>
      <c r="W23" s="142" t="n"/>
      <c r="X23" s="143" t="n"/>
      <c r="Y23" s="116">
        <f>IF(X23&lt;&gt;"",X23,IF(U23="Helmond",IF(COUNTIFS(RC_Lane,B23,RC_Band,E23,RC_CostPS,"&gt;0")=0,"",SUMIFS(RC_CostPS,RC_Lane,B23,RC_Band,E23)*(1-SUMIFS(RC_Disc,RC_Lane,B23,RC_Band,E23))),IF(U23="Other","",IF(INDEX(RS_Rate,MATCH(B23,RS_Lane,0))="","",INDEX(RS_Rate,MATCH(B23,RS_Lane,0))))))</f>
        <v/>
      </c>
    </row>
    <row r="24">
      <c r="A24" s="95" t="inlineStr">
        <is>
          <t>B-020</t>
        </is>
      </c>
      <c r="B24" s="112" t="inlineStr">
        <is>
          <t>L02</t>
        </is>
      </c>
      <c r="C24" s="101" t="inlineStr">
        <is>
          <t>United Arab Emirates</t>
        </is>
      </c>
      <c r="D24" s="101" t="inlineStr">
        <is>
          <t>Dubai</t>
        </is>
      </c>
      <c r="E24" s="101" t="inlineStr">
        <is>
          <t>B1  0 to 30 kg</t>
        </is>
      </c>
      <c r="F24" s="123" t="n">
        <v>10.2</v>
      </c>
      <c r="G24" s="86">
        <f>F24*0.006477</f>
        <v/>
      </c>
      <c r="H24" s="123">
        <f>F24*1.079436</f>
        <v/>
      </c>
      <c r="I24" s="122">
        <f>MAX(1,ROUNDUP(G24/0.096,0))</f>
        <v/>
      </c>
      <c r="J24" s="84" t="n">
        <v>46409</v>
      </c>
      <c r="K24" s="87">
        <f>J24-WEEKDAY(J24,2)+1</f>
        <v/>
      </c>
      <c r="L24" s="84">
        <f>J24</f>
        <v/>
      </c>
      <c r="M24" s="52">
        <f>INDEX(LR_Target,MATCH(B24,LR_Lane,0))</f>
        <v/>
      </c>
      <c r="N24" s="84">
        <f>WORKDAY.INTL(L24,M24,INDEX(LR_Code,MATCH(B24,LR_Lane,0)),INDEX(DH_Table,0,MATCH(B24&amp;"*",DH_Head,0)))</f>
        <v/>
      </c>
      <c r="O24" s="65">
        <f>IF(W24&lt;&gt;"",W24,IF(U24="Helmond",IF(COUNTIFS(RC_Lane,B24,RC_Band,E24,RC_Transit,"&lt;&gt;")=0,"",SUMIFS(RC_Transit,RC_Lane,B24,RC_Band,E24)),IF(U24="Other","",IF(INDEX(RS_Transit,MATCH(B24,RS_Lane,0))="","",INDEX(RS_Transit,MATCH(B24,RS_Lane,0))))))</f>
        <v/>
      </c>
      <c r="P24" s="140" t="n"/>
      <c r="Q24" s="84">
        <f>IF(P24&lt;&gt;"",P24,IF(O24="","",WORKDAY.INTL(L24,ROUNDUP(O24,0),INDEX(LR_Code,MATCH(B24,LR_Lane,0)),INDEX(DH_Table,0,MATCH(B24&amp;"*",DH_Head,0)))))</f>
        <v/>
      </c>
      <c r="R24" s="100">
        <f>IF(Q24="","",IF(Q24&lt;=N24,"Yes","No"))</f>
        <v/>
      </c>
      <c r="S24" s="52">
        <f>IF(Q24="","",IF(Q24&lt;=N24,0,NETWORKDAYS.INTL(N24,Q24,INDEX(LR_Code,MATCH(B24,LR_Lane,0)),INDEX(DH_Table,0,MATCH(B24&amp;"*",DH_Head,0)))-1))</f>
        <v/>
      </c>
      <c r="T24" s="127" t="n"/>
      <c r="U24" s="112">
        <f>IF(V24&lt;&gt;"",V24,IF(IFERROR(INDEX(RS_Flag,MATCH(B24,RS_Lane,0)),"")="Yes",IF(IFERROR(INDEX(RS_Loc,MATCH(B24,RS_Lane,0)),"")="","Regional stock",IFERROR(INDEX(RS_Loc,MATCH(B24,RS_Lane,0)),"")),"Helmond"))</f>
        <v/>
      </c>
      <c r="V24" s="141" t="n"/>
      <c r="W24" s="142" t="n"/>
      <c r="X24" s="143" t="n"/>
      <c r="Y24" s="116">
        <f>IF(X24&lt;&gt;"",X24,IF(U24="Helmond",IF(COUNTIFS(RC_Lane,B24,RC_Band,E24,RC_CostPS,"&gt;0")=0,"",SUMIFS(RC_CostPS,RC_Lane,B24,RC_Band,E24)*(1-SUMIFS(RC_Disc,RC_Lane,B24,RC_Band,E24))),IF(U24="Other","",IF(INDEX(RS_Rate,MATCH(B24,RS_Lane,0))="","",INDEX(RS_Rate,MATCH(B24,RS_Lane,0))))))</f>
        <v/>
      </c>
    </row>
    <row r="25">
      <c r="A25" s="95" t="inlineStr">
        <is>
          <t>B-021</t>
        </is>
      </c>
      <c r="B25" s="112" t="inlineStr">
        <is>
          <t>L01</t>
        </is>
      </c>
      <c r="C25" s="101" t="inlineStr">
        <is>
          <t>Saudi Arabia</t>
        </is>
      </c>
      <c r="D25" s="101" t="inlineStr">
        <is>
          <t>Jeddah</t>
        </is>
      </c>
      <c r="E25" s="101" t="inlineStr">
        <is>
          <t>B5  over 2,000 kg</t>
        </is>
      </c>
      <c r="F25" s="123" t="n">
        <v>2321.9</v>
      </c>
      <c r="G25" s="86">
        <f>F25*0.006477</f>
        <v/>
      </c>
      <c r="H25" s="123">
        <f>F25*1.079436</f>
        <v/>
      </c>
      <c r="I25" s="122">
        <f>MAX(1,ROUNDUP(G25/0.096,0))</f>
        <v/>
      </c>
      <c r="J25" s="84" t="n">
        <v>46412</v>
      </c>
      <c r="K25" s="87">
        <f>J25-WEEKDAY(J25,2)+1</f>
        <v/>
      </c>
      <c r="L25" s="84">
        <f>J25</f>
        <v/>
      </c>
      <c r="M25" s="52">
        <f>INDEX(LR_Target,MATCH(B25,LR_Lane,0))</f>
        <v/>
      </c>
      <c r="N25" s="84">
        <f>WORKDAY.INTL(L25,M25,INDEX(LR_Code,MATCH(B25,LR_Lane,0)),INDEX(DH_Table,0,MATCH(B25&amp;"*",DH_Head,0)))</f>
        <v/>
      </c>
      <c r="O25" s="65">
        <f>IF(W25&lt;&gt;"",W25,IF(U25="Helmond",IF(COUNTIFS(RC_Lane,B25,RC_Band,E25,RC_Transit,"&lt;&gt;")=0,"",SUMIFS(RC_Transit,RC_Lane,B25,RC_Band,E25)),IF(U25="Other","",IF(INDEX(RS_Transit,MATCH(B25,RS_Lane,0))="","",INDEX(RS_Transit,MATCH(B25,RS_Lane,0))))))</f>
        <v/>
      </c>
      <c r="P25" s="140" t="n"/>
      <c r="Q25" s="84">
        <f>IF(P25&lt;&gt;"",P25,IF(O25="","",WORKDAY.INTL(L25,ROUNDUP(O25,0),INDEX(LR_Code,MATCH(B25,LR_Lane,0)),INDEX(DH_Table,0,MATCH(B25&amp;"*",DH_Head,0)))))</f>
        <v/>
      </c>
      <c r="R25" s="100">
        <f>IF(Q25="","",IF(Q25&lt;=N25,"Yes","No"))</f>
        <v/>
      </c>
      <c r="S25" s="52">
        <f>IF(Q25="","",IF(Q25&lt;=N25,0,NETWORKDAYS.INTL(N25,Q25,INDEX(LR_Code,MATCH(B25,LR_Lane,0)),INDEX(DH_Table,0,MATCH(B25&amp;"*",DH_Head,0)))-1))</f>
        <v/>
      </c>
      <c r="T25" s="127" t="n"/>
      <c r="U25" s="112">
        <f>IF(V25&lt;&gt;"",V25,IF(IFERROR(INDEX(RS_Flag,MATCH(B25,RS_Lane,0)),"")="Yes",IF(IFERROR(INDEX(RS_Loc,MATCH(B25,RS_Lane,0)),"")="","Regional stock",IFERROR(INDEX(RS_Loc,MATCH(B25,RS_Lane,0)),"")),"Helmond"))</f>
        <v/>
      </c>
      <c r="V25" s="141" t="n"/>
      <c r="W25" s="142" t="n"/>
      <c r="X25" s="143" t="n"/>
      <c r="Y25" s="116">
        <f>IF(X25&lt;&gt;"",X25,IF(U25="Helmond",IF(COUNTIFS(RC_Lane,B25,RC_Band,E25,RC_CostPS,"&gt;0")=0,"",SUMIFS(RC_CostPS,RC_Lane,B25,RC_Band,E25)*(1-SUMIFS(RC_Disc,RC_Lane,B25,RC_Band,E25))),IF(U25="Other","",IF(INDEX(RS_Rate,MATCH(B25,RS_Lane,0))="","",INDEX(RS_Rate,MATCH(B25,RS_Lane,0))))))</f>
        <v/>
      </c>
    </row>
    <row r="26">
      <c r="A26" s="95" t="inlineStr">
        <is>
          <t>B-022</t>
        </is>
      </c>
      <c r="B26" s="112" t="inlineStr">
        <is>
          <t>L01</t>
        </is>
      </c>
      <c r="C26" s="101" t="inlineStr">
        <is>
          <t>Saudi Arabia</t>
        </is>
      </c>
      <c r="D26" s="101" t="inlineStr">
        <is>
          <t>Jeddah</t>
        </is>
      </c>
      <c r="E26" s="101" t="inlineStr">
        <is>
          <t>B4  500 to 2,000 kg</t>
        </is>
      </c>
      <c r="F26" s="123" t="n">
        <v>1411.2</v>
      </c>
      <c r="G26" s="86">
        <f>F26*0.006477</f>
        <v/>
      </c>
      <c r="H26" s="123">
        <f>F26*1.079436</f>
        <v/>
      </c>
      <c r="I26" s="122">
        <f>MAX(1,ROUNDUP(G26/0.096,0))</f>
        <v/>
      </c>
      <c r="J26" s="84" t="n">
        <v>46412</v>
      </c>
      <c r="K26" s="87">
        <f>J26-WEEKDAY(J26,2)+1</f>
        <v/>
      </c>
      <c r="L26" s="84">
        <f>J26</f>
        <v/>
      </c>
      <c r="M26" s="52">
        <f>INDEX(LR_Target,MATCH(B26,LR_Lane,0))</f>
        <v/>
      </c>
      <c r="N26" s="84">
        <f>WORKDAY.INTL(L26,M26,INDEX(LR_Code,MATCH(B26,LR_Lane,0)),INDEX(DH_Table,0,MATCH(B26&amp;"*",DH_Head,0)))</f>
        <v/>
      </c>
      <c r="O26" s="65">
        <f>IF(W26&lt;&gt;"",W26,IF(U26="Helmond",IF(COUNTIFS(RC_Lane,B26,RC_Band,E26,RC_Transit,"&lt;&gt;")=0,"",SUMIFS(RC_Transit,RC_Lane,B26,RC_Band,E26)),IF(U26="Other","",IF(INDEX(RS_Transit,MATCH(B26,RS_Lane,0))="","",INDEX(RS_Transit,MATCH(B26,RS_Lane,0))))))</f>
        <v/>
      </c>
      <c r="P26" s="140" t="n"/>
      <c r="Q26" s="84">
        <f>IF(P26&lt;&gt;"",P26,IF(O26="","",WORKDAY.INTL(L26,ROUNDUP(O26,0),INDEX(LR_Code,MATCH(B26,LR_Lane,0)),INDEX(DH_Table,0,MATCH(B26&amp;"*",DH_Head,0)))))</f>
        <v/>
      </c>
      <c r="R26" s="100">
        <f>IF(Q26="","",IF(Q26&lt;=N26,"Yes","No"))</f>
        <v/>
      </c>
      <c r="S26" s="52">
        <f>IF(Q26="","",IF(Q26&lt;=N26,0,NETWORKDAYS.INTL(N26,Q26,INDEX(LR_Code,MATCH(B26,LR_Lane,0)),INDEX(DH_Table,0,MATCH(B26&amp;"*",DH_Head,0)))-1))</f>
        <v/>
      </c>
      <c r="T26" s="127" t="n"/>
      <c r="U26" s="112">
        <f>IF(V26&lt;&gt;"",V26,IF(IFERROR(INDEX(RS_Flag,MATCH(B26,RS_Lane,0)),"")="Yes",IF(IFERROR(INDEX(RS_Loc,MATCH(B26,RS_Lane,0)),"")="","Regional stock",IFERROR(INDEX(RS_Loc,MATCH(B26,RS_Lane,0)),"")),"Helmond"))</f>
        <v/>
      </c>
      <c r="V26" s="141" t="n"/>
      <c r="W26" s="142" t="n"/>
      <c r="X26" s="143" t="n"/>
      <c r="Y26" s="116">
        <f>IF(X26&lt;&gt;"",X26,IF(U26="Helmond",IF(COUNTIFS(RC_Lane,B26,RC_Band,E26,RC_CostPS,"&gt;0")=0,"",SUMIFS(RC_CostPS,RC_Lane,B26,RC_Band,E26)*(1-SUMIFS(RC_Disc,RC_Lane,B26,RC_Band,E26))),IF(U26="Other","",IF(INDEX(RS_Rate,MATCH(B26,RS_Lane,0))="","",INDEX(RS_Rate,MATCH(B26,RS_Lane,0))))))</f>
        <v/>
      </c>
    </row>
    <row r="27">
      <c r="A27" s="95" t="inlineStr">
        <is>
          <t>B-023</t>
        </is>
      </c>
      <c r="B27" s="112" t="inlineStr">
        <is>
          <t>L01</t>
        </is>
      </c>
      <c r="C27" s="101" t="inlineStr">
        <is>
          <t>Saudi Arabia</t>
        </is>
      </c>
      <c r="D27" s="101" t="inlineStr">
        <is>
          <t>Jeddah</t>
        </is>
      </c>
      <c r="E27" s="101" t="inlineStr">
        <is>
          <t>B1  0 to 30 kg</t>
        </is>
      </c>
      <c r="F27" s="123" t="n">
        <v>10.8</v>
      </c>
      <c r="G27" s="86">
        <f>F27*0.006477</f>
        <v/>
      </c>
      <c r="H27" s="123">
        <f>F27*1.079436</f>
        <v/>
      </c>
      <c r="I27" s="122">
        <f>MAX(1,ROUNDUP(G27/0.096,0))</f>
        <v/>
      </c>
      <c r="J27" s="84" t="n">
        <v>46414</v>
      </c>
      <c r="K27" s="87">
        <f>J27-WEEKDAY(J27,2)+1</f>
        <v/>
      </c>
      <c r="L27" s="84">
        <f>J27</f>
        <v/>
      </c>
      <c r="M27" s="52">
        <f>INDEX(LR_Target,MATCH(B27,LR_Lane,0))</f>
        <v/>
      </c>
      <c r="N27" s="84">
        <f>WORKDAY.INTL(L27,M27,INDEX(LR_Code,MATCH(B27,LR_Lane,0)),INDEX(DH_Table,0,MATCH(B27&amp;"*",DH_Head,0)))</f>
        <v/>
      </c>
      <c r="O27" s="65">
        <f>IF(W27&lt;&gt;"",W27,IF(U27="Helmond",IF(COUNTIFS(RC_Lane,B27,RC_Band,E27,RC_Transit,"&lt;&gt;")=0,"",SUMIFS(RC_Transit,RC_Lane,B27,RC_Band,E27)),IF(U27="Other","",IF(INDEX(RS_Transit,MATCH(B27,RS_Lane,0))="","",INDEX(RS_Transit,MATCH(B27,RS_Lane,0))))))</f>
        <v/>
      </c>
      <c r="P27" s="140" t="n"/>
      <c r="Q27" s="84">
        <f>IF(P27&lt;&gt;"",P27,IF(O27="","",WORKDAY.INTL(L27,ROUNDUP(O27,0),INDEX(LR_Code,MATCH(B27,LR_Lane,0)),INDEX(DH_Table,0,MATCH(B27&amp;"*",DH_Head,0)))))</f>
        <v/>
      </c>
      <c r="R27" s="100">
        <f>IF(Q27="","",IF(Q27&lt;=N27,"Yes","No"))</f>
        <v/>
      </c>
      <c r="S27" s="52">
        <f>IF(Q27="","",IF(Q27&lt;=N27,0,NETWORKDAYS.INTL(N27,Q27,INDEX(LR_Code,MATCH(B27,LR_Lane,0)),INDEX(DH_Table,0,MATCH(B27&amp;"*",DH_Head,0)))-1))</f>
        <v/>
      </c>
      <c r="T27" s="127" t="n"/>
      <c r="U27" s="112">
        <f>IF(V27&lt;&gt;"",V27,IF(IFERROR(INDEX(RS_Flag,MATCH(B27,RS_Lane,0)),"")="Yes",IF(IFERROR(INDEX(RS_Loc,MATCH(B27,RS_Lane,0)),"")="","Regional stock",IFERROR(INDEX(RS_Loc,MATCH(B27,RS_Lane,0)),"")),"Helmond"))</f>
        <v/>
      </c>
      <c r="V27" s="141" t="n"/>
      <c r="W27" s="142" t="n"/>
      <c r="X27" s="143" t="n"/>
      <c r="Y27" s="116">
        <f>IF(X27&lt;&gt;"",X27,IF(U27="Helmond",IF(COUNTIFS(RC_Lane,B27,RC_Band,E27,RC_CostPS,"&gt;0")=0,"",SUMIFS(RC_CostPS,RC_Lane,B27,RC_Band,E27)*(1-SUMIFS(RC_Disc,RC_Lane,B27,RC_Band,E27))),IF(U27="Other","",IF(INDEX(RS_Rate,MATCH(B27,RS_Lane,0))="","",INDEX(RS_Rate,MATCH(B27,RS_Lane,0))))))</f>
        <v/>
      </c>
    </row>
    <row r="28">
      <c r="A28" s="95" t="inlineStr">
        <is>
          <t>B-024</t>
        </is>
      </c>
      <c r="B28" s="112" t="inlineStr">
        <is>
          <t>L05</t>
        </is>
      </c>
      <c r="C28" s="101" t="inlineStr">
        <is>
          <t>Türkiye</t>
        </is>
      </c>
      <c r="D28" s="101" t="inlineStr">
        <is>
          <t>Istanbul</t>
        </is>
      </c>
      <c r="E28" s="101" t="inlineStr">
        <is>
          <t>B3  100 to 500 kg</t>
        </is>
      </c>
      <c r="F28" s="123" t="n">
        <v>144.1</v>
      </c>
      <c r="G28" s="86">
        <f>F28*0.006477</f>
        <v/>
      </c>
      <c r="H28" s="123">
        <f>F28*1.079436</f>
        <v/>
      </c>
      <c r="I28" s="122">
        <f>MAX(1,ROUNDUP(G28/0.096,0))</f>
        <v/>
      </c>
      <c r="J28" s="84" t="n">
        <v>46414</v>
      </c>
      <c r="K28" s="87">
        <f>J28-WEEKDAY(J28,2)+1</f>
        <v/>
      </c>
      <c r="L28" s="84">
        <f>J28</f>
        <v/>
      </c>
      <c r="M28" s="52">
        <f>INDEX(LR_Target,MATCH(B28,LR_Lane,0))</f>
        <v/>
      </c>
      <c r="N28" s="84">
        <f>WORKDAY.INTL(L28,M28,INDEX(LR_Code,MATCH(B28,LR_Lane,0)),INDEX(DH_Table,0,MATCH(B28&amp;"*",DH_Head,0)))</f>
        <v/>
      </c>
      <c r="O28" s="65">
        <f>IF(W28&lt;&gt;"",W28,IF(U28="Helmond",IF(COUNTIFS(RC_Lane,B28,RC_Band,E28,RC_Transit,"&lt;&gt;")=0,"",SUMIFS(RC_Transit,RC_Lane,B28,RC_Band,E28)),IF(U28="Other","",IF(INDEX(RS_Transit,MATCH(B28,RS_Lane,0))="","",INDEX(RS_Transit,MATCH(B28,RS_Lane,0))))))</f>
        <v/>
      </c>
      <c r="P28" s="140" t="n"/>
      <c r="Q28" s="84">
        <f>IF(P28&lt;&gt;"",P28,IF(O28="","",WORKDAY.INTL(L28,ROUNDUP(O28,0),INDEX(LR_Code,MATCH(B28,LR_Lane,0)),INDEX(DH_Table,0,MATCH(B28&amp;"*",DH_Head,0)))))</f>
        <v/>
      </c>
      <c r="R28" s="100">
        <f>IF(Q28="","",IF(Q28&lt;=N28,"Yes","No"))</f>
        <v/>
      </c>
      <c r="S28" s="52">
        <f>IF(Q28="","",IF(Q28&lt;=N28,0,NETWORKDAYS.INTL(N28,Q28,INDEX(LR_Code,MATCH(B28,LR_Lane,0)),INDEX(DH_Table,0,MATCH(B28&amp;"*",DH_Head,0)))-1))</f>
        <v/>
      </c>
      <c r="T28" s="127" t="n"/>
      <c r="U28" s="112">
        <f>IF(V28&lt;&gt;"",V28,IF(IFERROR(INDEX(RS_Flag,MATCH(B28,RS_Lane,0)),"")="Yes",IF(IFERROR(INDEX(RS_Loc,MATCH(B28,RS_Lane,0)),"")="","Regional stock",IFERROR(INDEX(RS_Loc,MATCH(B28,RS_Lane,0)),"")),"Helmond"))</f>
        <v/>
      </c>
      <c r="V28" s="141" t="n"/>
      <c r="W28" s="142" t="n"/>
      <c r="X28" s="143" t="n"/>
      <c r="Y28" s="116">
        <f>IF(X28&lt;&gt;"",X28,IF(U28="Helmond",IF(COUNTIFS(RC_Lane,B28,RC_Band,E28,RC_CostPS,"&gt;0")=0,"",SUMIFS(RC_CostPS,RC_Lane,B28,RC_Band,E28)*(1-SUMIFS(RC_Disc,RC_Lane,B28,RC_Band,E28))),IF(U28="Other","",IF(INDEX(RS_Rate,MATCH(B28,RS_Lane,0))="","",INDEX(RS_Rate,MATCH(B28,RS_Lane,0))))))</f>
        <v/>
      </c>
    </row>
    <row r="29">
      <c r="A29" s="95" t="inlineStr">
        <is>
          <t>B-025</t>
        </is>
      </c>
      <c r="B29" s="112" t="inlineStr">
        <is>
          <t>L01</t>
        </is>
      </c>
      <c r="C29" s="101" t="inlineStr">
        <is>
          <t>Saudi Arabia</t>
        </is>
      </c>
      <c r="D29" s="101" t="inlineStr">
        <is>
          <t>Jeddah</t>
        </is>
      </c>
      <c r="E29" s="101" t="inlineStr">
        <is>
          <t>B1  0 to 30 kg</t>
        </is>
      </c>
      <c r="F29" s="123" t="n">
        <v>10.9</v>
      </c>
      <c r="G29" s="86">
        <f>F29*0.006477</f>
        <v/>
      </c>
      <c r="H29" s="123">
        <f>F29*1.079436</f>
        <v/>
      </c>
      <c r="I29" s="122">
        <f>MAX(1,ROUNDUP(G29/0.096,0))</f>
        <v/>
      </c>
      <c r="J29" s="84" t="n">
        <v>46415</v>
      </c>
      <c r="K29" s="87">
        <f>J29-WEEKDAY(J29,2)+1</f>
        <v/>
      </c>
      <c r="L29" s="84">
        <f>J29</f>
        <v/>
      </c>
      <c r="M29" s="52">
        <f>INDEX(LR_Target,MATCH(B29,LR_Lane,0))</f>
        <v/>
      </c>
      <c r="N29" s="84">
        <f>WORKDAY.INTL(L29,M29,INDEX(LR_Code,MATCH(B29,LR_Lane,0)),INDEX(DH_Table,0,MATCH(B29&amp;"*",DH_Head,0)))</f>
        <v/>
      </c>
      <c r="O29" s="65">
        <f>IF(W29&lt;&gt;"",W29,IF(U29="Helmond",IF(COUNTIFS(RC_Lane,B29,RC_Band,E29,RC_Transit,"&lt;&gt;")=0,"",SUMIFS(RC_Transit,RC_Lane,B29,RC_Band,E29)),IF(U29="Other","",IF(INDEX(RS_Transit,MATCH(B29,RS_Lane,0))="","",INDEX(RS_Transit,MATCH(B29,RS_Lane,0))))))</f>
        <v/>
      </c>
      <c r="P29" s="140" t="n"/>
      <c r="Q29" s="84">
        <f>IF(P29&lt;&gt;"",P29,IF(O29="","",WORKDAY.INTL(L29,ROUNDUP(O29,0),INDEX(LR_Code,MATCH(B29,LR_Lane,0)),INDEX(DH_Table,0,MATCH(B29&amp;"*",DH_Head,0)))))</f>
        <v/>
      </c>
      <c r="R29" s="100">
        <f>IF(Q29="","",IF(Q29&lt;=N29,"Yes","No"))</f>
        <v/>
      </c>
      <c r="S29" s="52">
        <f>IF(Q29="","",IF(Q29&lt;=N29,0,NETWORKDAYS.INTL(N29,Q29,INDEX(LR_Code,MATCH(B29,LR_Lane,0)),INDEX(DH_Table,0,MATCH(B29&amp;"*",DH_Head,0)))-1))</f>
        <v/>
      </c>
      <c r="T29" s="127" t="n"/>
      <c r="U29" s="112">
        <f>IF(V29&lt;&gt;"",V29,IF(IFERROR(INDEX(RS_Flag,MATCH(B29,RS_Lane,0)),"")="Yes",IF(IFERROR(INDEX(RS_Loc,MATCH(B29,RS_Lane,0)),"")="","Regional stock",IFERROR(INDEX(RS_Loc,MATCH(B29,RS_Lane,0)),"")),"Helmond"))</f>
        <v/>
      </c>
      <c r="V29" s="141" t="n"/>
      <c r="W29" s="142" t="n"/>
      <c r="X29" s="143" t="n"/>
      <c r="Y29" s="116">
        <f>IF(X29&lt;&gt;"",X29,IF(U29="Helmond",IF(COUNTIFS(RC_Lane,B29,RC_Band,E29,RC_CostPS,"&gt;0")=0,"",SUMIFS(RC_CostPS,RC_Lane,B29,RC_Band,E29)*(1-SUMIFS(RC_Disc,RC_Lane,B29,RC_Band,E29))),IF(U29="Other","",IF(INDEX(RS_Rate,MATCH(B29,RS_Lane,0))="","",INDEX(RS_Rate,MATCH(B29,RS_Lane,0))))))</f>
        <v/>
      </c>
    </row>
    <row r="30">
      <c r="A30" s="95" t="inlineStr">
        <is>
          <t>B-026</t>
        </is>
      </c>
      <c r="B30" s="112" t="inlineStr">
        <is>
          <t>L08</t>
        </is>
      </c>
      <c r="C30" s="101" t="inlineStr">
        <is>
          <t>Egypt</t>
        </is>
      </c>
      <c r="D30" s="101" t="inlineStr">
        <is>
          <t>Cairo area</t>
        </is>
      </c>
      <c r="E30" s="101" t="inlineStr">
        <is>
          <t>B1  0 to 30 kg</t>
        </is>
      </c>
      <c r="F30" s="123" t="n">
        <v>17.6</v>
      </c>
      <c r="G30" s="86">
        <f>F30*0.006477</f>
        <v/>
      </c>
      <c r="H30" s="123">
        <f>F30*1.079436</f>
        <v/>
      </c>
      <c r="I30" s="122">
        <f>MAX(1,ROUNDUP(G30/0.096,0))</f>
        <v/>
      </c>
      <c r="J30" s="84" t="n">
        <v>46415</v>
      </c>
      <c r="K30" s="87">
        <f>J30-WEEKDAY(J30,2)+1</f>
        <v/>
      </c>
      <c r="L30" s="84">
        <f>J30</f>
        <v/>
      </c>
      <c r="M30" s="52">
        <f>INDEX(LR_Target,MATCH(B30,LR_Lane,0))</f>
        <v/>
      </c>
      <c r="N30" s="84">
        <f>WORKDAY.INTL(L30,M30,INDEX(LR_Code,MATCH(B30,LR_Lane,0)),INDEX(DH_Table,0,MATCH(B30&amp;"*",DH_Head,0)))</f>
        <v/>
      </c>
      <c r="O30" s="65">
        <f>IF(W30&lt;&gt;"",W30,IF(U30="Helmond",IF(COUNTIFS(RC_Lane,B30,RC_Band,E30,RC_Transit,"&lt;&gt;")=0,"",SUMIFS(RC_Transit,RC_Lane,B30,RC_Band,E30)),IF(U30="Other","",IF(INDEX(RS_Transit,MATCH(B30,RS_Lane,0))="","",INDEX(RS_Transit,MATCH(B30,RS_Lane,0))))))</f>
        <v/>
      </c>
      <c r="P30" s="140" t="n"/>
      <c r="Q30" s="84">
        <f>IF(P30&lt;&gt;"",P30,IF(O30="","",WORKDAY.INTL(L30,ROUNDUP(O30,0),INDEX(LR_Code,MATCH(B30,LR_Lane,0)),INDEX(DH_Table,0,MATCH(B30&amp;"*",DH_Head,0)))))</f>
        <v/>
      </c>
      <c r="R30" s="100">
        <f>IF(Q30="","",IF(Q30&lt;=N30,"Yes","No"))</f>
        <v/>
      </c>
      <c r="S30" s="52">
        <f>IF(Q30="","",IF(Q30&lt;=N30,0,NETWORKDAYS.INTL(N30,Q30,INDEX(LR_Code,MATCH(B30,LR_Lane,0)),INDEX(DH_Table,0,MATCH(B30&amp;"*",DH_Head,0)))-1))</f>
        <v/>
      </c>
      <c r="T30" s="127" t="n"/>
      <c r="U30" s="112">
        <f>IF(V30&lt;&gt;"",V30,IF(IFERROR(INDEX(RS_Flag,MATCH(B30,RS_Lane,0)),"")="Yes",IF(IFERROR(INDEX(RS_Loc,MATCH(B30,RS_Lane,0)),"")="","Regional stock",IFERROR(INDEX(RS_Loc,MATCH(B30,RS_Lane,0)),"")),"Helmond"))</f>
        <v/>
      </c>
      <c r="V30" s="141" t="n"/>
      <c r="W30" s="142" t="n"/>
      <c r="X30" s="143" t="n"/>
      <c r="Y30" s="116">
        <f>IF(X30&lt;&gt;"",X30,IF(U30="Helmond",IF(COUNTIFS(RC_Lane,B30,RC_Band,E30,RC_CostPS,"&gt;0")=0,"",SUMIFS(RC_CostPS,RC_Lane,B30,RC_Band,E30)*(1-SUMIFS(RC_Disc,RC_Lane,B30,RC_Band,E30))),IF(U30="Other","",IF(INDEX(RS_Rate,MATCH(B30,RS_Lane,0))="","",INDEX(RS_Rate,MATCH(B30,RS_Lane,0))))))</f>
        <v/>
      </c>
    </row>
    <row r="31">
      <c r="A31" s="95" t="inlineStr">
        <is>
          <t>B-027</t>
        </is>
      </c>
      <c r="B31" s="112" t="inlineStr">
        <is>
          <t>L01</t>
        </is>
      </c>
      <c r="C31" s="101" t="inlineStr">
        <is>
          <t>Saudi Arabia</t>
        </is>
      </c>
      <c r="D31" s="101" t="inlineStr">
        <is>
          <t>Jeddah</t>
        </is>
      </c>
      <c r="E31" s="101" t="inlineStr">
        <is>
          <t>B1  0 to 30 kg</t>
        </is>
      </c>
      <c r="F31" s="123" t="n">
        <v>11.2</v>
      </c>
      <c r="G31" s="86">
        <f>F31*0.006477</f>
        <v/>
      </c>
      <c r="H31" s="123">
        <f>F31*1.079436</f>
        <v/>
      </c>
      <c r="I31" s="122">
        <f>MAX(1,ROUNDUP(G31/0.096,0))</f>
        <v/>
      </c>
      <c r="J31" s="84" t="n">
        <v>46416</v>
      </c>
      <c r="K31" s="87">
        <f>J31-WEEKDAY(J31,2)+1</f>
        <v/>
      </c>
      <c r="L31" s="84">
        <f>J31</f>
        <v/>
      </c>
      <c r="M31" s="52">
        <f>INDEX(LR_Target,MATCH(B31,LR_Lane,0))</f>
        <v/>
      </c>
      <c r="N31" s="84">
        <f>WORKDAY.INTL(L31,M31,INDEX(LR_Code,MATCH(B31,LR_Lane,0)),INDEX(DH_Table,0,MATCH(B31&amp;"*",DH_Head,0)))</f>
        <v/>
      </c>
      <c r="O31" s="65">
        <f>IF(W31&lt;&gt;"",W31,IF(U31="Helmond",IF(COUNTIFS(RC_Lane,B31,RC_Band,E31,RC_Transit,"&lt;&gt;")=0,"",SUMIFS(RC_Transit,RC_Lane,B31,RC_Band,E31)),IF(U31="Other","",IF(INDEX(RS_Transit,MATCH(B31,RS_Lane,0))="","",INDEX(RS_Transit,MATCH(B31,RS_Lane,0))))))</f>
        <v/>
      </c>
      <c r="P31" s="140" t="n"/>
      <c r="Q31" s="84">
        <f>IF(P31&lt;&gt;"",P31,IF(O31="","",WORKDAY.INTL(L31,ROUNDUP(O31,0),INDEX(LR_Code,MATCH(B31,LR_Lane,0)),INDEX(DH_Table,0,MATCH(B31&amp;"*",DH_Head,0)))))</f>
        <v/>
      </c>
      <c r="R31" s="100">
        <f>IF(Q31="","",IF(Q31&lt;=N31,"Yes","No"))</f>
        <v/>
      </c>
      <c r="S31" s="52">
        <f>IF(Q31="","",IF(Q31&lt;=N31,0,NETWORKDAYS.INTL(N31,Q31,INDEX(LR_Code,MATCH(B31,LR_Lane,0)),INDEX(DH_Table,0,MATCH(B31&amp;"*",DH_Head,0)))-1))</f>
        <v/>
      </c>
      <c r="T31" s="127" t="n"/>
      <c r="U31" s="112">
        <f>IF(V31&lt;&gt;"",V31,IF(IFERROR(INDEX(RS_Flag,MATCH(B31,RS_Lane,0)),"")="Yes",IF(IFERROR(INDEX(RS_Loc,MATCH(B31,RS_Lane,0)),"")="","Regional stock",IFERROR(INDEX(RS_Loc,MATCH(B31,RS_Lane,0)),"")),"Helmond"))</f>
        <v/>
      </c>
      <c r="V31" s="141" t="n"/>
      <c r="W31" s="142" t="n"/>
      <c r="X31" s="143" t="n"/>
      <c r="Y31" s="116">
        <f>IF(X31&lt;&gt;"",X31,IF(U31="Helmond",IF(COUNTIFS(RC_Lane,B31,RC_Band,E31,RC_CostPS,"&gt;0")=0,"",SUMIFS(RC_CostPS,RC_Lane,B31,RC_Band,E31)*(1-SUMIFS(RC_Disc,RC_Lane,B31,RC_Band,E31))),IF(U31="Other","",IF(INDEX(RS_Rate,MATCH(B31,RS_Lane,0))="","",INDEX(RS_Rate,MATCH(B31,RS_Lane,0))))))</f>
        <v/>
      </c>
    </row>
    <row r="32">
      <c r="A32" s="95" t="inlineStr">
        <is>
          <t>B-028</t>
        </is>
      </c>
      <c r="B32" s="112" t="inlineStr">
        <is>
          <t>L03</t>
        </is>
      </c>
      <c r="C32" s="101" t="inlineStr">
        <is>
          <t>Kuwait</t>
        </is>
      </c>
      <c r="D32" s="101" t="inlineStr">
        <is>
          <t>Kuwait City</t>
        </is>
      </c>
      <c r="E32" s="101" t="inlineStr">
        <is>
          <t>B3  100 to 500 kg</t>
        </is>
      </c>
      <c r="F32" s="123" t="n">
        <v>164.6</v>
      </c>
      <c r="G32" s="86">
        <f>F32*0.006477</f>
        <v/>
      </c>
      <c r="H32" s="123">
        <f>F32*1.079436</f>
        <v/>
      </c>
      <c r="I32" s="122">
        <f>MAX(1,ROUNDUP(G32/0.096,0))</f>
        <v/>
      </c>
      <c r="J32" s="84" t="n">
        <v>46416</v>
      </c>
      <c r="K32" s="87">
        <f>J32-WEEKDAY(J32,2)+1</f>
        <v/>
      </c>
      <c r="L32" s="84">
        <f>J32</f>
        <v/>
      </c>
      <c r="M32" s="52">
        <f>INDEX(LR_Target,MATCH(B32,LR_Lane,0))</f>
        <v/>
      </c>
      <c r="N32" s="84">
        <f>WORKDAY.INTL(L32,M32,INDEX(LR_Code,MATCH(B32,LR_Lane,0)),INDEX(DH_Table,0,MATCH(B32&amp;"*",DH_Head,0)))</f>
        <v/>
      </c>
      <c r="O32" s="65">
        <f>IF(W32&lt;&gt;"",W32,IF(U32="Helmond",IF(COUNTIFS(RC_Lane,B32,RC_Band,E32,RC_Transit,"&lt;&gt;")=0,"",SUMIFS(RC_Transit,RC_Lane,B32,RC_Band,E32)),IF(U32="Other","",IF(INDEX(RS_Transit,MATCH(B32,RS_Lane,0))="","",INDEX(RS_Transit,MATCH(B32,RS_Lane,0))))))</f>
        <v/>
      </c>
      <c r="P32" s="140" t="n"/>
      <c r="Q32" s="84">
        <f>IF(P32&lt;&gt;"",P32,IF(O32="","",WORKDAY.INTL(L32,ROUNDUP(O32,0),INDEX(LR_Code,MATCH(B32,LR_Lane,0)),INDEX(DH_Table,0,MATCH(B32&amp;"*",DH_Head,0)))))</f>
        <v/>
      </c>
      <c r="R32" s="100">
        <f>IF(Q32="","",IF(Q32&lt;=N32,"Yes","No"))</f>
        <v/>
      </c>
      <c r="S32" s="52">
        <f>IF(Q32="","",IF(Q32&lt;=N32,0,NETWORKDAYS.INTL(N32,Q32,INDEX(LR_Code,MATCH(B32,LR_Lane,0)),INDEX(DH_Table,0,MATCH(B32&amp;"*",DH_Head,0)))-1))</f>
        <v/>
      </c>
      <c r="T32" s="127" t="n"/>
      <c r="U32" s="112">
        <f>IF(V32&lt;&gt;"",V32,IF(IFERROR(INDEX(RS_Flag,MATCH(B32,RS_Lane,0)),"")="Yes",IF(IFERROR(INDEX(RS_Loc,MATCH(B32,RS_Lane,0)),"")="","Regional stock",IFERROR(INDEX(RS_Loc,MATCH(B32,RS_Lane,0)),"")),"Helmond"))</f>
        <v/>
      </c>
      <c r="V32" s="141" t="n"/>
      <c r="W32" s="142" t="n"/>
      <c r="X32" s="143" t="n"/>
      <c r="Y32" s="116">
        <f>IF(X32&lt;&gt;"",X32,IF(U32="Helmond",IF(COUNTIFS(RC_Lane,B32,RC_Band,E32,RC_CostPS,"&gt;0")=0,"",SUMIFS(RC_CostPS,RC_Lane,B32,RC_Band,E32)*(1-SUMIFS(RC_Disc,RC_Lane,B32,RC_Band,E32))),IF(U32="Other","",IF(INDEX(RS_Rate,MATCH(B32,RS_Lane,0))="","",INDEX(RS_Rate,MATCH(B32,RS_Lane,0))))))</f>
        <v/>
      </c>
    </row>
    <row r="33">
      <c r="A33" s="95" t="inlineStr">
        <is>
          <t>B-029</t>
        </is>
      </c>
      <c r="B33" s="112" t="inlineStr">
        <is>
          <t>L09</t>
        </is>
      </c>
      <c r="C33" s="101" t="inlineStr">
        <is>
          <t>Tunisia</t>
        </is>
      </c>
      <c r="D33" s="101" t="inlineStr">
        <is>
          <t>Sousse</t>
        </is>
      </c>
      <c r="E33" s="101" t="inlineStr">
        <is>
          <t>B1  0 to 30 kg</t>
        </is>
      </c>
      <c r="F33" s="123" t="n">
        <v>6</v>
      </c>
      <c r="G33" s="86">
        <f>F33*0.006477</f>
        <v/>
      </c>
      <c r="H33" s="123">
        <f>F33*1.079436</f>
        <v/>
      </c>
      <c r="I33" s="122">
        <f>MAX(1,ROUNDUP(G33/0.096,0))</f>
        <v/>
      </c>
      <c r="J33" s="84" t="n">
        <v>46416</v>
      </c>
      <c r="K33" s="87">
        <f>J33-WEEKDAY(J33,2)+1</f>
        <v/>
      </c>
      <c r="L33" s="84">
        <f>J33</f>
        <v/>
      </c>
      <c r="M33" s="52">
        <f>INDEX(LR_Target,MATCH(B33,LR_Lane,0))</f>
        <v/>
      </c>
      <c r="N33" s="84">
        <f>WORKDAY.INTL(L33,M33,INDEX(LR_Code,MATCH(B33,LR_Lane,0)),INDEX(DH_Table,0,MATCH(B33&amp;"*",DH_Head,0)))</f>
        <v/>
      </c>
      <c r="O33" s="65">
        <f>IF(W33&lt;&gt;"",W33,IF(U33="Helmond",IF(COUNTIFS(RC_Lane,B33,RC_Band,E33,RC_Transit,"&lt;&gt;")=0,"",SUMIFS(RC_Transit,RC_Lane,B33,RC_Band,E33)),IF(U33="Other","",IF(INDEX(RS_Transit,MATCH(B33,RS_Lane,0))="","",INDEX(RS_Transit,MATCH(B33,RS_Lane,0))))))</f>
        <v/>
      </c>
      <c r="P33" s="140" t="n"/>
      <c r="Q33" s="84">
        <f>IF(P33&lt;&gt;"",P33,IF(O33="","",WORKDAY.INTL(L33,ROUNDUP(O33,0),INDEX(LR_Code,MATCH(B33,LR_Lane,0)),INDEX(DH_Table,0,MATCH(B33&amp;"*",DH_Head,0)))))</f>
        <v/>
      </c>
      <c r="R33" s="100">
        <f>IF(Q33="","",IF(Q33&lt;=N33,"Yes","No"))</f>
        <v/>
      </c>
      <c r="S33" s="52">
        <f>IF(Q33="","",IF(Q33&lt;=N33,0,NETWORKDAYS.INTL(N33,Q33,INDEX(LR_Code,MATCH(B33,LR_Lane,0)),INDEX(DH_Table,0,MATCH(B33&amp;"*",DH_Head,0)))-1))</f>
        <v/>
      </c>
      <c r="T33" s="127" t="n"/>
      <c r="U33" s="112">
        <f>IF(V33&lt;&gt;"",V33,IF(IFERROR(INDEX(RS_Flag,MATCH(B33,RS_Lane,0)),"")="Yes",IF(IFERROR(INDEX(RS_Loc,MATCH(B33,RS_Lane,0)),"")="","Regional stock",IFERROR(INDEX(RS_Loc,MATCH(B33,RS_Lane,0)),"")),"Helmond"))</f>
        <v/>
      </c>
      <c r="V33" s="141" t="n"/>
      <c r="W33" s="142" t="n"/>
      <c r="X33" s="143" t="n"/>
      <c r="Y33" s="116">
        <f>IF(X33&lt;&gt;"",X33,IF(U33="Helmond",IF(COUNTIFS(RC_Lane,B33,RC_Band,E33,RC_CostPS,"&gt;0")=0,"",SUMIFS(RC_CostPS,RC_Lane,B33,RC_Band,E33)*(1-SUMIFS(RC_Disc,RC_Lane,B33,RC_Band,E33))),IF(U33="Other","",IF(INDEX(RS_Rate,MATCH(B33,RS_Lane,0))="","",INDEX(RS_Rate,MATCH(B33,RS_Lane,0))))))</f>
        <v/>
      </c>
    </row>
    <row r="34">
      <c r="A34" s="95" t="inlineStr">
        <is>
          <t>B-030</t>
        </is>
      </c>
      <c r="B34" s="112" t="inlineStr">
        <is>
          <t>L02</t>
        </is>
      </c>
      <c r="C34" s="101" t="inlineStr">
        <is>
          <t>United Arab Emirates</t>
        </is>
      </c>
      <c r="D34" s="101" t="inlineStr">
        <is>
          <t>Dubai</t>
        </is>
      </c>
      <c r="E34" s="101" t="inlineStr">
        <is>
          <t>B1  0 to 30 kg</t>
        </is>
      </c>
      <c r="F34" s="123" t="n">
        <v>12.8</v>
      </c>
      <c r="G34" s="86">
        <f>F34*0.006477</f>
        <v/>
      </c>
      <c r="H34" s="123">
        <f>F34*1.079436</f>
        <v/>
      </c>
      <c r="I34" s="122">
        <f>MAX(1,ROUNDUP(G34/0.096,0))</f>
        <v/>
      </c>
      <c r="J34" s="84" t="n">
        <v>46419</v>
      </c>
      <c r="K34" s="87">
        <f>J34-WEEKDAY(J34,2)+1</f>
        <v/>
      </c>
      <c r="L34" s="84">
        <f>J34</f>
        <v/>
      </c>
      <c r="M34" s="52">
        <f>INDEX(LR_Target,MATCH(B34,LR_Lane,0))</f>
        <v/>
      </c>
      <c r="N34" s="84">
        <f>WORKDAY.INTL(L34,M34,INDEX(LR_Code,MATCH(B34,LR_Lane,0)),INDEX(DH_Table,0,MATCH(B34&amp;"*",DH_Head,0)))</f>
        <v/>
      </c>
      <c r="O34" s="65">
        <f>IF(W34&lt;&gt;"",W34,IF(U34="Helmond",IF(COUNTIFS(RC_Lane,B34,RC_Band,E34,RC_Transit,"&lt;&gt;")=0,"",SUMIFS(RC_Transit,RC_Lane,B34,RC_Band,E34)),IF(U34="Other","",IF(INDEX(RS_Transit,MATCH(B34,RS_Lane,0))="","",INDEX(RS_Transit,MATCH(B34,RS_Lane,0))))))</f>
        <v/>
      </c>
      <c r="P34" s="140" t="n"/>
      <c r="Q34" s="84">
        <f>IF(P34&lt;&gt;"",P34,IF(O34="","",WORKDAY.INTL(L34,ROUNDUP(O34,0),INDEX(LR_Code,MATCH(B34,LR_Lane,0)),INDEX(DH_Table,0,MATCH(B34&amp;"*",DH_Head,0)))))</f>
        <v/>
      </c>
      <c r="R34" s="100">
        <f>IF(Q34="","",IF(Q34&lt;=N34,"Yes","No"))</f>
        <v/>
      </c>
      <c r="S34" s="52">
        <f>IF(Q34="","",IF(Q34&lt;=N34,0,NETWORKDAYS.INTL(N34,Q34,INDEX(LR_Code,MATCH(B34,LR_Lane,0)),INDEX(DH_Table,0,MATCH(B34&amp;"*",DH_Head,0)))-1))</f>
        <v/>
      </c>
      <c r="T34" s="127" t="n"/>
      <c r="U34" s="112">
        <f>IF(V34&lt;&gt;"",V34,IF(IFERROR(INDEX(RS_Flag,MATCH(B34,RS_Lane,0)),"")="Yes",IF(IFERROR(INDEX(RS_Loc,MATCH(B34,RS_Lane,0)),"")="","Regional stock",IFERROR(INDEX(RS_Loc,MATCH(B34,RS_Lane,0)),"")),"Helmond"))</f>
        <v/>
      </c>
      <c r="V34" s="141" t="n"/>
      <c r="W34" s="142" t="n"/>
      <c r="X34" s="143" t="n"/>
      <c r="Y34" s="116">
        <f>IF(X34&lt;&gt;"",X34,IF(U34="Helmond",IF(COUNTIFS(RC_Lane,B34,RC_Band,E34,RC_CostPS,"&gt;0")=0,"",SUMIFS(RC_CostPS,RC_Lane,B34,RC_Band,E34)*(1-SUMIFS(RC_Disc,RC_Lane,B34,RC_Band,E34))),IF(U34="Other","",IF(INDEX(RS_Rate,MATCH(B34,RS_Lane,0))="","",INDEX(RS_Rate,MATCH(B34,RS_Lane,0))))))</f>
        <v/>
      </c>
    </row>
    <row r="35">
      <c r="A35" s="95" t="inlineStr">
        <is>
          <t>B-031</t>
        </is>
      </c>
      <c r="B35" s="112" t="inlineStr">
        <is>
          <t>L02</t>
        </is>
      </c>
      <c r="C35" s="101" t="inlineStr">
        <is>
          <t>United Arab Emirates</t>
        </is>
      </c>
      <c r="D35" s="101" t="inlineStr">
        <is>
          <t>Dubai</t>
        </is>
      </c>
      <c r="E35" s="101" t="inlineStr">
        <is>
          <t>B3  100 to 500 kg</t>
        </is>
      </c>
      <c r="F35" s="123" t="n">
        <v>258.6</v>
      </c>
      <c r="G35" s="86">
        <f>F35*0.006477</f>
        <v/>
      </c>
      <c r="H35" s="123">
        <f>F35*1.079436</f>
        <v/>
      </c>
      <c r="I35" s="122">
        <f>MAX(1,ROUNDUP(G35/0.096,0))</f>
        <v/>
      </c>
      <c r="J35" s="84" t="n">
        <v>46419</v>
      </c>
      <c r="K35" s="87">
        <f>J35-WEEKDAY(J35,2)+1</f>
        <v/>
      </c>
      <c r="L35" s="84">
        <f>J35</f>
        <v/>
      </c>
      <c r="M35" s="52">
        <f>INDEX(LR_Target,MATCH(B35,LR_Lane,0))</f>
        <v/>
      </c>
      <c r="N35" s="84">
        <f>WORKDAY.INTL(L35,M35,INDEX(LR_Code,MATCH(B35,LR_Lane,0)),INDEX(DH_Table,0,MATCH(B35&amp;"*",DH_Head,0)))</f>
        <v/>
      </c>
      <c r="O35" s="65">
        <f>IF(W35&lt;&gt;"",W35,IF(U35="Helmond",IF(COUNTIFS(RC_Lane,B35,RC_Band,E35,RC_Transit,"&lt;&gt;")=0,"",SUMIFS(RC_Transit,RC_Lane,B35,RC_Band,E35)),IF(U35="Other","",IF(INDEX(RS_Transit,MATCH(B35,RS_Lane,0))="","",INDEX(RS_Transit,MATCH(B35,RS_Lane,0))))))</f>
        <v/>
      </c>
      <c r="P35" s="140" t="n"/>
      <c r="Q35" s="84">
        <f>IF(P35&lt;&gt;"",P35,IF(O35="","",WORKDAY.INTL(L35,ROUNDUP(O35,0),INDEX(LR_Code,MATCH(B35,LR_Lane,0)),INDEX(DH_Table,0,MATCH(B35&amp;"*",DH_Head,0)))))</f>
        <v/>
      </c>
      <c r="R35" s="100">
        <f>IF(Q35="","",IF(Q35&lt;=N35,"Yes","No"))</f>
        <v/>
      </c>
      <c r="S35" s="52">
        <f>IF(Q35="","",IF(Q35&lt;=N35,0,NETWORKDAYS.INTL(N35,Q35,INDEX(LR_Code,MATCH(B35,LR_Lane,0)),INDEX(DH_Table,0,MATCH(B35&amp;"*",DH_Head,0)))-1))</f>
        <v/>
      </c>
      <c r="T35" s="127" t="n"/>
      <c r="U35" s="112">
        <f>IF(V35&lt;&gt;"",V35,IF(IFERROR(INDEX(RS_Flag,MATCH(B35,RS_Lane,0)),"")="Yes",IF(IFERROR(INDEX(RS_Loc,MATCH(B35,RS_Lane,0)),"")="","Regional stock",IFERROR(INDEX(RS_Loc,MATCH(B35,RS_Lane,0)),"")),"Helmond"))</f>
        <v/>
      </c>
      <c r="V35" s="141" t="n"/>
      <c r="W35" s="142" t="n"/>
      <c r="X35" s="143" t="n"/>
      <c r="Y35" s="116">
        <f>IF(X35&lt;&gt;"",X35,IF(U35="Helmond",IF(COUNTIFS(RC_Lane,B35,RC_Band,E35,RC_CostPS,"&gt;0")=0,"",SUMIFS(RC_CostPS,RC_Lane,B35,RC_Band,E35)*(1-SUMIFS(RC_Disc,RC_Lane,B35,RC_Band,E35))),IF(U35="Other","",IF(INDEX(RS_Rate,MATCH(B35,RS_Lane,0))="","",INDEX(RS_Rate,MATCH(B35,RS_Lane,0))))))</f>
        <v/>
      </c>
    </row>
    <row r="36">
      <c r="A36" s="95" t="inlineStr">
        <is>
          <t>B-032</t>
        </is>
      </c>
      <c r="B36" s="112" t="inlineStr">
        <is>
          <t>L07</t>
        </is>
      </c>
      <c r="C36" s="101" t="inlineStr">
        <is>
          <t>Algeria</t>
        </is>
      </c>
      <c r="D36" s="101" t="inlineStr">
        <is>
          <t>Algiers</t>
        </is>
      </c>
      <c r="E36" s="101" t="inlineStr">
        <is>
          <t>B1  0 to 30 kg</t>
        </is>
      </c>
      <c r="F36" s="123" t="n">
        <v>6.4</v>
      </c>
      <c r="G36" s="86">
        <f>F36*0.006477</f>
        <v/>
      </c>
      <c r="H36" s="123">
        <f>F36*1.079436</f>
        <v/>
      </c>
      <c r="I36" s="122">
        <f>MAX(1,ROUNDUP(G36/0.096,0))</f>
        <v/>
      </c>
      <c r="J36" s="84" t="n">
        <v>46420</v>
      </c>
      <c r="K36" s="87">
        <f>J36-WEEKDAY(J36,2)+1</f>
        <v/>
      </c>
      <c r="L36" s="84">
        <f>J36</f>
        <v/>
      </c>
      <c r="M36" s="52">
        <f>INDEX(LR_Target,MATCH(B36,LR_Lane,0))</f>
        <v/>
      </c>
      <c r="N36" s="84">
        <f>WORKDAY.INTL(L36,M36,INDEX(LR_Code,MATCH(B36,LR_Lane,0)),INDEX(DH_Table,0,MATCH(B36&amp;"*",DH_Head,0)))</f>
        <v/>
      </c>
      <c r="O36" s="65">
        <f>IF(W36&lt;&gt;"",W36,IF(U36="Helmond",IF(COUNTIFS(RC_Lane,B36,RC_Band,E36,RC_Transit,"&lt;&gt;")=0,"",SUMIFS(RC_Transit,RC_Lane,B36,RC_Band,E36)),IF(U36="Other","",IF(INDEX(RS_Transit,MATCH(B36,RS_Lane,0))="","",INDEX(RS_Transit,MATCH(B36,RS_Lane,0))))))</f>
        <v/>
      </c>
      <c r="P36" s="140" t="n"/>
      <c r="Q36" s="84">
        <f>IF(P36&lt;&gt;"",P36,IF(O36="","",WORKDAY.INTL(L36,ROUNDUP(O36,0),INDEX(LR_Code,MATCH(B36,LR_Lane,0)),INDEX(DH_Table,0,MATCH(B36&amp;"*",DH_Head,0)))))</f>
        <v/>
      </c>
      <c r="R36" s="100">
        <f>IF(Q36="","",IF(Q36&lt;=N36,"Yes","No"))</f>
        <v/>
      </c>
      <c r="S36" s="52">
        <f>IF(Q36="","",IF(Q36&lt;=N36,0,NETWORKDAYS.INTL(N36,Q36,INDEX(LR_Code,MATCH(B36,LR_Lane,0)),INDEX(DH_Table,0,MATCH(B36&amp;"*",DH_Head,0)))-1))</f>
        <v/>
      </c>
      <c r="T36" s="127" t="n"/>
      <c r="U36" s="112">
        <f>IF(V36&lt;&gt;"",V36,IF(IFERROR(INDEX(RS_Flag,MATCH(B36,RS_Lane,0)),"")="Yes",IF(IFERROR(INDEX(RS_Loc,MATCH(B36,RS_Lane,0)),"")="","Regional stock",IFERROR(INDEX(RS_Loc,MATCH(B36,RS_Lane,0)),"")),"Helmond"))</f>
        <v/>
      </c>
      <c r="V36" s="141" t="n"/>
      <c r="W36" s="142" t="n"/>
      <c r="X36" s="143" t="n"/>
      <c r="Y36" s="116">
        <f>IF(X36&lt;&gt;"",X36,IF(U36="Helmond",IF(COUNTIFS(RC_Lane,B36,RC_Band,E36,RC_CostPS,"&gt;0")=0,"",SUMIFS(RC_CostPS,RC_Lane,B36,RC_Band,E36)*(1-SUMIFS(RC_Disc,RC_Lane,B36,RC_Band,E36))),IF(U36="Other","",IF(INDEX(RS_Rate,MATCH(B36,RS_Lane,0))="","",INDEX(RS_Rate,MATCH(B36,RS_Lane,0))))))</f>
        <v/>
      </c>
    </row>
    <row r="37">
      <c r="A37" s="95" t="inlineStr">
        <is>
          <t>B-033</t>
        </is>
      </c>
      <c r="B37" s="112" t="inlineStr">
        <is>
          <t>L02</t>
        </is>
      </c>
      <c r="C37" s="101" t="inlineStr">
        <is>
          <t>United Arab Emirates</t>
        </is>
      </c>
      <c r="D37" s="101" t="inlineStr">
        <is>
          <t>Dubai</t>
        </is>
      </c>
      <c r="E37" s="101" t="inlineStr">
        <is>
          <t>B1  0 to 30 kg</t>
        </is>
      </c>
      <c r="F37" s="123" t="n">
        <v>13.2</v>
      </c>
      <c r="G37" s="86">
        <f>F37*0.006477</f>
        <v/>
      </c>
      <c r="H37" s="123">
        <f>F37*1.079436</f>
        <v/>
      </c>
      <c r="I37" s="122">
        <f>MAX(1,ROUNDUP(G37/0.096,0))</f>
        <v/>
      </c>
      <c r="J37" s="84" t="n">
        <v>46422</v>
      </c>
      <c r="K37" s="87">
        <f>J37-WEEKDAY(J37,2)+1</f>
        <v/>
      </c>
      <c r="L37" s="84">
        <f>J37</f>
        <v/>
      </c>
      <c r="M37" s="52">
        <f>INDEX(LR_Target,MATCH(B37,LR_Lane,0))</f>
        <v/>
      </c>
      <c r="N37" s="84">
        <f>WORKDAY.INTL(L37,M37,INDEX(LR_Code,MATCH(B37,LR_Lane,0)),INDEX(DH_Table,0,MATCH(B37&amp;"*",DH_Head,0)))</f>
        <v/>
      </c>
      <c r="O37" s="65">
        <f>IF(W37&lt;&gt;"",W37,IF(U37="Helmond",IF(COUNTIFS(RC_Lane,B37,RC_Band,E37,RC_Transit,"&lt;&gt;")=0,"",SUMIFS(RC_Transit,RC_Lane,B37,RC_Band,E37)),IF(U37="Other","",IF(INDEX(RS_Transit,MATCH(B37,RS_Lane,0))="","",INDEX(RS_Transit,MATCH(B37,RS_Lane,0))))))</f>
        <v/>
      </c>
      <c r="P37" s="140" t="n"/>
      <c r="Q37" s="84">
        <f>IF(P37&lt;&gt;"",P37,IF(O37="","",WORKDAY.INTL(L37,ROUNDUP(O37,0),INDEX(LR_Code,MATCH(B37,LR_Lane,0)),INDEX(DH_Table,0,MATCH(B37&amp;"*",DH_Head,0)))))</f>
        <v/>
      </c>
      <c r="R37" s="100">
        <f>IF(Q37="","",IF(Q37&lt;=N37,"Yes","No"))</f>
        <v/>
      </c>
      <c r="S37" s="52">
        <f>IF(Q37="","",IF(Q37&lt;=N37,0,NETWORKDAYS.INTL(N37,Q37,INDEX(LR_Code,MATCH(B37,LR_Lane,0)),INDEX(DH_Table,0,MATCH(B37&amp;"*",DH_Head,0)))-1))</f>
        <v/>
      </c>
      <c r="T37" s="127" t="n"/>
      <c r="U37" s="112">
        <f>IF(V37&lt;&gt;"",V37,IF(IFERROR(INDEX(RS_Flag,MATCH(B37,RS_Lane,0)),"")="Yes",IF(IFERROR(INDEX(RS_Loc,MATCH(B37,RS_Lane,0)),"")="","Regional stock",IFERROR(INDEX(RS_Loc,MATCH(B37,RS_Lane,0)),"")),"Helmond"))</f>
        <v/>
      </c>
      <c r="V37" s="141" t="n"/>
      <c r="W37" s="142" t="n"/>
      <c r="X37" s="143" t="n"/>
      <c r="Y37" s="116">
        <f>IF(X37&lt;&gt;"",X37,IF(U37="Helmond",IF(COUNTIFS(RC_Lane,B37,RC_Band,E37,RC_CostPS,"&gt;0")=0,"",SUMIFS(RC_CostPS,RC_Lane,B37,RC_Band,E37)*(1-SUMIFS(RC_Disc,RC_Lane,B37,RC_Band,E37))),IF(U37="Other","",IF(INDEX(RS_Rate,MATCH(B37,RS_Lane,0))="","",INDEX(RS_Rate,MATCH(B37,RS_Lane,0))))))</f>
        <v/>
      </c>
    </row>
    <row r="38">
      <c r="A38" s="95" t="inlineStr">
        <is>
          <t>B-034</t>
        </is>
      </c>
      <c r="B38" s="112" t="inlineStr">
        <is>
          <t>L01</t>
        </is>
      </c>
      <c r="C38" s="101" t="inlineStr">
        <is>
          <t>Saudi Arabia</t>
        </is>
      </c>
      <c r="D38" s="101" t="inlineStr">
        <is>
          <t>Riyadh</t>
        </is>
      </c>
      <c r="E38" s="101" t="inlineStr">
        <is>
          <t>B1  0 to 30 kg</t>
        </is>
      </c>
      <c r="F38" s="123" t="n">
        <v>4.2</v>
      </c>
      <c r="G38" s="86">
        <f>F38*0.006477</f>
        <v/>
      </c>
      <c r="H38" s="123">
        <f>F38*1.079436</f>
        <v/>
      </c>
      <c r="I38" s="122">
        <f>MAX(1,ROUNDUP(G38/0.096,0))</f>
        <v/>
      </c>
      <c r="J38" s="84" t="n">
        <v>46423</v>
      </c>
      <c r="K38" s="87">
        <f>J38-WEEKDAY(J38,2)+1</f>
        <v/>
      </c>
      <c r="L38" s="84">
        <f>J38</f>
        <v/>
      </c>
      <c r="M38" s="52">
        <f>INDEX(LR_Target,MATCH(B38,LR_Lane,0))</f>
        <v/>
      </c>
      <c r="N38" s="84">
        <f>WORKDAY.INTL(L38,M38,INDEX(LR_Code,MATCH(B38,LR_Lane,0)),INDEX(DH_Table,0,MATCH(B38&amp;"*",DH_Head,0)))</f>
        <v/>
      </c>
      <c r="O38" s="65">
        <f>IF(W38&lt;&gt;"",W38,IF(U38="Helmond",IF(COUNTIFS(RC_Lane,B38,RC_Band,E38,RC_Transit,"&lt;&gt;")=0,"",SUMIFS(RC_Transit,RC_Lane,B38,RC_Band,E38)),IF(U38="Other","",IF(INDEX(RS_Transit,MATCH(B38,RS_Lane,0))="","",INDEX(RS_Transit,MATCH(B38,RS_Lane,0))))))</f>
        <v/>
      </c>
      <c r="P38" s="140" t="n"/>
      <c r="Q38" s="84">
        <f>IF(P38&lt;&gt;"",P38,IF(O38="","",WORKDAY.INTL(L38,ROUNDUP(O38,0),INDEX(LR_Code,MATCH(B38,LR_Lane,0)),INDEX(DH_Table,0,MATCH(B38&amp;"*",DH_Head,0)))))</f>
        <v/>
      </c>
      <c r="R38" s="100">
        <f>IF(Q38="","",IF(Q38&lt;=N38,"Yes","No"))</f>
        <v/>
      </c>
      <c r="S38" s="52">
        <f>IF(Q38="","",IF(Q38&lt;=N38,0,NETWORKDAYS.INTL(N38,Q38,INDEX(LR_Code,MATCH(B38,LR_Lane,0)),INDEX(DH_Table,0,MATCH(B38&amp;"*",DH_Head,0)))-1))</f>
        <v/>
      </c>
      <c r="T38" s="127" t="n"/>
      <c r="U38" s="112">
        <f>IF(V38&lt;&gt;"",V38,IF(IFERROR(INDEX(RS_Flag,MATCH(B38,RS_Lane,0)),"")="Yes",IF(IFERROR(INDEX(RS_Loc,MATCH(B38,RS_Lane,0)),"")="","Regional stock",IFERROR(INDEX(RS_Loc,MATCH(B38,RS_Lane,0)),"")),"Helmond"))</f>
        <v/>
      </c>
      <c r="V38" s="141" t="n"/>
      <c r="W38" s="142" t="n"/>
      <c r="X38" s="143" t="n"/>
      <c r="Y38" s="116">
        <f>IF(X38&lt;&gt;"",X38,IF(U38="Helmond",IF(COUNTIFS(RC_Lane,B38,RC_Band,E38,RC_CostPS,"&gt;0")=0,"",SUMIFS(RC_CostPS,RC_Lane,B38,RC_Band,E38)*(1-SUMIFS(RC_Disc,RC_Lane,B38,RC_Band,E38))),IF(U38="Other","",IF(INDEX(RS_Rate,MATCH(B38,RS_Lane,0))="","",INDEX(RS_Rate,MATCH(B38,RS_Lane,0))))))</f>
        <v/>
      </c>
    </row>
    <row r="39">
      <c r="A39" s="95" t="inlineStr">
        <is>
          <t>B-035</t>
        </is>
      </c>
      <c r="B39" s="112" t="inlineStr">
        <is>
          <t>L01</t>
        </is>
      </c>
      <c r="C39" s="101" t="inlineStr">
        <is>
          <t>Saudi Arabia</t>
        </is>
      </c>
      <c r="D39" s="101" t="inlineStr">
        <is>
          <t>Jeddah</t>
        </is>
      </c>
      <c r="E39" s="101" t="inlineStr">
        <is>
          <t>B4  500 to 2,000 kg</t>
        </is>
      </c>
      <c r="F39" s="123" t="n">
        <v>881.3</v>
      </c>
      <c r="G39" s="86">
        <f>F39*0.006477</f>
        <v/>
      </c>
      <c r="H39" s="123">
        <f>F39*1.079436</f>
        <v/>
      </c>
      <c r="I39" s="122">
        <f>MAX(1,ROUNDUP(G39/0.096,0))</f>
        <v/>
      </c>
      <c r="J39" s="84" t="n">
        <v>46427</v>
      </c>
      <c r="K39" s="87">
        <f>J39-WEEKDAY(J39,2)+1</f>
        <v/>
      </c>
      <c r="L39" s="84">
        <f>J39</f>
        <v/>
      </c>
      <c r="M39" s="52">
        <f>INDEX(LR_Target,MATCH(B39,LR_Lane,0))</f>
        <v/>
      </c>
      <c r="N39" s="84">
        <f>WORKDAY.INTL(L39,M39,INDEX(LR_Code,MATCH(B39,LR_Lane,0)),INDEX(DH_Table,0,MATCH(B39&amp;"*",DH_Head,0)))</f>
        <v/>
      </c>
      <c r="O39" s="65">
        <f>IF(W39&lt;&gt;"",W39,IF(U39="Helmond",IF(COUNTIFS(RC_Lane,B39,RC_Band,E39,RC_Transit,"&lt;&gt;")=0,"",SUMIFS(RC_Transit,RC_Lane,B39,RC_Band,E39)),IF(U39="Other","",IF(INDEX(RS_Transit,MATCH(B39,RS_Lane,0))="","",INDEX(RS_Transit,MATCH(B39,RS_Lane,0))))))</f>
        <v/>
      </c>
      <c r="P39" s="140" t="n"/>
      <c r="Q39" s="84">
        <f>IF(P39&lt;&gt;"",P39,IF(O39="","",WORKDAY.INTL(L39,ROUNDUP(O39,0),INDEX(LR_Code,MATCH(B39,LR_Lane,0)),INDEX(DH_Table,0,MATCH(B39&amp;"*",DH_Head,0)))))</f>
        <v/>
      </c>
      <c r="R39" s="100">
        <f>IF(Q39="","",IF(Q39&lt;=N39,"Yes","No"))</f>
        <v/>
      </c>
      <c r="S39" s="52">
        <f>IF(Q39="","",IF(Q39&lt;=N39,0,NETWORKDAYS.INTL(N39,Q39,INDEX(LR_Code,MATCH(B39,LR_Lane,0)),INDEX(DH_Table,0,MATCH(B39&amp;"*",DH_Head,0)))-1))</f>
        <v/>
      </c>
      <c r="T39" s="127" t="n"/>
      <c r="U39" s="112">
        <f>IF(V39&lt;&gt;"",V39,IF(IFERROR(INDEX(RS_Flag,MATCH(B39,RS_Lane,0)),"")="Yes",IF(IFERROR(INDEX(RS_Loc,MATCH(B39,RS_Lane,0)),"")="","Regional stock",IFERROR(INDEX(RS_Loc,MATCH(B39,RS_Lane,0)),"")),"Helmond"))</f>
        <v/>
      </c>
      <c r="V39" s="141" t="n"/>
      <c r="W39" s="142" t="n"/>
      <c r="X39" s="143" t="n"/>
      <c r="Y39" s="116">
        <f>IF(X39&lt;&gt;"",X39,IF(U39="Helmond",IF(COUNTIFS(RC_Lane,B39,RC_Band,E39,RC_CostPS,"&gt;0")=0,"",SUMIFS(RC_CostPS,RC_Lane,B39,RC_Band,E39)*(1-SUMIFS(RC_Disc,RC_Lane,B39,RC_Band,E39))),IF(U39="Other","",IF(INDEX(RS_Rate,MATCH(B39,RS_Lane,0))="","",INDEX(RS_Rate,MATCH(B39,RS_Lane,0))))))</f>
        <v/>
      </c>
    </row>
    <row r="40">
      <c r="A40" s="95" t="inlineStr">
        <is>
          <t>B-036</t>
        </is>
      </c>
      <c r="B40" s="112" t="inlineStr">
        <is>
          <t>L01</t>
        </is>
      </c>
      <c r="C40" s="101" t="inlineStr">
        <is>
          <t>Saudi Arabia</t>
        </is>
      </c>
      <c r="D40" s="101" t="inlineStr">
        <is>
          <t>Jeddah</t>
        </is>
      </c>
      <c r="E40" s="101" t="inlineStr">
        <is>
          <t>B4  500 to 2,000 kg</t>
        </is>
      </c>
      <c r="F40" s="123" t="n">
        <v>845.4</v>
      </c>
      <c r="G40" s="86">
        <f>F40*0.006477</f>
        <v/>
      </c>
      <c r="H40" s="123">
        <f>F40*1.079436</f>
        <v/>
      </c>
      <c r="I40" s="122">
        <f>MAX(1,ROUNDUP(G40/0.096,0))</f>
        <v/>
      </c>
      <c r="J40" s="84" t="n">
        <v>46428</v>
      </c>
      <c r="K40" s="87">
        <f>J40-WEEKDAY(J40,2)+1</f>
        <v/>
      </c>
      <c r="L40" s="84">
        <f>J40</f>
        <v/>
      </c>
      <c r="M40" s="52">
        <f>INDEX(LR_Target,MATCH(B40,LR_Lane,0))</f>
        <v/>
      </c>
      <c r="N40" s="84">
        <f>WORKDAY.INTL(L40,M40,INDEX(LR_Code,MATCH(B40,LR_Lane,0)),INDEX(DH_Table,0,MATCH(B40&amp;"*",DH_Head,0)))</f>
        <v/>
      </c>
      <c r="O40" s="65">
        <f>IF(W40&lt;&gt;"",W40,IF(U40="Helmond",IF(COUNTIFS(RC_Lane,B40,RC_Band,E40,RC_Transit,"&lt;&gt;")=0,"",SUMIFS(RC_Transit,RC_Lane,B40,RC_Band,E40)),IF(U40="Other","",IF(INDEX(RS_Transit,MATCH(B40,RS_Lane,0))="","",INDEX(RS_Transit,MATCH(B40,RS_Lane,0))))))</f>
        <v/>
      </c>
      <c r="P40" s="140" t="n"/>
      <c r="Q40" s="84">
        <f>IF(P40&lt;&gt;"",P40,IF(O40="","",WORKDAY.INTL(L40,ROUNDUP(O40,0),INDEX(LR_Code,MATCH(B40,LR_Lane,0)),INDEX(DH_Table,0,MATCH(B40&amp;"*",DH_Head,0)))))</f>
        <v/>
      </c>
      <c r="R40" s="100">
        <f>IF(Q40="","",IF(Q40&lt;=N40,"Yes","No"))</f>
        <v/>
      </c>
      <c r="S40" s="52">
        <f>IF(Q40="","",IF(Q40&lt;=N40,0,NETWORKDAYS.INTL(N40,Q40,INDEX(LR_Code,MATCH(B40,LR_Lane,0)),INDEX(DH_Table,0,MATCH(B40&amp;"*",DH_Head,0)))-1))</f>
        <v/>
      </c>
      <c r="T40" s="127" t="n"/>
      <c r="U40" s="112">
        <f>IF(V40&lt;&gt;"",V40,IF(IFERROR(INDEX(RS_Flag,MATCH(B40,RS_Lane,0)),"")="Yes",IF(IFERROR(INDEX(RS_Loc,MATCH(B40,RS_Lane,0)),"")="","Regional stock",IFERROR(INDEX(RS_Loc,MATCH(B40,RS_Lane,0)),"")),"Helmond"))</f>
        <v/>
      </c>
      <c r="V40" s="141" t="n"/>
      <c r="W40" s="142" t="n"/>
      <c r="X40" s="143" t="n"/>
      <c r="Y40" s="116">
        <f>IF(X40&lt;&gt;"",X40,IF(U40="Helmond",IF(COUNTIFS(RC_Lane,B40,RC_Band,E40,RC_CostPS,"&gt;0")=0,"",SUMIFS(RC_CostPS,RC_Lane,B40,RC_Band,E40)*(1-SUMIFS(RC_Disc,RC_Lane,B40,RC_Band,E40))),IF(U40="Other","",IF(INDEX(RS_Rate,MATCH(B40,RS_Lane,0))="","",INDEX(RS_Rate,MATCH(B40,RS_Lane,0))))))</f>
        <v/>
      </c>
    </row>
    <row r="41">
      <c r="A41" s="95" t="inlineStr">
        <is>
          <t>B-037</t>
        </is>
      </c>
      <c r="B41" s="112" t="inlineStr">
        <is>
          <t>L04</t>
        </is>
      </c>
      <c r="C41" s="101" t="inlineStr">
        <is>
          <t>Qatar</t>
        </is>
      </c>
      <c r="D41" s="101" t="inlineStr">
        <is>
          <t>Doha</t>
        </is>
      </c>
      <c r="E41" s="101" t="inlineStr">
        <is>
          <t>B1  0 to 30 kg</t>
        </is>
      </c>
      <c r="F41" s="123" t="n">
        <v>5.7</v>
      </c>
      <c r="G41" s="86">
        <f>F41*0.006477</f>
        <v/>
      </c>
      <c r="H41" s="123">
        <f>F41*1.079436</f>
        <v/>
      </c>
      <c r="I41" s="122">
        <f>MAX(1,ROUNDUP(G41/0.096,0))</f>
        <v/>
      </c>
      <c r="J41" s="84" t="n">
        <v>46428</v>
      </c>
      <c r="K41" s="87">
        <f>J41-WEEKDAY(J41,2)+1</f>
        <v/>
      </c>
      <c r="L41" s="84">
        <f>J41</f>
        <v/>
      </c>
      <c r="M41" s="52">
        <f>INDEX(LR_Target,MATCH(B41,LR_Lane,0))</f>
        <v/>
      </c>
      <c r="N41" s="84">
        <f>WORKDAY.INTL(L41,M41,INDEX(LR_Code,MATCH(B41,LR_Lane,0)),INDEX(DH_Table,0,MATCH(B41&amp;"*",DH_Head,0)))</f>
        <v/>
      </c>
      <c r="O41" s="65">
        <f>IF(W41&lt;&gt;"",W41,IF(U41="Helmond",IF(COUNTIFS(RC_Lane,B41,RC_Band,E41,RC_Transit,"&lt;&gt;")=0,"",SUMIFS(RC_Transit,RC_Lane,B41,RC_Band,E41)),IF(U41="Other","",IF(INDEX(RS_Transit,MATCH(B41,RS_Lane,0))="","",INDEX(RS_Transit,MATCH(B41,RS_Lane,0))))))</f>
        <v/>
      </c>
      <c r="P41" s="140" t="n"/>
      <c r="Q41" s="84">
        <f>IF(P41&lt;&gt;"",P41,IF(O41="","",WORKDAY.INTL(L41,ROUNDUP(O41,0),INDEX(LR_Code,MATCH(B41,LR_Lane,0)),INDEX(DH_Table,0,MATCH(B41&amp;"*",DH_Head,0)))))</f>
        <v/>
      </c>
      <c r="R41" s="100">
        <f>IF(Q41="","",IF(Q41&lt;=N41,"Yes","No"))</f>
        <v/>
      </c>
      <c r="S41" s="52">
        <f>IF(Q41="","",IF(Q41&lt;=N41,0,NETWORKDAYS.INTL(N41,Q41,INDEX(LR_Code,MATCH(B41,LR_Lane,0)),INDEX(DH_Table,0,MATCH(B41&amp;"*",DH_Head,0)))-1))</f>
        <v/>
      </c>
      <c r="T41" s="127" t="n"/>
      <c r="U41" s="112">
        <f>IF(V41&lt;&gt;"",V41,IF(IFERROR(INDEX(RS_Flag,MATCH(B41,RS_Lane,0)),"")="Yes",IF(IFERROR(INDEX(RS_Loc,MATCH(B41,RS_Lane,0)),"")="","Regional stock",IFERROR(INDEX(RS_Loc,MATCH(B41,RS_Lane,0)),"")),"Helmond"))</f>
        <v/>
      </c>
      <c r="V41" s="141" t="n"/>
      <c r="W41" s="142" t="n"/>
      <c r="X41" s="143" t="n"/>
      <c r="Y41" s="116">
        <f>IF(X41&lt;&gt;"",X41,IF(U41="Helmond",IF(COUNTIFS(RC_Lane,B41,RC_Band,E41,RC_CostPS,"&gt;0")=0,"",SUMIFS(RC_CostPS,RC_Lane,B41,RC_Band,E41)*(1-SUMIFS(RC_Disc,RC_Lane,B41,RC_Band,E41))),IF(U41="Other","",IF(INDEX(RS_Rate,MATCH(B41,RS_Lane,0))="","",INDEX(RS_Rate,MATCH(B41,RS_Lane,0))))))</f>
        <v/>
      </c>
    </row>
    <row r="42">
      <c r="A42" s="95" t="inlineStr">
        <is>
          <t>B-038</t>
        </is>
      </c>
      <c r="B42" s="112" t="inlineStr">
        <is>
          <t>L02</t>
        </is>
      </c>
      <c r="C42" s="101" t="inlineStr">
        <is>
          <t>United Arab Emirates</t>
        </is>
      </c>
      <c r="D42" s="101" t="inlineStr">
        <is>
          <t>Dubai</t>
        </is>
      </c>
      <c r="E42" s="101" t="inlineStr">
        <is>
          <t>B1  0 to 30 kg</t>
        </is>
      </c>
      <c r="F42" s="123" t="n">
        <v>5.6</v>
      </c>
      <c r="G42" s="86">
        <f>F42*0.006477</f>
        <v/>
      </c>
      <c r="H42" s="123">
        <f>F42*1.079436</f>
        <v/>
      </c>
      <c r="I42" s="122">
        <f>MAX(1,ROUNDUP(G42/0.096,0))</f>
        <v/>
      </c>
      <c r="J42" s="84" t="n">
        <v>46429</v>
      </c>
      <c r="K42" s="87">
        <f>J42-WEEKDAY(J42,2)+1</f>
        <v/>
      </c>
      <c r="L42" s="84">
        <f>J42</f>
        <v/>
      </c>
      <c r="M42" s="52">
        <f>INDEX(LR_Target,MATCH(B42,LR_Lane,0))</f>
        <v/>
      </c>
      <c r="N42" s="84">
        <f>WORKDAY.INTL(L42,M42,INDEX(LR_Code,MATCH(B42,LR_Lane,0)),INDEX(DH_Table,0,MATCH(B42&amp;"*",DH_Head,0)))</f>
        <v/>
      </c>
      <c r="O42" s="65">
        <f>IF(W42&lt;&gt;"",W42,IF(U42="Helmond",IF(COUNTIFS(RC_Lane,B42,RC_Band,E42,RC_Transit,"&lt;&gt;")=0,"",SUMIFS(RC_Transit,RC_Lane,B42,RC_Band,E42)),IF(U42="Other","",IF(INDEX(RS_Transit,MATCH(B42,RS_Lane,0))="","",INDEX(RS_Transit,MATCH(B42,RS_Lane,0))))))</f>
        <v/>
      </c>
      <c r="P42" s="140" t="n"/>
      <c r="Q42" s="84">
        <f>IF(P42&lt;&gt;"",P42,IF(O42="","",WORKDAY.INTL(L42,ROUNDUP(O42,0),INDEX(LR_Code,MATCH(B42,LR_Lane,0)),INDEX(DH_Table,0,MATCH(B42&amp;"*",DH_Head,0)))))</f>
        <v/>
      </c>
      <c r="R42" s="100">
        <f>IF(Q42="","",IF(Q42&lt;=N42,"Yes","No"))</f>
        <v/>
      </c>
      <c r="S42" s="52">
        <f>IF(Q42="","",IF(Q42&lt;=N42,0,NETWORKDAYS.INTL(N42,Q42,INDEX(LR_Code,MATCH(B42,LR_Lane,0)),INDEX(DH_Table,0,MATCH(B42&amp;"*",DH_Head,0)))-1))</f>
        <v/>
      </c>
      <c r="T42" s="127" t="n"/>
      <c r="U42" s="112">
        <f>IF(V42&lt;&gt;"",V42,IF(IFERROR(INDEX(RS_Flag,MATCH(B42,RS_Lane,0)),"")="Yes",IF(IFERROR(INDEX(RS_Loc,MATCH(B42,RS_Lane,0)),"")="","Regional stock",IFERROR(INDEX(RS_Loc,MATCH(B42,RS_Lane,0)),"")),"Helmond"))</f>
        <v/>
      </c>
      <c r="V42" s="141" t="n"/>
      <c r="W42" s="142" t="n"/>
      <c r="X42" s="143" t="n"/>
      <c r="Y42" s="116">
        <f>IF(X42&lt;&gt;"",X42,IF(U42="Helmond",IF(COUNTIFS(RC_Lane,B42,RC_Band,E42,RC_CostPS,"&gt;0")=0,"",SUMIFS(RC_CostPS,RC_Lane,B42,RC_Band,E42)*(1-SUMIFS(RC_Disc,RC_Lane,B42,RC_Band,E42))),IF(U42="Other","",IF(INDEX(RS_Rate,MATCH(B42,RS_Lane,0))="","",INDEX(RS_Rate,MATCH(B42,RS_Lane,0))))))</f>
        <v/>
      </c>
    </row>
    <row r="43">
      <c r="A43" s="95" t="inlineStr">
        <is>
          <t>B-039</t>
        </is>
      </c>
      <c r="B43" s="112" t="inlineStr">
        <is>
          <t>L01</t>
        </is>
      </c>
      <c r="C43" s="101" t="inlineStr">
        <is>
          <t>Saudi Arabia</t>
        </is>
      </c>
      <c r="D43" s="101" t="inlineStr">
        <is>
          <t>Jeddah</t>
        </is>
      </c>
      <c r="E43" s="101" t="inlineStr">
        <is>
          <t>B1  0 to 30 kg</t>
        </is>
      </c>
      <c r="F43" s="123" t="n">
        <v>3.1</v>
      </c>
      <c r="G43" s="86">
        <f>F43*0.006477</f>
        <v/>
      </c>
      <c r="H43" s="123">
        <f>F43*1.079436</f>
        <v/>
      </c>
      <c r="I43" s="122">
        <f>MAX(1,ROUNDUP(G43/0.096,0))</f>
        <v/>
      </c>
      <c r="J43" s="84" t="n">
        <v>46434</v>
      </c>
      <c r="K43" s="87">
        <f>J43-WEEKDAY(J43,2)+1</f>
        <v/>
      </c>
      <c r="L43" s="84">
        <f>J43</f>
        <v/>
      </c>
      <c r="M43" s="52">
        <f>INDEX(LR_Target,MATCH(B43,LR_Lane,0))</f>
        <v/>
      </c>
      <c r="N43" s="84">
        <f>WORKDAY.INTL(L43,M43,INDEX(LR_Code,MATCH(B43,LR_Lane,0)),INDEX(DH_Table,0,MATCH(B43&amp;"*",DH_Head,0)))</f>
        <v/>
      </c>
      <c r="O43" s="65">
        <f>IF(W43&lt;&gt;"",W43,IF(U43="Helmond",IF(COUNTIFS(RC_Lane,B43,RC_Band,E43,RC_Transit,"&lt;&gt;")=0,"",SUMIFS(RC_Transit,RC_Lane,B43,RC_Band,E43)),IF(U43="Other","",IF(INDEX(RS_Transit,MATCH(B43,RS_Lane,0))="","",INDEX(RS_Transit,MATCH(B43,RS_Lane,0))))))</f>
        <v/>
      </c>
      <c r="P43" s="140" t="n"/>
      <c r="Q43" s="84">
        <f>IF(P43&lt;&gt;"",P43,IF(O43="","",WORKDAY.INTL(L43,ROUNDUP(O43,0),INDEX(LR_Code,MATCH(B43,LR_Lane,0)),INDEX(DH_Table,0,MATCH(B43&amp;"*",DH_Head,0)))))</f>
        <v/>
      </c>
      <c r="R43" s="100">
        <f>IF(Q43="","",IF(Q43&lt;=N43,"Yes","No"))</f>
        <v/>
      </c>
      <c r="S43" s="52">
        <f>IF(Q43="","",IF(Q43&lt;=N43,0,NETWORKDAYS.INTL(N43,Q43,INDEX(LR_Code,MATCH(B43,LR_Lane,0)),INDEX(DH_Table,0,MATCH(B43&amp;"*",DH_Head,0)))-1))</f>
        <v/>
      </c>
      <c r="T43" s="127" t="n"/>
      <c r="U43" s="112">
        <f>IF(V43&lt;&gt;"",V43,IF(IFERROR(INDEX(RS_Flag,MATCH(B43,RS_Lane,0)),"")="Yes",IF(IFERROR(INDEX(RS_Loc,MATCH(B43,RS_Lane,0)),"")="","Regional stock",IFERROR(INDEX(RS_Loc,MATCH(B43,RS_Lane,0)),"")),"Helmond"))</f>
        <v/>
      </c>
      <c r="V43" s="141" t="n"/>
      <c r="W43" s="142" t="n"/>
      <c r="X43" s="143" t="n"/>
      <c r="Y43" s="116">
        <f>IF(X43&lt;&gt;"",X43,IF(U43="Helmond",IF(COUNTIFS(RC_Lane,B43,RC_Band,E43,RC_CostPS,"&gt;0")=0,"",SUMIFS(RC_CostPS,RC_Lane,B43,RC_Band,E43)*(1-SUMIFS(RC_Disc,RC_Lane,B43,RC_Band,E43))),IF(U43="Other","",IF(INDEX(RS_Rate,MATCH(B43,RS_Lane,0))="","",INDEX(RS_Rate,MATCH(B43,RS_Lane,0))))))</f>
        <v/>
      </c>
    </row>
    <row r="44">
      <c r="A44" s="95" t="inlineStr">
        <is>
          <t>B-040</t>
        </is>
      </c>
      <c r="B44" s="112" t="inlineStr">
        <is>
          <t>L05</t>
        </is>
      </c>
      <c r="C44" s="101" t="inlineStr">
        <is>
          <t>Türkiye</t>
        </is>
      </c>
      <c r="D44" s="101" t="inlineStr">
        <is>
          <t>Istanbul</t>
        </is>
      </c>
      <c r="E44" s="101" t="inlineStr">
        <is>
          <t>B2  30 to 100 kg</t>
        </is>
      </c>
      <c r="F44" s="123" t="n">
        <v>65.40000000000001</v>
      </c>
      <c r="G44" s="86">
        <f>F44*0.006477</f>
        <v/>
      </c>
      <c r="H44" s="123">
        <f>F44*1.079436</f>
        <v/>
      </c>
      <c r="I44" s="122">
        <f>MAX(1,ROUNDUP(G44/0.096,0))</f>
        <v/>
      </c>
      <c r="J44" s="84" t="n">
        <v>46434</v>
      </c>
      <c r="K44" s="87">
        <f>J44-WEEKDAY(J44,2)+1</f>
        <v/>
      </c>
      <c r="L44" s="84">
        <f>J44</f>
        <v/>
      </c>
      <c r="M44" s="52">
        <f>INDEX(LR_Target,MATCH(B44,LR_Lane,0))</f>
        <v/>
      </c>
      <c r="N44" s="84">
        <f>WORKDAY.INTL(L44,M44,INDEX(LR_Code,MATCH(B44,LR_Lane,0)),INDEX(DH_Table,0,MATCH(B44&amp;"*",DH_Head,0)))</f>
        <v/>
      </c>
      <c r="O44" s="65">
        <f>IF(W44&lt;&gt;"",W44,IF(U44="Helmond",IF(COUNTIFS(RC_Lane,B44,RC_Band,E44,RC_Transit,"&lt;&gt;")=0,"",SUMIFS(RC_Transit,RC_Lane,B44,RC_Band,E44)),IF(U44="Other","",IF(INDEX(RS_Transit,MATCH(B44,RS_Lane,0))="","",INDEX(RS_Transit,MATCH(B44,RS_Lane,0))))))</f>
        <v/>
      </c>
      <c r="P44" s="140" t="n"/>
      <c r="Q44" s="84">
        <f>IF(P44&lt;&gt;"",P44,IF(O44="","",WORKDAY.INTL(L44,ROUNDUP(O44,0),INDEX(LR_Code,MATCH(B44,LR_Lane,0)),INDEX(DH_Table,0,MATCH(B44&amp;"*",DH_Head,0)))))</f>
        <v/>
      </c>
      <c r="R44" s="100">
        <f>IF(Q44="","",IF(Q44&lt;=N44,"Yes","No"))</f>
        <v/>
      </c>
      <c r="S44" s="52">
        <f>IF(Q44="","",IF(Q44&lt;=N44,0,NETWORKDAYS.INTL(N44,Q44,INDEX(LR_Code,MATCH(B44,LR_Lane,0)),INDEX(DH_Table,0,MATCH(B44&amp;"*",DH_Head,0)))-1))</f>
        <v/>
      </c>
      <c r="T44" s="127" t="n"/>
      <c r="U44" s="112">
        <f>IF(V44&lt;&gt;"",V44,IF(IFERROR(INDEX(RS_Flag,MATCH(B44,RS_Lane,0)),"")="Yes",IF(IFERROR(INDEX(RS_Loc,MATCH(B44,RS_Lane,0)),"")="","Regional stock",IFERROR(INDEX(RS_Loc,MATCH(B44,RS_Lane,0)),"")),"Helmond"))</f>
        <v/>
      </c>
      <c r="V44" s="141" t="n"/>
      <c r="W44" s="142" t="n"/>
      <c r="X44" s="143" t="n"/>
      <c r="Y44" s="116">
        <f>IF(X44&lt;&gt;"",X44,IF(U44="Helmond",IF(COUNTIFS(RC_Lane,B44,RC_Band,E44,RC_CostPS,"&gt;0")=0,"",SUMIFS(RC_CostPS,RC_Lane,B44,RC_Band,E44)*(1-SUMIFS(RC_Disc,RC_Lane,B44,RC_Band,E44))),IF(U44="Other","",IF(INDEX(RS_Rate,MATCH(B44,RS_Lane,0))="","",INDEX(RS_Rate,MATCH(B44,RS_Lane,0))))))</f>
        <v/>
      </c>
    </row>
    <row r="45">
      <c r="A45" s="95" t="inlineStr">
        <is>
          <t>B-041</t>
        </is>
      </c>
      <c r="B45" s="112" t="inlineStr">
        <is>
          <t>L08</t>
        </is>
      </c>
      <c r="C45" s="101" t="inlineStr">
        <is>
          <t>Egypt</t>
        </is>
      </c>
      <c r="D45" s="101" t="inlineStr">
        <is>
          <t>Cairo area</t>
        </is>
      </c>
      <c r="E45" s="101" t="inlineStr">
        <is>
          <t>B3  100 to 500 kg</t>
        </is>
      </c>
      <c r="F45" s="123" t="n">
        <v>272.9</v>
      </c>
      <c r="G45" s="86">
        <f>F45*0.006477</f>
        <v/>
      </c>
      <c r="H45" s="123">
        <f>F45*1.079436</f>
        <v/>
      </c>
      <c r="I45" s="122">
        <f>MAX(1,ROUNDUP(G45/0.096,0))</f>
        <v/>
      </c>
      <c r="J45" s="84" t="n">
        <v>46434</v>
      </c>
      <c r="K45" s="87">
        <f>J45-WEEKDAY(J45,2)+1</f>
        <v/>
      </c>
      <c r="L45" s="84">
        <f>J45</f>
        <v/>
      </c>
      <c r="M45" s="52">
        <f>INDEX(LR_Target,MATCH(B45,LR_Lane,0))</f>
        <v/>
      </c>
      <c r="N45" s="84">
        <f>WORKDAY.INTL(L45,M45,INDEX(LR_Code,MATCH(B45,LR_Lane,0)),INDEX(DH_Table,0,MATCH(B45&amp;"*",DH_Head,0)))</f>
        <v/>
      </c>
      <c r="O45" s="65">
        <f>IF(W45&lt;&gt;"",W45,IF(U45="Helmond",IF(COUNTIFS(RC_Lane,B45,RC_Band,E45,RC_Transit,"&lt;&gt;")=0,"",SUMIFS(RC_Transit,RC_Lane,B45,RC_Band,E45)),IF(U45="Other","",IF(INDEX(RS_Transit,MATCH(B45,RS_Lane,0))="","",INDEX(RS_Transit,MATCH(B45,RS_Lane,0))))))</f>
        <v/>
      </c>
      <c r="P45" s="140" t="n"/>
      <c r="Q45" s="84">
        <f>IF(P45&lt;&gt;"",P45,IF(O45="","",WORKDAY.INTL(L45,ROUNDUP(O45,0),INDEX(LR_Code,MATCH(B45,LR_Lane,0)),INDEX(DH_Table,0,MATCH(B45&amp;"*",DH_Head,0)))))</f>
        <v/>
      </c>
      <c r="R45" s="100">
        <f>IF(Q45="","",IF(Q45&lt;=N45,"Yes","No"))</f>
        <v/>
      </c>
      <c r="S45" s="52">
        <f>IF(Q45="","",IF(Q45&lt;=N45,0,NETWORKDAYS.INTL(N45,Q45,INDEX(LR_Code,MATCH(B45,LR_Lane,0)),INDEX(DH_Table,0,MATCH(B45&amp;"*",DH_Head,0)))-1))</f>
        <v/>
      </c>
      <c r="T45" s="127" t="n"/>
      <c r="U45" s="112">
        <f>IF(V45&lt;&gt;"",V45,IF(IFERROR(INDEX(RS_Flag,MATCH(B45,RS_Lane,0)),"")="Yes",IF(IFERROR(INDEX(RS_Loc,MATCH(B45,RS_Lane,0)),"")="","Regional stock",IFERROR(INDEX(RS_Loc,MATCH(B45,RS_Lane,0)),"")),"Helmond"))</f>
        <v/>
      </c>
      <c r="V45" s="141" t="n"/>
      <c r="W45" s="142" t="n"/>
      <c r="X45" s="143" t="n"/>
      <c r="Y45" s="116">
        <f>IF(X45&lt;&gt;"",X45,IF(U45="Helmond",IF(COUNTIFS(RC_Lane,B45,RC_Band,E45,RC_CostPS,"&gt;0")=0,"",SUMIFS(RC_CostPS,RC_Lane,B45,RC_Band,E45)*(1-SUMIFS(RC_Disc,RC_Lane,B45,RC_Band,E45))),IF(U45="Other","",IF(INDEX(RS_Rate,MATCH(B45,RS_Lane,0))="","",INDEX(RS_Rate,MATCH(B45,RS_Lane,0))))))</f>
        <v/>
      </c>
    </row>
    <row r="46">
      <c r="A46" s="95" t="inlineStr">
        <is>
          <t>B-042</t>
        </is>
      </c>
      <c r="B46" s="112" t="inlineStr">
        <is>
          <t>L01</t>
        </is>
      </c>
      <c r="C46" s="101" t="inlineStr">
        <is>
          <t>Saudi Arabia</t>
        </is>
      </c>
      <c r="D46" s="101" t="inlineStr">
        <is>
          <t>Jeddah</t>
        </is>
      </c>
      <c r="E46" s="101" t="inlineStr">
        <is>
          <t>B3  100 to 500 kg</t>
        </is>
      </c>
      <c r="F46" s="123" t="n">
        <v>270.2</v>
      </c>
      <c r="G46" s="86">
        <f>F46*0.006477</f>
        <v/>
      </c>
      <c r="H46" s="123">
        <f>F46*1.079436</f>
        <v/>
      </c>
      <c r="I46" s="122">
        <f>MAX(1,ROUNDUP(G46/0.096,0))</f>
        <v/>
      </c>
      <c r="J46" s="84" t="n">
        <v>46435</v>
      </c>
      <c r="K46" s="87">
        <f>J46-WEEKDAY(J46,2)+1</f>
        <v/>
      </c>
      <c r="L46" s="84">
        <f>J46</f>
        <v/>
      </c>
      <c r="M46" s="52">
        <f>INDEX(LR_Target,MATCH(B46,LR_Lane,0))</f>
        <v/>
      </c>
      <c r="N46" s="84">
        <f>WORKDAY.INTL(L46,M46,INDEX(LR_Code,MATCH(B46,LR_Lane,0)),INDEX(DH_Table,0,MATCH(B46&amp;"*",DH_Head,0)))</f>
        <v/>
      </c>
      <c r="O46" s="65">
        <f>IF(W46&lt;&gt;"",W46,IF(U46="Helmond",IF(COUNTIFS(RC_Lane,B46,RC_Band,E46,RC_Transit,"&lt;&gt;")=0,"",SUMIFS(RC_Transit,RC_Lane,B46,RC_Band,E46)),IF(U46="Other","",IF(INDEX(RS_Transit,MATCH(B46,RS_Lane,0))="","",INDEX(RS_Transit,MATCH(B46,RS_Lane,0))))))</f>
        <v/>
      </c>
      <c r="P46" s="140" t="n"/>
      <c r="Q46" s="84">
        <f>IF(P46&lt;&gt;"",P46,IF(O46="","",WORKDAY.INTL(L46,ROUNDUP(O46,0),INDEX(LR_Code,MATCH(B46,LR_Lane,0)),INDEX(DH_Table,0,MATCH(B46&amp;"*",DH_Head,0)))))</f>
        <v/>
      </c>
      <c r="R46" s="100">
        <f>IF(Q46="","",IF(Q46&lt;=N46,"Yes","No"))</f>
        <v/>
      </c>
      <c r="S46" s="52">
        <f>IF(Q46="","",IF(Q46&lt;=N46,0,NETWORKDAYS.INTL(N46,Q46,INDEX(LR_Code,MATCH(B46,LR_Lane,0)),INDEX(DH_Table,0,MATCH(B46&amp;"*",DH_Head,0)))-1))</f>
        <v/>
      </c>
      <c r="T46" s="127" t="n"/>
      <c r="U46" s="112">
        <f>IF(V46&lt;&gt;"",V46,IF(IFERROR(INDEX(RS_Flag,MATCH(B46,RS_Lane,0)),"")="Yes",IF(IFERROR(INDEX(RS_Loc,MATCH(B46,RS_Lane,0)),"")="","Regional stock",IFERROR(INDEX(RS_Loc,MATCH(B46,RS_Lane,0)),"")),"Helmond"))</f>
        <v/>
      </c>
      <c r="V46" s="141" t="n"/>
      <c r="W46" s="142" t="n"/>
      <c r="X46" s="143" t="n"/>
      <c r="Y46" s="116">
        <f>IF(X46&lt;&gt;"",X46,IF(U46="Helmond",IF(COUNTIFS(RC_Lane,B46,RC_Band,E46,RC_CostPS,"&gt;0")=0,"",SUMIFS(RC_CostPS,RC_Lane,B46,RC_Band,E46)*(1-SUMIFS(RC_Disc,RC_Lane,B46,RC_Band,E46))),IF(U46="Other","",IF(INDEX(RS_Rate,MATCH(B46,RS_Lane,0))="","",INDEX(RS_Rate,MATCH(B46,RS_Lane,0))))))</f>
        <v/>
      </c>
    </row>
    <row r="47">
      <c r="A47" s="95" t="inlineStr">
        <is>
          <t>B-043</t>
        </is>
      </c>
      <c r="B47" s="112" t="inlineStr">
        <is>
          <t>L01</t>
        </is>
      </c>
      <c r="C47" s="101" t="inlineStr">
        <is>
          <t>Saudi Arabia</t>
        </is>
      </c>
      <c r="D47" s="101" t="inlineStr">
        <is>
          <t>Riyadh</t>
        </is>
      </c>
      <c r="E47" s="101" t="inlineStr">
        <is>
          <t>B2  30 to 100 kg</t>
        </is>
      </c>
      <c r="F47" s="123" t="n">
        <v>37.8</v>
      </c>
      <c r="G47" s="86">
        <f>F47*0.006477</f>
        <v/>
      </c>
      <c r="H47" s="123">
        <f>F47*1.079436</f>
        <v/>
      </c>
      <c r="I47" s="122">
        <f>MAX(1,ROUNDUP(G47/0.096,0))</f>
        <v/>
      </c>
      <c r="J47" s="84" t="n">
        <v>46435</v>
      </c>
      <c r="K47" s="87">
        <f>J47-WEEKDAY(J47,2)+1</f>
        <v/>
      </c>
      <c r="L47" s="84">
        <f>J47</f>
        <v/>
      </c>
      <c r="M47" s="52">
        <f>INDEX(LR_Target,MATCH(B47,LR_Lane,0))</f>
        <v/>
      </c>
      <c r="N47" s="84">
        <f>WORKDAY.INTL(L47,M47,INDEX(LR_Code,MATCH(B47,LR_Lane,0)),INDEX(DH_Table,0,MATCH(B47&amp;"*",DH_Head,0)))</f>
        <v/>
      </c>
      <c r="O47" s="65">
        <f>IF(W47&lt;&gt;"",W47,IF(U47="Helmond",IF(COUNTIFS(RC_Lane,B47,RC_Band,E47,RC_Transit,"&lt;&gt;")=0,"",SUMIFS(RC_Transit,RC_Lane,B47,RC_Band,E47)),IF(U47="Other","",IF(INDEX(RS_Transit,MATCH(B47,RS_Lane,0))="","",INDEX(RS_Transit,MATCH(B47,RS_Lane,0))))))</f>
        <v/>
      </c>
      <c r="P47" s="140" t="n"/>
      <c r="Q47" s="84">
        <f>IF(P47&lt;&gt;"",P47,IF(O47="","",WORKDAY.INTL(L47,ROUNDUP(O47,0),INDEX(LR_Code,MATCH(B47,LR_Lane,0)),INDEX(DH_Table,0,MATCH(B47&amp;"*",DH_Head,0)))))</f>
        <v/>
      </c>
      <c r="R47" s="100">
        <f>IF(Q47="","",IF(Q47&lt;=N47,"Yes","No"))</f>
        <v/>
      </c>
      <c r="S47" s="52">
        <f>IF(Q47="","",IF(Q47&lt;=N47,0,NETWORKDAYS.INTL(N47,Q47,INDEX(LR_Code,MATCH(B47,LR_Lane,0)),INDEX(DH_Table,0,MATCH(B47&amp;"*",DH_Head,0)))-1))</f>
        <v/>
      </c>
      <c r="T47" s="127" t="n"/>
      <c r="U47" s="112">
        <f>IF(V47&lt;&gt;"",V47,IF(IFERROR(INDEX(RS_Flag,MATCH(B47,RS_Lane,0)),"")="Yes",IF(IFERROR(INDEX(RS_Loc,MATCH(B47,RS_Lane,0)),"")="","Regional stock",IFERROR(INDEX(RS_Loc,MATCH(B47,RS_Lane,0)),"")),"Helmond"))</f>
        <v/>
      </c>
      <c r="V47" s="141" t="n"/>
      <c r="W47" s="142" t="n"/>
      <c r="X47" s="143" t="n"/>
      <c r="Y47" s="116">
        <f>IF(X47&lt;&gt;"",X47,IF(U47="Helmond",IF(COUNTIFS(RC_Lane,B47,RC_Band,E47,RC_CostPS,"&gt;0")=0,"",SUMIFS(RC_CostPS,RC_Lane,B47,RC_Band,E47)*(1-SUMIFS(RC_Disc,RC_Lane,B47,RC_Band,E47))),IF(U47="Other","",IF(INDEX(RS_Rate,MATCH(B47,RS_Lane,0))="","",INDEX(RS_Rate,MATCH(B47,RS_Lane,0))))))</f>
        <v/>
      </c>
    </row>
    <row r="48">
      <c r="A48" s="95" t="inlineStr">
        <is>
          <t>B-044</t>
        </is>
      </c>
      <c r="B48" s="112" t="inlineStr">
        <is>
          <t>L02</t>
        </is>
      </c>
      <c r="C48" s="101" t="inlineStr">
        <is>
          <t>United Arab Emirates</t>
        </is>
      </c>
      <c r="D48" s="101" t="inlineStr">
        <is>
          <t>Dubai</t>
        </is>
      </c>
      <c r="E48" s="101" t="inlineStr">
        <is>
          <t>B1  0 to 30 kg</t>
        </is>
      </c>
      <c r="F48" s="123" t="n">
        <v>5.7</v>
      </c>
      <c r="G48" s="86">
        <f>F48*0.006477</f>
        <v/>
      </c>
      <c r="H48" s="123">
        <f>F48*1.079436</f>
        <v/>
      </c>
      <c r="I48" s="122">
        <f>MAX(1,ROUNDUP(G48/0.096,0))</f>
        <v/>
      </c>
      <c r="J48" s="84" t="n">
        <v>46435</v>
      </c>
      <c r="K48" s="87">
        <f>J48-WEEKDAY(J48,2)+1</f>
        <v/>
      </c>
      <c r="L48" s="84">
        <f>J48</f>
        <v/>
      </c>
      <c r="M48" s="52">
        <f>INDEX(LR_Target,MATCH(B48,LR_Lane,0))</f>
        <v/>
      </c>
      <c r="N48" s="84">
        <f>WORKDAY.INTL(L48,M48,INDEX(LR_Code,MATCH(B48,LR_Lane,0)),INDEX(DH_Table,0,MATCH(B48&amp;"*",DH_Head,0)))</f>
        <v/>
      </c>
      <c r="O48" s="65">
        <f>IF(W48&lt;&gt;"",W48,IF(U48="Helmond",IF(COUNTIFS(RC_Lane,B48,RC_Band,E48,RC_Transit,"&lt;&gt;")=0,"",SUMIFS(RC_Transit,RC_Lane,B48,RC_Band,E48)),IF(U48="Other","",IF(INDEX(RS_Transit,MATCH(B48,RS_Lane,0))="","",INDEX(RS_Transit,MATCH(B48,RS_Lane,0))))))</f>
        <v/>
      </c>
      <c r="P48" s="140" t="n"/>
      <c r="Q48" s="84">
        <f>IF(P48&lt;&gt;"",P48,IF(O48="","",WORKDAY.INTL(L48,ROUNDUP(O48,0),INDEX(LR_Code,MATCH(B48,LR_Lane,0)),INDEX(DH_Table,0,MATCH(B48&amp;"*",DH_Head,0)))))</f>
        <v/>
      </c>
      <c r="R48" s="100">
        <f>IF(Q48="","",IF(Q48&lt;=N48,"Yes","No"))</f>
        <v/>
      </c>
      <c r="S48" s="52">
        <f>IF(Q48="","",IF(Q48&lt;=N48,0,NETWORKDAYS.INTL(N48,Q48,INDEX(LR_Code,MATCH(B48,LR_Lane,0)),INDEX(DH_Table,0,MATCH(B48&amp;"*",DH_Head,0)))-1))</f>
        <v/>
      </c>
      <c r="T48" s="127" t="n"/>
      <c r="U48" s="112">
        <f>IF(V48&lt;&gt;"",V48,IF(IFERROR(INDEX(RS_Flag,MATCH(B48,RS_Lane,0)),"")="Yes",IF(IFERROR(INDEX(RS_Loc,MATCH(B48,RS_Lane,0)),"")="","Regional stock",IFERROR(INDEX(RS_Loc,MATCH(B48,RS_Lane,0)),"")),"Helmond"))</f>
        <v/>
      </c>
      <c r="V48" s="141" t="n"/>
      <c r="W48" s="142" t="n"/>
      <c r="X48" s="143" t="n"/>
      <c r="Y48" s="116">
        <f>IF(X48&lt;&gt;"",X48,IF(U48="Helmond",IF(COUNTIFS(RC_Lane,B48,RC_Band,E48,RC_CostPS,"&gt;0")=0,"",SUMIFS(RC_CostPS,RC_Lane,B48,RC_Band,E48)*(1-SUMIFS(RC_Disc,RC_Lane,B48,RC_Band,E48))),IF(U48="Other","",IF(INDEX(RS_Rate,MATCH(B48,RS_Lane,0))="","",INDEX(RS_Rate,MATCH(B48,RS_Lane,0))))))</f>
        <v/>
      </c>
    </row>
    <row r="49">
      <c r="A49" s="95" t="inlineStr">
        <is>
          <t>B-045</t>
        </is>
      </c>
      <c r="B49" s="112" t="inlineStr">
        <is>
          <t>L03</t>
        </is>
      </c>
      <c r="C49" s="101" t="inlineStr">
        <is>
          <t>Kuwait</t>
        </is>
      </c>
      <c r="D49" s="101" t="inlineStr">
        <is>
          <t>Kuwait City</t>
        </is>
      </c>
      <c r="E49" s="101" t="inlineStr">
        <is>
          <t>B3  100 to 500 kg</t>
        </is>
      </c>
      <c r="F49" s="123" t="n">
        <v>391</v>
      </c>
      <c r="G49" s="86">
        <f>F49*0.006477</f>
        <v/>
      </c>
      <c r="H49" s="123">
        <f>F49*1.079436</f>
        <v/>
      </c>
      <c r="I49" s="122">
        <f>MAX(1,ROUNDUP(G49/0.096,0))</f>
        <v/>
      </c>
      <c r="J49" s="84" t="n">
        <v>46435</v>
      </c>
      <c r="K49" s="87">
        <f>J49-WEEKDAY(J49,2)+1</f>
        <v/>
      </c>
      <c r="L49" s="84">
        <f>J49</f>
        <v/>
      </c>
      <c r="M49" s="52">
        <f>INDEX(LR_Target,MATCH(B49,LR_Lane,0))</f>
        <v/>
      </c>
      <c r="N49" s="84">
        <f>WORKDAY.INTL(L49,M49,INDEX(LR_Code,MATCH(B49,LR_Lane,0)),INDEX(DH_Table,0,MATCH(B49&amp;"*",DH_Head,0)))</f>
        <v/>
      </c>
      <c r="O49" s="65">
        <f>IF(W49&lt;&gt;"",W49,IF(U49="Helmond",IF(COUNTIFS(RC_Lane,B49,RC_Band,E49,RC_Transit,"&lt;&gt;")=0,"",SUMIFS(RC_Transit,RC_Lane,B49,RC_Band,E49)),IF(U49="Other","",IF(INDEX(RS_Transit,MATCH(B49,RS_Lane,0))="","",INDEX(RS_Transit,MATCH(B49,RS_Lane,0))))))</f>
        <v/>
      </c>
      <c r="P49" s="140" t="n"/>
      <c r="Q49" s="84">
        <f>IF(P49&lt;&gt;"",P49,IF(O49="","",WORKDAY.INTL(L49,ROUNDUP(O49,0),INDEX(LR_Code,MATCH(B49,LR_Lane,0)),INDEX(DH_Table,0,MATCH(B49&amp;"*",DH_Head,0)))))</f>
        <v/>
      </c>
      <c r="R49" s="100">
        <f>IF(Q49="","",IF(Q49&lt;=N49,"Yes","No"))</f>
        <v/>
      </c>
      <c r="S49" s="52">
        <f>IF(Q49="","",IF(Q49&lt;=N49,0,NETWORKDAYS.INTL(N49,Q49,INDEX(LR_Code,MATCH(B49,LR_Lane,0)),INDEX(DH_Table,0,MATCH(B49&amp;"*",DH_Head,0)))-1))</f>
        <v/>
      </c>
      <c r="T49" s="127" t="n"/>
      <c r="U49" s="112">
        <f>IF(V49&lt;&gt;"",V49,IF(IFERROR(INDEX(RS_Flag,MATCH(B49,RS_Lane,0)),"")="Yes",IF(IFERROR(INDEX(RS_Loc,MATCH(B49,RS_Lane,0)),"")="","Regional stock",IFERROR(INDEX(RS_Loc,MATCH(B49,RS_Lane,0)),"")),"Helmond"))</f>
        <v/>
      </c>
      <c r="V49" s="141" t="n"/>
      <c r="W49" s="142" t="n"/>
      <c r="X49" s="143" t="n"/>
      <c r="Y49" s="116">
        <f>IF(X49&lt;&gt;"",X49,IF(U49="Helmond",IF(COUNTIFS(RC_Lane,B49,RC_Band,E49,RC_CostPS,"&gt;0")=0,"",SUMIFS(RC_CostPS,RC_Lane,B49,RC_Band,E49)*(1-SUMIFS(RC_Disc,RC_Lane,B49,RC_Band,E49))),IF(U49="Other","",IF(INDEX(RS_Rate,MATCH(B49,RS_Lane,0))="","",INDEX(RS_Rate,MATCH(B49,RS_Lane,0))))))</f>
        <v/>
      </c>
    </row>
    <row r="50">
      <c r="A50" s="95" t="inlineStr">
        <is>
          <t>B-046</t>
        </is>
      </c>
      <c r="B50" s="112" t="inlineStr">
        <is>
          <t>L04</t>
        </is>
      </c>
      <c r="C50" s="101" t="inlineStr">
        <is>
          <t>Qatar</t>
        </is>
      </c>
      <c r="D50" s="101" t="inlineStr">
        <is>
          <t>Doha</t>
        </is>
      </c>
      <c r="E50" s="101" t="inlineStr">
        <is>
          <t>B2  30 to 100 kg</t>
        </is>
      </c>
      <c r="F50" s="123" t="n">
        <v>49.1</v>
      </c>
      <c r="G50" s="86">
        <f>F50*0.006477</f>
        <v/>
      </c>
      <c r="H50" s="123">
        <f>F50*1.079436</f>
        <v/>
      </c>
      <c r="I50" s="122">
        <f>MAX(1,ROUNDUP(G50/0.096,0))</f>
        <v/>
      </c>
      <c r="J50" s="84" t="n">
        <v>46435</v>
      </c>
      <c r="K50" s="87">
        <f>J50-WEEKDAY(J50,2)+1</f>
        <v/>
      </c>
      <c r="L50" s="84">
        <f>J50</f>
        <v/>
      </c>
      <c r="M50" s="52">
        <f>INDEX(LR_Target,MATCH(B50,LR_Lane,0))</f>
        <v/>
      </c>
      <c r="N50" s="84">
        <f>WORKDAY.INTL(L50,M50,INDEX(LR_Code,MATCH(B50,LR_Lane,0)),INDEX(DH_Table,0,MATCH(B50&amp;"*",DH_Head,0)))</f>
        <v/>
      </c>
      <c r="O50" s="65">
        <f>IF(W50&lt;&gt;"",W50,IF(U50="Helmond",IF(COUNTIFS(RC_Lane,B50,RC_Band,E50,RC_Transit,"&lt;&gt;")=0,"",SUMIFS(RC_Transit,RC_Lane,B50,RC_Band,E50)),IF(U50="Other","",IF(INDEX(RS_Transit,MATCH(B50,RS_Lane,0))="","",INDEX(RS_Transit,MATCH(B50,RS_Lane,0))))))</f>
        <v/>
      </c>
      <c r="P50" s="140" t="n"/>
      <c r="Q50" s="84">
        <f>IF(P50&lt;&gt;"",P50,IF(O50="","",WORKDAY.INTL(L50,ROUNDUP(O50,0),INDEX(LR_Code,MATCH(B50,LR_Lane,0)),INDEX(DH_Table,0,MATCH(B50&amp;"*",DH_Head,0)))))</f>
        <v/>
      </c>
      <c r="R50" s="100">
        <f>IF(Q50="","",IF(Q50&lt;=N50,"Yes","No"))</f>
        <v/>
      </c>
      <c r="S50" s="52">
        <f>IF(Q50="","",IF(Q50&lt;=N50,0,NETWORKDAYS.INTL(N50,Q50,INDEX(LR_Code,MATCH(B50,LR_Lane,0)),INDEX(DH_Table,0,MATCH(B50&amp;"*",DH_Head,0)))-1))</f>
        <v/>
      </c>
      <c r="T50" s="127" t="n"/>
      <c r="U50" s="112">
        <f>IF(V50&lt;&gt;"",V50,IF(IFERROR(INDEX(RS_Flag,MATCH(B50,RS_Lane,0)),"")="Yes",IF(IFERROR(INDEX(RS_Loc,MATCH(B50,RS_Lane,0)),"")="","Regional stock",IFERROR(INDEX(RS_Loc,MATCH(B50,RS_Lane,0)),"")),"Helmond"))</f>
        <v/>
      </c>
      <c r="V50" s="141" t="n"/>
      <c r="W50" s="142" t="n"/>
      <c r="X50" s="143" t="n"/>
      <c r="Y50" s="116">
        <f>IF(X50&lt;&gt;"",X50,IF(U50="Helmond",IF(COUNTIFS(RC_Lane,B50,RC_Band,E50,RC_CostPS,"&gt;0")=0,"",SUMIFS(RC_CostPS,RC_Lane,B50,RC_Band,E50)*(1-SUMIFS(RC_Disc,RC_Lane,B50,RC_Band,E50))),IF(U50="Other","",IF(INDEX(RS_Rate,MATCH(B50,RS_Lane,0))="","",INDEX(RS_Rate,MATCH(B50,RS_Lane,0))))))</f>
        <v/>
      </c>
    </row>
    <row r="51">
      <c r="A51" s="95" t="inlineStr">
        <is>
          <t>B-047</t>
        </is>
      </c>
      <c r="B51" s="112" t="inlineStr">
        <is>
          <t>L01</t>
        </is>
      </c>
      <c r="C51" s="101" t="inlineStr">
        <is>
          <t>Saudi Arabia</t>
        </is>
      </c>
      <c r="D51" s="101" t="inlineStr">
        <is>
          <t>Riyadh</t>
        </is>
      </c>
      <c r="E51" s="101" t="inlineStr">
        <is>
          <t>B2  30 to 100 kg</t>
        </is>
      </c>
      <c r="F51" s="123" t="n">
        <v>65.90000000000001</v>
      </c>
      <c r="G51" s="86">
        <f>F51*0.006477</f>
        <v/>
      </c>
      <c r="H51" s="123">
        <f>F51*1.079436</f>
        <v/>
      </c>
      <c r="I51" s="122">
        <f>MAX(1,ROUNDUP(G51/0.096,0))</f>
        <v/>
      </c>
      <c r="J51" s="84" t="n">
        <v>46436</v>
      </c>
      <c r="K51" s="87">
        <f>J51-WEEKDAY(J51,2)+1</f>
        <v/>
      </c>
      <c r="L51" s="84">
        <f>J51</f>
        <v/>
      </c>
      <c r="M51" s="52">
        <f>INDEX(LR_Target,MATCH(B51,LR_Lane,0))</f>
        <v/>
      </c>
      <c r="N51" s="84">
        <f>WORKDAY.INTL(L51,M51,INDEX(LR_Code,MATCH(B51,LR_Lane,0)),INDEX(DH_Table,0,MATCH(B51&amp;"*",DH_Head,0)))</f>
        <v/>
      </c>
      <c r="O51" s="65">
        <f>IF(W51&lt;&gt;"",W51,IF(U51="Helmond",IF(COUNTIFS(RC_Lane,B51,RC_Band,E51,RC_Transit,"&lt;&gt;")=0,"",SUMIFS(RC_Transit,RC_Lane,B51,RC_Band,E51)),IF(U51="Other","",IF(INDEX(RS_Transit,MATCH(B51,RS_Lane,0))="","",INDEX(RS_Transit,MATCH(B51,RS_Lane,0))))))</f>
        <v/>
      </c>
      <c r="P51" s="140" t="n"/>
      <c r="Q51" s="84">
        <f>IF(P51&lt;&gt;"",P51,IF(O51="","",WORKDAY.INTL(L51,ROUNDUP(O51,0),INDEX(LR_Code,MATCH(B51,LR_Lane,0)),INDEX(DH_Table,0,MATCH(B51&amp;"*",DH_Head,0)))))</f>
        <v/>
      </c>
      <c r="R51" s="100">
        <f>IF(Q51="","",IF(Q51&lt;=N51,"Yes","No"))</f>
        <v/>
      </c>
      <c r="S51" s="52">
        <f>IF(Q51="","",IF(Q51&lt;=N51,0,NETWORKDAYS.INTL(N51,Q51,INDEX(LR_Code,MATCH(B51,LR_Lane,0)),INDEX(DH_Table,0,MATCH(B51&amp;"*",DH_Head,0)))-1))</f>
        <v/>
      </c>
      <c r="T51" s="127" t="n"/>
      <c r="U51" s="112">
        <f>IF(V51&lt;&gt;"",V51,IF(IFERROR(INDEX(RS_Flag,MATCH(B51,RS_Lane,0)),"")="Yes",IF(IFERROR(INDEX(RS_Loc,MATCH(B51,RS_Lane,0)),"")="","Regional stock",IFERROR(INDEX(RS_Loc,MATCH(B51,RS_Lane,0)),"")),"Helmond"))</f>
        <v/>
      </c>
      <c r="V51" s="141" t="n"/>
      <c r="W51" s="142" t="n"/>
      <c r="X51" s="143" t="n"/>
      <c r="Y51" s="116">
        <f>IF(X51&lt;&gt;"",X51,IF(U51="Helmond",IF(COUNTIFS(RC_Lane,B51,RC_Band,E51,RC_CostPS,"&gt;0")=0,"",SUMIFS(RC_CostPS,RC_Lane,B51,RC_Band,E51)*(1-SUMIFS(RC_Disc,RC_Lane,B51,RC_Band,E51))),IF(U51="Other","",IF(INDEX(RS_Rate,MATCH(B51,RS_Lane,0))="","",INDEX(RS_Rate,MATCH(B51,RS_Lane,0))))))</f>
        <v/>
      </c>
    </row>
    <row r="52">
      <c r="A52" s="95" t="inlineStr">
        <is>
          <t>B-048</t>
        </is>
      </c>
      <c r="B52" s="112" t="inlineStr">
        <is>
          <t>L01</t>
        </is>
      </c>
      <c r="C52" s="101" t="inlineStr">
        <is>
          <t>Saudi Arabia</t>
        </is>
      </c>
      <c r="D52" s="101" t="inlineStr">
        <is>
          <t>Jeddah</t>
        </is>
      </c>
      <c r="E52" s="101" t="inlineStr">
        <is>
          <t>B1  0 to 30 kg</t>
        </is>
      </c>
      <c r="F52" s="123" t="n">
        <v>3.3</v>
      </c>
      <c r="G52" s="86">
        <f>F52*0.006477</f>
        <v/>
      </c>
      <c r="H52" s="123">
        <f>F52*1.079436</f>
        <v/>
      </c>
      <c r="I52" s="122">
        <f>MAX(1,ROUNDUP(G52/0.096,0))</f>
        <v/>
      </c>
      <c r="J52" s="84" t="n">
        <v>46436</v>
      </c>
      <c r="K52" s="87">
        <f>J52-WEEKDAY(J52,2)+1</f>
        <v/>
      </c>
      <c r="L52" s="84">
        <f>J52</f>
        <v/>
      </c>
      <c r="M52" s="52">
        <f>INDEX(LR_Target,MATCH(B52,LR_Lane,0))</f>
        <v/>
      </c>
      <c r="N52" s="84">
        <f>WORKDAY.INTL(L52,M52,INDEX(LR_Code,MATCH(B52,LR_Lane,0)),INDEX(DH_Table,0,MATCH(B52&amp;"*",DH_Head,0)))</f>
        <v/>
      </c>
      <c r="O52" s="65">
        <f>IF(W52&lt;&gt;"",W52,IF(U52="Helmond",IF(COUNTIFS(RC_Lane,B52,RC_Band,E52,RC_Transit,"&lt;&gt;")=0,"",SUMIFS(RC_Transit,RC_Lane,B52,RC_Band,E52)),IF(U52="Other","",IF(INDEX(RS_Transit,MATCH(B52,RS_Lane,0))="","",INDEX(RS_Transit,MATCH(B52,RS_Lane,0))))))</f>
        <v/>
      </c>
      <c r="P52" s="140" t="n"/>
      <c r="Q52" s="84">
        <f>IF(P52&lt;&gt;"",P52,IF(O52="","",WORKDAY.INTL(L52,ROUNDUP(O52,0),INDEX(LR_Code,MATCH(B52,LR_Lane,0)),INDEX(DH_Table,0,MATCH(B52&amp;"*",DH_Head,0)))))</f>
        <v/>
      </c>
      <c r="R52" s="100">
        <f>IF(Q52="","",IF(Q52&lt;=N52,"Yes","No"))</f>
        <v/>
      </c>
      <c r="S52" s="52">
        <f>IF(Q52="","",IF(Q52&lt;=N52,0,NETWORKDAYS.INTL(N52,Q52,INDEX(LR_Code,MATCH(B52,LR_Lane,0)),INDEX(DH_Table,0,MATCH(B52&amp;"*",DH_Head,0)))-1))</f>
        <v/>
      </c>
      <c r="T52" s="127" t="n"/>
      <c r="U52" s="112">
        <f>IF(V52&lt;&gt;"",V52,IF(IFERROR(INDEX(RS_Flag,MATCH(B52,RS_Lane,0)),"")="Yes",IF(IFERROR(INDEX(RS_Loc,MATCH(B52,RS_Lane,0)),"")="","Regional stock",IFERROR(INDEX(RS_Loc,MATCH(B52,RS_Lane,0)),"")),"Helmond"))</f>
        <v/>
      </c>
      <c r="V52" s="141" t="n"/>
      <c r="W52" s="142" t="n"/>
      <c r="X52" s="143" t="n"/>
      <c r="Y52" s="116">
        <f>IF(X52&lt;&gt;"",X52,IF(U52="Helmond",IF(COUNTIFS(RC_Lane,B52,RC_Band,E52,RC_CostPS,"&gt;0")=0,"",SUMIFS(RC_CostPS,RC_Lane,B52,RC_Band,E52)*(1-SUMIFS(RC_Disc,RC_Lane,B52,RC_Band,E52))),IF(U52="Other","",IF(INDEX(RS_Rate,MATCH(B52,RS_Lane,0))="","",INDEX(RS_Rate,MATCH(B52,RS_Lane,0))))))</f>
        <v/>
      </c>
    </row>
    <row r="53">
      <c r="A53" s="95" t="inlineStr">
        <is>
          <t>B-049</t>
        </is>
      </c>
      <c r="B53" s="112" t="inlineStr">
        <is>
          <t>L05</t>
        </is>
      </c>
      <c r="C53" s="101" t="inlineStr">
        <is>
          <t>Türkiye</t>
        </is>
      </c>
      <c r="D53" s="101" t="inlineStr">
        <is>
          <t>Istanbul</t>
        </is>
      </c>
      <c r="E53" s="101" t="inlineStr">
        <is>
          <t>B3  100 to 500 kg</t>
        </is>
      </c>
      <c r="F53" s="123" t="n">
        <v>346.9</v>
      </c>
      <c r="G53" s="86">
        <f>F53*0.006477</f>
        <v/>
      </c>
      <c r="H53" s="123">
        <f>F53*1.079436</f>
        <v/>
      </c>
      <c r="I53" s="122">
        <f>MAX(1,ROUNDUP(G53/0.096,0))</f>
        <v/>
      </c>
      <c r="J53" s="84" t="n">
        <v>46437</v>
      </c>
      <c r="K53" s="87">
        <f>J53-WEEKDAY(J53,2)+1</f>
        <v/>
      </c>
      <c r="L53" s="84">
        <f>J53</f>
        <v/>
      </c>
      <c r="M53" s="52">
        <f>INDEX(LR_Target,MATCH(B53,LR_Lane,0))</f>
        <v/>
      </c>
      <c r="N53" s="84">
        <f>WORKDAY.INTL(L53,M53,INDEX(LR_Code,MATCH(B53,LR_Lane,0)),INDEX(DH_Table,0,MATCH(B53&amp;"*",DH_Head,0)))</f>
        <v/>
      </c>
      <c r="O53" s="65">
        <f>IF(W53&lt;&gt;"",W53,IF(U53="Helmond",IF(COUNTIFS(RC_Lane,B53,RC_Band,E53,RC_Transit,"&lt;&gt;")=0,"",SUMIFS(RC_Transit,RC_Lane,B53,RC_Band,E53)),IF(U53="Other","",IF(INDEX(RS_Transit,MATCH(B53,RS_Lane,0))="","",INDEX(RS_Transit,MATCH(B53,RS_Lane,0))))))</f>
        <v/>
      </c>
      <c r="P53" s="140" t="n"/>
      <c r="Q53" s="84">
        <f>IF(P53&lt;&gt;"",P53,IF(O53="","",WORKDAY.INTL(L53,ROUNDUP(O53,0),INDEX(LR_Code,MATCH(B53,LR_Lane,0)),INDEX(DH_Table,0,MATCH(B53&amp;"*",DH_Head,0)))))</f>
        <v/>
      </c>
      <c r="R53" s="100">
        <f>IF(Q53="","",IF(Q53&lt;=N53,"Yes","No"))</f>
        <v/>
      </c>
      <c r="S53" s="52">
        <f>IF(Q53="","",IF(Q53&lt;=N53,0,NETWORKDAYS.INTL(N53,Q53,INDEX(LR_Code,MATCH(B53,LR_Lane,0)),INDEX(DH_Table,0,MATCH(B53&amp;"*",DH_Head,0)))-1))</f>
        <v/>
      </c>
      <c r="T53" s="127" t="n"/>
      <c r="U53" s="112">
        <f>IF(V53&lt;&gt;"",V53,IF(IFERROR(INDEX(RS_Flag,MATCH(B53,RS_Lane,0)),"")="Yes",IF(IFERROR(INDEX(RS_Loc,MATCH(B53,RS_Lane,0)),"")="","Regional stock",IFERROR(INDEX(RS_Loc,MATCH(B53,RS_Lane,0)),"")),"Helmond"))</f>
        <v/>
      </c>
      <c r="V53" s="141" t="n"/>
      <c r="W53" s="142" t="n"/>
      <c r="X53" s="143" t="n"/>
      <c r="Y53" s="116">
        <f>IF(X53&lt;&gt;"",X53,IF(U53="Helmond",IF(COUNTIFS(RC_Lane,B53,RC_Band,E53,RC_CostPS,"&gt;0")=0,"",SUMIFS(RC_CostPS,RC_Lane,B53,RC_Band,E53)*(1-SUMIFS(RC_Disc,RC_Lane,B53,RC_Band,E53))),IF(U53="Other","",IF(INDEX(RS_Rate,MATCH(B53,RS_Lane,0))="","",INDEX(RS_Rate,MATCH(B53,RS_Lane,0))))))</f>
        <v/>
      </c>
    </row>
    <row r="54">
      <c r="A54" s="95" t="inlineStr">
        <is>
          <t>B-050</t>
        </is>
      </c>
      <c r="B54" s="112" t="inlineStr">
        <is>
          <t>L01</t>
        </is>
      </c>
      <c r="C54" s="101" t="inlineStr">
        <is>
          <t>Saudi Arabia</t>
        </is>
      </c>
      <c r="D54" s="101" t="inlineStr">
        <is>
          <t>Jeddah</t>
        </is>
      </c>
      <c r="E54" s="101" t="inlineStr">
        <is>
          <t>B3  100 to 500 kg</t>
        </is>
      </c>
      <c r="F54" s="123" t="n">
        <v>268.7</v>
      </c>
      <c r="G54" s="86">
        <f>F54*0.006477</f>
        <v/>
      </c>
      <c r="H54" s="123">
        <f>F54*1.079436</f>
        <v/>
      </c>
      <c r="I54" s="122">
        <f>MAX(1,ROUNDUP(G54/0.096,0))</f>
        <v/>
      </c>
      <c r="J54" s="84" t="n">
        <v>46440</v>
      </c>
      <c r="K54" s="87">
        <f>J54-WEEKDAY(J54,2)+1</f>
        <v/>
      </c>
      <c r="L54" s="84">
        <f>J54</f>
        <v/>
      </c>
      <c r="M54" s="52">
        <f>INDEX(LR_Target,MATCH(B54,LR_Lane,0))</f>
        <v/>
      </c>
      <c r="N54" s="84">
        <f>WORKDAY.INTL(L54,M54,INDEX(LR_Code,MATCH(B54,LR_Lane,0)),INDEX(DH_Table,0,MATCH(B54&amp;"*",DH_Head,0)))</f>
        <v/>
      </c>
      <c r="O54" s="65">
        <f>IF(W54&lt;&gt;"",W54,IF(U54="Helmond",IF(COUNTIFS(RC_Lane,B54,RC_Band,E54,RC_Transit,"&lt;&gt;")=0,"",SUMIFS(RC_Transit,RC_Lane,B54,RC_Band,E54)),IF(U54="Other","",IF(INDEX(RS_Transit,MATCH(B54,RS_Lane,0))="","",INDEX(RS_Transit,MATCH(B54,RS_Lane,0))))))</f>
        <v/>
      </c>
      <c r="P54" s="140" t="n"/>
      <c r="Q54" s="84">
        <f>IF(P54&lt;&gt;"",P54,IF(O54="","",WORKDAY.INTL(L54,ROUNDUP(O54,0),INDEX(LR_Code,MATCH(B54,LR_Lane,0)),INDEX(DH_Table,0,MATCH(B54&amp;"*",DH_Head,0)))))</f>
        <v/>
      </c>
      <c r="R54" s="100">
        <f>IF(Q54="","",IF(Q54&lt;=N54,"Yes","No"))</f>
        <v/>
      </c>
      <c r="S54" s="52">
        <f>IF(Q54="","",IF(Q54&lt;=N54,0,NETWORKDAYS.INTL(N54,Q54,INDEX(LR_Code,MATCH(B54,LR_Lane,0)),INDEX(DH_Table,0,MATCH(B54&amp;"*",DH_Head,0)))-1))</f>
        <v/>
      </c>
      <c r="T54" s="127" t="n"/>
      <c r="U54" s="112">
        <f>IF(V54&lt;&gt;"",V54,IF(IFERROR(INDEX(RS_Flag,MATCH(B54,RS_Lane,0)),"")="Yes",IF(IFERROR(INDEX(RS_Loc,MATCH(B54,RS_Lane,0)),"")="","Regional stock",IFERROR(INDEX(RS_Loc,MATCH(B54,RS_Lane,0)),"")),"Helmond"))</f>
        <v/>
      </c>
      <c r="V54" s="141" t="n"/>
      <c r="W54" s="142" t="n"/>
      <c r="X54" s="143" t="n"/>
      <c r="Y54" s="116">
        <f>IF(X54&lt;&gt;"",X54,IF(U54="Helmond",IF(COUNTIFS(RC_Lane,B54,RC_Band,E54,RC_CostPS,"&gt;0")=0,"",SUMIFS(RC_CostPS,RC_Lane,B54,RC_Band,E54)*(1-SUMIFS(RC_Disc,RC_Lane,B54,RC_Band,E54))),IF(U54="Other","",IF(INDEX(RS_Rate,MATCH(B54,RS_Lane,0))="","",INDEX(RS_Rate,MATCH(B54,RS_Lane,0))))))</f>
        <v/>
      </c>
    </row>
    <row r="55">
      <c r="A55" s="95" t="inlineStr">
        <is>
          <t>B-051</t>
        </is>
      </c>
      <c r="B55" s="112" t="inlineStr">
        <is>
          <t>L02</t>
        </is>
      </c>
      <c r="C55" s="101" t="inlineStr">
        <is>
          <t>United Arab Emirates</t>
        </is>
      </c>
      <c r="D55" s="101" t="inlineStr">
        <is>
          <t>Dubai</t>
        </is>
      </c>
      <c r="E55" s="101" t="inlineStr">
        <is>
          <t>B1  0 to 30 kg</t>
        </is>
      </c>
      <c r="F55" s="123" t="n">
        <v>10.7</v>
      </c>
      <c r="G55" s="86">
        <f>F55*0.006477</f>
        <v/>
      </c>
      <c r="H55" s="123">
        <f>F55*1.079436</f>
        <v/>
      </c>
      <c r="I55" s="122">
        <f>MAX(1,ROUNDUP(G55/0.096,0))</f>
        <v/>
      </c>
      <c r="J55" s="84" t="n">
        <v>46440</v>
      </c>
      <c r="K55" s="87">
        <f>J55-WEEKDAY(J55,2)+1</f>
        <v/>
      </c>
      <c r="L55" s="84">
        <f>J55</f>
        <v/>
      </c>
      <c r="M55" s="52">
        <f>INDEX(LR_Target,MATCH(B55,LR_Lane,0))</f>
        <v/>
      </c>
      <c r="N55" s="84">
        <f>WORKDAY.INTL(L55,M55,INDEX(LR_Code,MATCH(B55,LR_Lane,0)),INDEX(DH_Table,0,MATCH(B55&amp;"*",DH_Head,0)))</f>
        <v/>
      </c>
      <c r="O55" s="65">
        <f>IF(W55&lt;&gt;"",W55,IF(U55="Helmond",IF(COUNTIFS(RC_Lane,B55,RC_Band,E55,RC_Transit,"&lt;&gt;")=0,"",SUMIFS(RC_Transit,RC_Lane,B55,RC_Band,E55)),IF(U55="Other","",IF(INDEX(RS_Transit,MATCH(B55,RS_Lane,0))="","",INDEX(RS_Transit,MATCH(B55,RS_Lane,0))))))</f>
        <v/>
      </c>
      <c r="P55" s="140" t="n"/>
      <c r="Q55" s="84">
        <f>IF(P55&lt;&gt;"",P55,IF(O55="","",WORKDAY.INTL(L55,ROUNDUP(O55,0),INDEX(LR_Code,MATCH(B55,LR_Lane,0)),INDEX(DH_Table,0,MATCH(B55&amp;"*",DH_Head,0)))))</f>
        <v/>
      </c>
      <c r="R55" s="100">
        <f>IF(Q55="","",IF(Q55&lt;=N55,"Yes","No"))</f>
        <v/>
      </c>
      <c r="S55" s="52">
        <f>IF(Q55="","",IF(Q55&lt;=N55,0,NETWORKDAYS.INTL(N55,Q55,INDEX(LR_Code,MATCH(B55,LR_Lane,0)),INDEX(DH_Table,0,MATCH(B55&amp;"*",DH_Head,0)))-1))</f>
        <v/>
      </c>
      <c r="T55" s="127" t="n"/>
      <c r="U55" s="112">
        <f>IF(V55&lt;&gt;"",V55,IF(IFERROR(INDEX(RS_Flag,MATCH(B55,RS_Lane,0)),"")="Yes",IF(IFERROR(INDEX(RS_Loc,MATCH(B55,RS_Lane,0)),"")="","Regional stock",IFERROR(INDEX(RS_Loc,MATCH(B55,RS_Lane,0)),"")),"Helmond"))</f>
        <v/>
      </c>
      <c r="V55" s="141" t="n"/>
      <c r="W55" s="142" t="n"/>
      <c r="X55" s="143" t="n"/>
      <c r="Y55" s="116">
        <f>IF(X55&lt;&gt;"",X55,IF(U55="Helmond",IF(COUNTIFS(RC_Lane,B55,RC_Band,E55,RC_CostPS,"&gt;0")=0,"",SUMIFS(RC_CostPS,RC_Lane,B55,RC_Band,E55)*(1-SUMIFS(RC_Disc,RC_Lane,B55,RC_Band,E55))),IF(U55="Other","",IF(INDEX(RS_Rate,MATCH(B55,RS_Lane,0))="","",INDEX(RS_Rate,MATCH(B55,RS_Lane,0))))))</f>
        <v/>
      </c>
    </row>
    <row r="56">
      <c r="A56" s="95" t="inlineStr">
        <is>
          <t>B-052</t>
        </is>
      </c>
      <c r="B56" s="112" t="inlineStr">
        <is>
          <t>L03</t>
        </is>
      </c>
      <c r="C56" s="101" t="inlineStr">
        <is>
          <t>Kuwait</t>
        </is>
      </c>
      <c r="D56" s="101" t="inlineStr">
        <is>
          <t>Kuwait City</t>
        </is>
      </c>
      <c r="E56" s="101" t="inlineStr">
        <is>
          <t>B1  0 to 30 kg</t>
        </is>
      </c>
      <c r="F56" s="123" t="n">
        <v>6.2</v>
      </c>
      <c r="G56" s="86">
        <f>F56*0.006477</f>
        <v/>
      </c>
      <c r="H56" s="123">
        <f>F56*1.079436</f>
        <v/>
      </c>
      <c r="I56" s="122">
        <f>MAX(1,ROUNDUP(G56/0.096,0))</f>
        <v/>
      </c>
      <c r="J56" s="84" t="n">
        <v>46441</v>
      </c>
      <c r="K56" s="87">
        <f>J56-WEEKDAY(J56,2)+1</f>
        <v/>
      </c>
      <c r="L56" s="84">
        <f>J56</f>
        <v/>
      </c>
      <c r="M56" s="52">
        <f>INDEX(LR_Target,MATCH(B56,LR_Lane,0))</f>
        <v/>
      </c>
      <c r="N56" s="84">
        <f>WORKDAY.INTL(L56,M56,INDEX(LR_Code,MATCH(B56,LR_Lane,0)),INDEX(DH_Table,0,MATCH(B56&amp;"*",DH_Head,0)))</f>
        <v/>
      </c>
      <c r="O56" s="65">
        <f>IF(W56&lt;&gt;"",W56,IF(U56="Helmond",IF(COUNTIFS(RC_Lane,B56,RC_Band,E56,RC_Transit,"&lt;&gt;")=0,"",SUMIFS(RC_Transit,RC_Lane,B56,RC_Band,E56)),IF(U56="Other","",IF(INDEX(RS_Transit,MATCH(B56,RS_Lane,0))="","",INDEX(RS_Transit,MATCH(B56,RS_Lane,0))))))</f>
        <v/>
      </c>
      <c r="P56" s="140" t="n"/>
      <c r="Q56" s="84">
        <f>IF(P56&lt;&gt;"",P56,IF(O56="","",WORKDAY.INTL(L56,ROUNDUP(O56,0),INDEX(LR_Code,MATCH(B56,LR_Lane,0)),INDEX(DH_Table,0,MATCH(B56&amp;"*",DH_Head,0)))))</f>
        <v/>
      </c>
      <c r="R56" s="100">
        <f>IF(Q56="","",IF(Q56&lt;=N56,"Yes","No"))</f>
        <v/>
      </c>
      <c r="S56" s="52">
        <f>IF(Q56="","",IF(Q56&lt;=N56,0,NETWORKDAYS.INTL(N56,Q56,INDEX(LR_Code,MATCH(B56,LR_Lane,0)),INDEX(DH_Table,0,MATCH(B56&amp;"*",DH_Head,0)))-1))</f>
        <v/>
      </c>
      <c r="T56" s="127" t="n"/>
      <c r="U56" s="112">
        <f>IF(V56&lt;&gt;"",V56,IF(IFERROR(INDEX(RS_Flag,MATCH(B56,RS_Lane,0)),"")="Yes",IF(IFERROR(INDEX(RS_Loc,MATCH(B56,RS_Lane,0)),"")="","Regional stock",IFERROR(INDEX(RS_Loc,MATCH(B56,RS_Lane,0)),"")),"Helmond"))</f>
        <v/>
      </c>
      <c r="V56" s="141" t="n"/>
      <c r="W56" s="142" t="n"/>
      <c r="X56" s="143" t="n"/>
      <c r="Y56" s="116">
        <f>IF(X56&lt;&gt;"",X56,IF(U56="Helmond",IF(COUNTIFS(RC_Lane,B56,RC_Band,E56,RC_CostPS,"&gt;0")=0,"",SUMIFS(RC_CostPS,RC_Lane,B56,RC_Band,E56)*(1-SUMIFS(RC_Disc,RC_Lane,B56,RC_Band,E56))),IF(U56="Other","",IF(INDEX(RS_Rate,MATCH(B56,RS_Lane,0))="","",INDEX(RS_Rate,MATCH(B56,RS_Lane,0))))))</f>
        <v/>
      </c>
    </row>
    <row r="57">
      <c r="A57" s="95" t="inlineStr">
        <is>
          <t>B-053</t>
        </is>
      </c>
      <c r="B57" s="112" t="inlineStr">
        <is>
          <t>L05</t>
        </is>
      </c>
      <c r="C57" s="101" t="inlineStr">
        <is>
          <t>Türkiye</t>
        </is>
      </c>
      <c r="D57" s="101" t="inlineStr">
        <is>
          <t>Istanbul</t>
        </is>
      </c>
      <c r="E57" s="101" t="inlineStr">
        <is>
          <t>B3  100 to 500 kg</t>
        </is>
      </c>
      <c r="F57" s="123" t="n">
        <v>309.4</v>
      </c>
      <c r="G57" s="86">
        <f>F57*0.006477</f>
        <v/>
      </c>
      <c r="H57" s="123">
        <f>F57*1.079436</f>
        <v/>
      </c>
      <c r="I57" s="122">
        <f>MAX(1,ROUNDUP(G57/0.096,0))</f>
        <v/>
      </c>
      <c r="J57" s="84" t="n">
        <v>46449</v>
      </c>
      <c r="K57" s="87">
        <f>J57-WEEKDAY(J57,2)+1</f>
        <v/>
      </c>
      <c r="L57" s="84">
        <f>J57</f>
        <v/>
      </c>
      <c r="M57" s="52">
        <f>INDEX(LR_Target,MATCH(B57,LR_Lane,0))</f>
        <v/>
      </c>
      <c r="N57" s="84">
        <f>WORKDAY.INTL(L57,M57,INDEX(LR_Code,MATCH(B57,LR_Lane,0)),INDEX(DH_Table,0,MATCH(B57&amp;"*",DH_Head,0)))</f>
        <v/>
      </c>
      <c r="O57" s="65">
        <f>IF(W57&lt;&gt;"",W57,IF(U57="Helmond",IF(COUNTIFS(RC_Lane,B57,RC_Band,E57,RC_Transit,"&lt;&gt;")=0,"",SUMIFS(RC_Transit,RC_Lane,B57,RC_Band,E57)),IF(U57="Other","",IF(INDEX(RS_Transit,MATCH(B57,RS_Lane,0))="","",INDEX(RS_Transit,MATCH(B57,RS_Lane,0))))))</f>
        <v/>
      </c>
      <c r="P57" s="140" t="n"/>
      <c r="Q57" s="84">
        <f>IF(P57&lt;&gt;"",P57,IF(O57="","",WORKDAY.INTL(L57,ROUNDUP(O57,0),INDEX(LR_Code,MATCH(B57,LR_Lane,0)),INDEX(DH_Table,0,MATCH(B57&amp;"*",DH_Head,0)))))</f>
        <v/>
      </c>
      <c r="R57" s="100">
        <f>IF(Q57="","",IF(Q57&lt;=N57,"Yes","No"))</f>
        <v/>
      </c>
      <c r="S57" s="52">
        <f>IF(Q57="","",IF(Q57&lt;=N57,0,NETWORKDAYS.INTL(N57,Q57,INDEX(LR_Code,MATCH(B57,LR_Lane,0)),INDEX(DH_Table,0,MATCH(B57&amp;"*",DH_Head,0)))-1))</f>
        <v/>
      </c>
      <c r="T57" s="127" t="n"/>
      <c r="U57" s="112">
        <f>IF(V57&lt;&gt;"",V57,IF(IFERROR(INDEX(RS_Flag,MATCH(B57,RS_Lane,0)),"")="Yes",IF(IFERROR(INDEX(RS_Loc,MATCH(B57,RS_Lane,0)),"")="","Regional stock",IFERROR(INDEX(RS_Loc,MATCH(B57,RS_Lane,0)),"")),"Helmond"))</f>
        <v/>
      </c>
      <c r="V57" s="141" t="n"/>
      <c r="W57" s="142" t="n"/>
      <c r="X57" s="143" t="n"/>
      <c r="Y57" s="116">
        <f>IF(X57&lt;&gt;"",X57,IF(U57="Helmond",IF(COUNTIFS(RC_Lane,B57,RC_Band,E57,RC_CostPS,"&gt;0")=0,"",SUMIFS(RC_CostPS,RC_Lane,B57,RC_Band,E57)*(1-SUMIFS(RC_Disc,RC_Lane,B57,RC_Band,E57))),IF(U57="Other","",IF(INDEX(RS_Rate,MATCH(B57,RS_Lane,0))="","",INDEX(RS_Rate,MATCH(B57,RS_Lane,0))))))</f>
        <v/>
      </c>
    </row>
    <row r="58">
      <c r="A58" s="95" t="inlineStr">
        <is>
          <t>B-054</t>
        </is>
      </c>
      <c r="B58" s="112" t="inlineStr">
        <is>
          <t>L02</t>
        </is>
      </c>
      <c r="C58" s="101" t="inlineStr">
        <is>
          <t>United Arab Emirates</t>
        </is>
      </c>
      <c r="D58" s="101" t="inlineStr">
        <is>
          <t>Dubai</t>
        </is>
      </c>
      <c r="E58" s="101" t="inlineStr">
        <is>
          <t>B1  0 to 30 kg</t>
        </is>
      </c>
      <c r="F58" s="123" t="n">
        <v>4.4</v>
      </c>
      <c r="G58" s="86">
        <f>F58*0.006477</f>
        <v/>
      </c>
      <c r="H58" s="123">
        <f>F58*1.079436</f>
        <v/>
      </c>
      <c r="I58" s="122">
        <f>MAX(1,ROUNDUP(G58/0.096,0))</f>
        <v/>
      </c>
      <c r="J58" s="84" t="n">
        <v>46450</v>
      </c>
      <c r="K58" s="87">
        <f>J58-WEEKDAY(J58,2)+1</f>
        <v/>
      </c>
      <c r="L58" s="84">
        <f>J58</f>
        <v/>
      </c>
      <c r="M58" s="52">
        <f>INDEX(LR_Target,MATCH(B58,LR_Lane,0))</f>
        <v/>
      </c>
      <c r="N58" s="84">
        <f>WORKDAY.INTL(L58,M58,INDEX(LR_Code,MATCH(B58,LR_Lane,0)),INDEX(DH_Table,0,MATCH(B58&amp;"*",DH_Head,0)))</f>
        <v/>
      </c>
      <c r="O58" s="65">
        <f>IF(W58&lt;&gt;"",W58,IF(U58="Helmond",IF(COUNTIFS(RC_Lane,B58,RC_Band,E58,RC_Transit,"&lt;&gt;")=0,"",SUMIFS(RC_Transit,RC_Lane,B58,RC_Band,E58)),IF(U58="Other","",IF(INDEX(RS_Transit,MATCH(B58,RS_Lane,0))="","",INDEX(RS_Transit,MATCH(B58,RS_Lane,0))))))</f>
        <v/>
      </c>
      <c r="P58" s="140" t="n"/>
      <c r="Q58" s="84">
        <f>IF(P58&lt;&gt;"",P58,IF(O58="","",WORKDAY.INTL(L58,ROUNDUP(O58,0),INDEX(LR_Code,MATCH(B58,LR_Lane,0)),INDEX(DH_Table,0,MATCH(B58&amp;"*",DH_Head,0)))))</f>
        <v/>
      </c>
      <c r="R58" s="100">
        <f>IF(Q58="","",IF(Q58&lt;=N58,"Yes","No"))</f>
        <v/>
      </c>
      <c r="S58" s="52">
        <f>IF(Q58="","",IF(Q58&lt;=N58,0,NETWORKDAYS.INTL(N58,Q58,INDEX(LR_Code,MATCH(B58,LR_Lane,0)),INDEX(DH_Table,0,MATCH(B58&amp;"*",DH_Head,0)))-1))</f>
        <v/>
      </c>
      <c r="T58" s="127" t="n"/>
      <c r="U58" s="112">
        <f>IF(V58&lt;&gt;"",V58,IF(IFERROR(INDEX(RS_Flag,MATCH(B58,RS_Lane,0)),"")="Yes",IF(IFERROR(INDEX(RS_Loc,MATCH(B58,RS_Lane,0)),"")="","Regional stock",IFERROR(INDEX(RS_Loc,MATCH(B58,RS_Lane,0)),"")),"Helmond"))</f>
        <v/>
      </c>
      <c r="V58" s="141" t="n"/>
      <c r="W58" s="142" t="n"/>
      <c r="X58" s="143" t="n"/>
      <c r="Y58" s="116">
        <f>IF(X58&lt;&gt;"",X58,IF(U58="Helmond",IF(COUNTIFS(RC_Lane,B58,RC_Band,E58,RC_CostPS,"&gt;0")=0,"",SUMIFS(RC_CostPS,RC_Lane,B58,RC_Band,E58)*(1-SUMIFS(RC_Disc,RC_Lane,B58,RC_Band,E58))),IF(U58="Other","",IF(INDEX(RS_Rate,MATCH(B58,RS_Lane,0))="","",INDEX(RS_Rate,MATCH(B58,RS_Lane,0))))))</f>
        <v/>
      </c>
    </row>
    <row r="59">
      <c r="A59" s="95" t="inlineStr">
        <is>
          <t>B-055</t>
        </is>
      </c>
      <c r="B59" s="112" t="inlineStr">
        <is>
          <t>L02</t>
        </is>
      </c>
      <c r="C59" s="101" t="inlineStr">
        <is>
          <t>United Arab Emirates</t>
        </is>
      </c>
      <c r="D59" s="101" t="inlineStr">
        <is>
          <t>Dubai</t>
        </is>
      </c>
      <c r="E59" s="101" t="inlineStr">
        <is>
          <t>B1  0 to 30 kg</t>
        </is>
      </c>
      <c r="F59" s="123" t="n">
        <v>2.9</v>
      </c>
      <c r="G59" s="86">
        <f>F59*0.006477</f>
        <v/>
      </c>
      <c r="H59" s="123">
        <f>F59*1.079436</f>
        <v/>
      </c>
      <c r="I59" s="122">
        <f>MAX(1,ROUNDUP(G59/0.096,0))</f>
        <v/>
      </c>
      <c r="J59" s="84" t="n">
        <v>46450</v>
      </c>
      <c r="K59" s="87">
        <f>J59-WEEKDAY(J59,2)+1</f>
        <v/>
      </c>
      <c r="L59" s="84">
        <f>J59</f>
        <v/>
      </c>
      <c r="M59" s="52">
        <f>INDEX(LR_Target,MATCH(B59,LR_Lane,0))</f>
        <v/>
      </c>
      <c r="N59" s="84">
        <f>WORKDAY.INTL(L59,M59,INDEX(LR_Code,MATCH(B59,LR_Lane,0)),INDEX(DH_Table,0,MATCH(B59&amp;"*",DH_Head,0)))</f>
        <v/>
      </c>
      <c r="O59" s="65">
        <f>IF(W59&lt;&gt;"",W59,IF(U59="Helmond",IF(COUNTIFS(RC_Lane,B59,RC_Band,E59,RC_Transit,"&lt;&gt;")=0,"",SUMIFS(RC_Transit,RC_Lane,B59,RC_Band,E59)),IF(U59="Other","",IF(INDEX(RS_Transit,MATCH(B59,RS_Lane,0))="","",INDEX(RS_Transit,MATCH(B59,RS_Lane,0))))))</f>
        <v/>
      </c>
      <c r="P59" s="140" t="n"/>
      <c r="Q59" s="84">
        <f>IF(P59&lt;&gt;"",P59,IF(O59="","",WORKDAY.INTL(L59,ROUNDUP(O59,0),INDEX(LR_Code,MATCH(B59,LR_Lane,0)),INDEX(DH_Table,0,MATCH(B59&amp;"*",DH_Head,0)))))</f>
        <v/>
      </c>
      <c r="R59" s="100">
        <f>IF(Q59="","",IF(Q59&lt;=N59,"Yes","No"))</f>
        <v/>
      </c>
      <c r="S59" s="52">
        <f>IF(Q59="","",IF(Q59&lt;=N59,0,NETWORKDAYS.INTL(N59,Q59,INDEX(LR_Code,MATCH(B59,LR_Lane,0)),INDEX(DH_Table,0,MATCH(B59&amp;"*",DH_Head,0)))-1))</f>
        <v/>
      </c>
      <c r="T59" s="127" t="n"/>
      <c r="U59" s="112">
        <f>IF(V59&lt;&gt;"",V59,IF(IFERROR(INDEX(RS_Flag,MATCH(B59,RS_Lane,0)),"")="Yes",IF(IFERROR(INDEX(RS_Loc,MATCH(B59,RS_Lane,0)),"")="","Regional stock",IFERROR(INDEX(RS_Loc,MATCH(B59,RS_Lane,0)),"")),"Helmond"))</f>
        <v/>
      </c>
      <c r="V59" s="141" t="n"/>
      <c r="W59" s="142" t="n"/>
      <c r="X59" s="143" t="n"/>
      <c r="Y59" s="116">
        <f>IF(X59&lt;&gt;"",X59,IF(U59="Helmond",IF(COUNTIFS(RC_Lane,B59,RC_Band,E59,RC_CostPS,"&gt;0")=0,"",SUMIFS(RC_CostPS,RC_Lane,B59,RC_Band,E59)*(1-SUMIFS(RC_Disc,RC_Lane,B59,RC_Band,E59))),IF(U59="Other","",IF(INDEX(RS_Rate,MATCH(B59,RS_Lane,0))="","",INDEX(RS_Rate,MATCH(B59,RS_Lane,0))))))</f>
        <v/>
      </c>
    </row>
    <row r="60">
      <c r="A60" s="95" t="inlineStr">
        <is>
          <t>B-056</t>
        </is>
      </c>
      <c r="B60" s="112" t="inlineStr">
        <is>
          <t>L02</t>
        </is>
      </c>
      <c r="C60" s="101" t="inlineStr">
        <is>
          <t>United Arab Emirates</t>
        </is>
      </c>
      <c r="D60" s="101" t="inlineStr">
        <is>
          <t>Dubai</t>
        </is>
      </c>
      <c r="E60" s="101" t="inlineStr">
        <is>
          <t>B1  0 to 30 kg</t>
        </is>
      </c>
      <c r="F60" s="123" t="n">
        <v>4.9</v>
      </c>
      <c r="G60" s="86">
        <f>F60*0.006477</f>
        <v/>
      </c>
      <c r="H60" s="123">
        <f>F60*1.079436</f>
        <v/>
      </c>
      <c r="I60" s="122">
        <f>MAX(1,ROUNDUP(G60/0.096,0))</f>
        <v/>
      </c>
      <c r="J60" s="84" t="n">
        <v>46451</v>
      </c>
      <c r="K60" s="87">
        <f>J60-WEEKDAY(J60,2)+1</f>
        <v/>
      </c>
      <c r="L60" s="84">
        <f>J60</f>
        <v/>
      </c>
      <c r="M60" s="52">
        <f>INDEX(LR_Target,MATCH(B60,LR_Lane,0))</f>
        <v/>
      </c>
      <c r="N60" s="84">
        <f>WORKDAY.INTL(L60,M60,INDEX(LR_Code,MATCH(B60,LR_Lane,0)),INDEX(DH_Table,0,MATCH(B60&amp;"*",DH_Head,0)))</f>
        <v/>
      </c>
      <c r="O60" s="65">
        <f>IF(W60&lt;&gt;"",W60,IF(U60="Helmond",IF(COUNTIFS(RC_Lane,B60,RC_Band,E60,RC_Transit,"&lt;&gt;")=0,"",SUMIFS(RC_Transit,RC_Lane,B60,RC_Band,E60)),IF(U60="Other","",IF(INDEX(RS_Transit,MATCH(B60,RS_Lane,0))="","",INDEX(RS_Transit,MATCH(B60,RS_Lane,0))))))</f>
        <v/>
      </c>
      <c r="P60" s="140" t="n"/>
      <c r="Q60" s="84">
        <f>IF(P60&lt;&gt;"",P60,IF(O60="","",WORKDAY.INTL(L60,ROUNDUP(O60,0),INDEX(LR_Code,MATCH(B60,LR_Lane,0)),INDEX(DH_Table,0,MATCH(B60&amp;"*",DH_Head,0)))))</f>
        <v/>
      </c>
      <c r="R60" s="100">
        <f>IF(Q60="","",IF(Q60&lt;=N60,"Yes","No"))</f>
        <v/>
      </c>
      <c r="S60" s="52">
        <f>IF(Q60="","",IF(Q60&lt;=N60,0,NETWORKDAYS.INTL(N60,Q60,INDEX(LR_Code,MATCH(B60,LR_Lane,0)),INDEX(DH_Table,0,MATCH(B60&amp;"*",DH_Head,0)))-1))</f>
        <v/>
      </c>
      <c r="T60" s="127" t="n"/>
      <c r="U60" s="112">
        <f>IF(V60&lt;&gt;"",V60,IF(IFERROR(INDEX(RS_Flag,MATCH(B60,RS_Lane,0)),"")="Yes",IF(IFERROR(INDEX(RS_Loc,MATCH(B60,RS_Lane,0)),"")="","Regional stock",IFERROR(INDEX(RS_Loc,MATCH(B60,RS_Lane,0)),"")),"Helmond"))</f>
        <v/>
      </c>
      <c r="V60" s="141" t="n"/>
      <c r="W60" s="142" t="n"/>
      <c r="X60" s="143" t="n"/>
      <c r="Y60" s="116">
        <f>IF(X60&lt;&gt;"",X60,IF(U60="Helmond",IF(COUNTIFS(RC_Lane,B60,RC_Band,E60,RC_CostPS,"&gt;0")=0,"",SUMIFS(RC_CostPS,RC_Lane,B60,RC_Band,E60)*(1-SUMIFS(RC_Disc,RC_Lane,B60,RC_Band,E60))),IF(U60="Other","",IF(INDEX(RS_Rate,MATCH(B60,RS_Lane,0))="","",INDEX(RS_Rate,MATCH(B60,RS_Lane,0))))))</f>
        <v/>
      </c>
    </row>
    <row r="61">
      <c r="A61" s="95" t="inlineStr">
        <is>
          <t>B-057</t>
        </is>
      </c>
      <c r="B61" s="112" t="inlineStr">
        <is>
          <t>L06</t>
        </is>
      </c>
      <c r="C61" s="101" t="inlineStr">
        <is>
          <t>Morocco</t>
        </is>
      </c>
      <c r="D61" s="101" t="inlineStr">
        <is>
          <t>Rabat</t>
        </is>
      </c>
      <c r="E61" s="101" t="inlineStr">
        <is>
          <t>B1  0 to 30 kg</t>
        </is>
      </c>
      <c r="F61" s="123" t="n">
        <v>12.4</v>
      </c>
      <c r="G61" s="86">
        <f>F61*0.006477</f>
        <v/>
      </c>
      <c r="H61" s="123">
        <f>F61*1.079436</f>
        <v/>
      </c>
      <c r="I61" s="122">
        <f>MAX(1,ROUNDUP(G61/0.096,0))</f>
        <v/>
      </c>
      <c r="J61" s="84" t="n">
        <v>46454</v>
      </c>
      <c r="K61" s="87">
        <f>J61-WEEKDAY(J61,2)+1</f>
        <v/>
      </c>
      <c r="L61" s="84">
        <f>J61</f>
        <v/>
      </c>
      <c r="M61" s="52">
        <f>INDEX(LR_Target,MATCH(B61,LR_Lane,0))</f>
        <v/>
      </c>
      <c r="N61" s="84">
        <f>WORKDAY.INTL(L61,M61,INDEX(LR_Code,MATCH(B61,LR_Lane,0)),INDEX(DH_Table,0,MATCH(B61&amp;"*",DH_Head,0)))</f>
        <v/>
      </c>
      <c r="O61" s="65">
        <f>IF(W61&lt;&gt;"",W61,IF(U61="Helmond",IF(COUNTIFS(RC_Lane,B61,RC_Band,E61,RC_Transit,"&lt;&gt;")=0,"",SUMIFS(RC_Transit,RC_Lane,B61,RC_Band,E61)),IF(U61="Other","",IF(INDEX(RS_Transit,MATCH(B61,RS_Lane,0))="","",INDEX(RS_Transit,MATCH(B61,RS_Lane,0))))))</f>
        <v/>
      </c>
      <c r="P61" s="140" t="n"/>
      <c r="Q61" s="84">
        <f>IF(P61&lt;&gt;"",P61,IF(O61="","",WORKDAY.INTL(L61,ROUNDUP(O61,0),INDEX(LR_Code,MATCH(B61,LR_Lane,0)),INDEX(DH_Table,0,MATCH(B61&amp;"*",DH_Head,0)))))</f>
        <v/>
      </c>
      <c r="R61" s="100">
        <f>IF(Q61="","",IF(Q61&lt;=N61,"Yes","No"))</f>
        <v/>
      </c>
      <c r="S61" s="52">
        <f>IF(Q61="","",IF(Q61&lt;=N61,0,NETWORKDAYS.INTL(N61,Q61,INDEX(LR_Code,MATCH(B61,LR_Lane,0)),INDEX(DH_Table,0,MATCH(B61&amp;"*",DH_Head,0)))-1))</f>
        <v/>
      </c>
      <c r="T61" s="127" t="n"/>
      <c r="U61" s="112">
        <f>IF(V61&lt;&gt;"",V61,IF(IFERROR(INDEX(RS_Flag,MATCH(B61,RS_Lane,0)),"")="Yes",IF(IFERROR(INDEX(RS_Loc,MATCH(B61,RS_Lane,0)),"")="","Regional stock",IFERROR(INDEX(RS_Loc,MATCH(B61,RS_Lane,0)),"")),"Helmond"))</f>
        <v/>
      </c>
      <c r="V61" s="141" t="n"/>
      <c r="W61" s="142" t="n"/>
      <c r="X61" s="143" t="n"/>
      <c r="Y61" s="116">
        <f>IF(X61&lt;&gt;"",X61,IF(U61="Helmond",IF(COUNTIFS(RC_Lane,B61,RC_Band,E61,RC_CostPS,"&gt;0")=0,"",SUMIFS(RC_CostPS,RC_Lane,B61,RC_Band,E61)*(1-SUMIFS(RC_Disc,RC_Lane,B61,RC_Band,E61))),IF(U61="Other","",IF(INDEX(RS_Rate,MATCH(B61,RS_Lane,0))="","",INDEX(RS_Rate,MATCH(B61,RS_Lane,0))))))</f>
        <v/>
      </c>
    </row>
    <row r="62">
      <c r="A62" s="95" t="inlineStr">
        <is>
          <t>B-058</t>
        </is>
      </c>
      <c r="B62" s="112" t="inlineStr">
        <is>
          <t>L01</t>
        </is>
      </c>
      <c r="C62" s="101" t="inlineStr">
        <is>
          <t>Saudi Arabia</t>
        </is>
      </c>
      <c r="D62" s="101" t="inlineStr">
        <is>
          <t>Riyadh</t>
        </is>
      </c>
      <c r="E62" s="101" t="inlineStr">
        <is>
          <t>B3  100 to 500 kg</t>
        </is>
      </c>
      <c r="F62" s="123" t="n">
        <v>202.9</v>
      </c>
      <c r="G62" s="86">
        <f>F62*0.006477</f>
        <v/>
      </c>
      <c r="H62" s="123">
        <f>F62*1.079436</f>
        <v/>
      </c>
      <c r="I62" s="122">
        <f>MAX(1,ROUNDUP(G62/0.096,0))</f>
        <v/>
      </c>
      <c r="J62" s="84" t="n">
        <v>46456</v>
      </c>
      <c r="K62" s="87">
        <f>J62-WEEKDAY(J62,2)+1</f>
        <v/>
      </c>
      <c r="L62" s="84">
        <f>J62</f>
        <v/>
      </c>
      <c r="M62" s="52">
        <f>INDEX(LR_Target,MATCH(B62,LR_Lane,0))</f>
        <v/>
      </c>
      <c r="N62" s="84">
        <f>WORKDAY.INTL(L62,M62,INDEX(LR_Code,MATCH(B62,LR_Lane,0)),INDEX(DH_Table,0,MATCH(B62&amp;"*",DH_Head,0)))</f>
        <v/>
      </c>
      <c r="O62" s="65">
        <f>IF(W62&lt;&gt;"",W62,IF(U62="Helmond",IF(COUNTIFS(RC_Lane,B62,RC_Band,E62,RC_Transit,"&lt;&gt;")=0,"",SUMIFS(RC_Transit,RC_Lane,B62,RC_Band,E62)),IF(U62="Other","",IF(INDEX(RS_Transit,MATCH(B62,RS_Lane,0))="","",INDEX(RS_Transit,MATCH(B62,RS_Lane,0))))))</f>
        <v/>
      </c>
      <c r="P62" s="140" t="n"/>
      <c r="Q62" s="84">
        <f>IF(P62&lt;&gt;"",P62,IF(O62="","",WORKDAY.INTL(L62,ROUNDUP(O62,0),INDEX(LR_Code,MATCH(B62,LR_Lane,0)),INDEX(DH_Table,0,MATCH(B62&amp;"*",DH_Head,0)))))</f>
        <v/>
      </c>
      <c r="R62" s="100">
        <f>IF(Q62="","",IF(Q62&lt;=N62,"Yes","No"))</f>
        <v/>
      </c>
      <c r="S62" s="52">
        <f>IF(Q62="","",IF(Q62&lt;=N62,0,NETWORKDAYS.INTL(N62,Q62,INDEX(LR_Code,MATCH(B62,LR_Lane,0)),INDEX(DH_Table,0,MATCH(B62&amp;"*",DH_Head,0)))-1))</f>
        <v/>
      </c>
      <c r="T62" s="127" t="n"/>
      <c r="U62" s="112">
        <f>IF(V62&lt;&gt;"",V62,IF(IFERROR(INDEX(RS_Flag,MATCH(B62,RS_Lane,0)),"")="Yes",IF(IFERROR(INDEX(RS_Loc,MATCH(B62,RS_Lane,0)),"")="","Regional stock",IFERROR(INDEX(RS_Loc,MATCH(B62,RS_Lane,0)),"")),"Helmond"))</f>
        <v/>
      </c>
      <c r="V62" s="141" t="n"/>
      <c r="W62" s="142" t="n"/>
      <c r="X62" s="143" t="n"/>
      <c r="Y62" s="116">
        <f>IF(X62&lt;&gt;"",X62,IF(U62="Helmond",IF(COUNTIFS(RC_Lane,B62,RC_Band,E62,RC_CostPS,"&gt;0")=0,"",SUMIFS(RC_CostPS,RC_Lane,B62,RC_Band,E62)*(1-SUMIFS(RC_Disc,RC_Lane,B62,RC_Band,E62))),IF(U62="Other","",IF(INDEX(RS_Rate,MATCH(B62,RS_Lane,0))="","",INDEX(RS_Rate,MATCH(B62,RS_Lane,0))))))</f>
        <v/>
      </c>
    </row>
    <row r="63">
      <c r="A63" s="95" t="inlineStr">
        <is>
          <t>B-059</t>
        </is>
      </c>
      <c r="B63" s="112" t="inlineStr">
        <is>
          <t>L03</t>
        </is>
      </c>
      <c r="C63" s="101" t="inlineStr">
        <is>
          <t>Kuwait</t>
        </is>
      </c>
      <c r="D63" s="101" t="inlineStr">
        <is>
          <t>Kuwait City</t>
        </is>
      </c>
      <c r="E63" s="101" t="inlineStr">
        <is>
          <t>B3  100 to 500 kg</t>
        </is>
      </c>
      <c r="F63" s="123" t="n">
        <v>175.3</v>
      </c>
      <c r="G63" s="86">
        <f>F63*0.006477</f>
        <v/>
      </c>
      <c r="H63" s="123">
        <f>F63*1.079436</f>
        <v/>
      </c>
      <c r="I63" s="122">
        <f>MAX(1,ROUNDUP(G63/0.096,0))</f>
        <v/>
      </c>
      <c r="J63" s="84" t="n">
        <v>46456</v>
      </c>
      <c r="K63" s="87">
        <f>J63-WEEKDAY(J63,2)+1</f>
        <v/>
      </c>
      <c r="L63" s="84">
        <f>J63</f>
        <v/>
      </c>
      <c r="M63" s="52">
        <f>INDEX(LR_Target,MATCH(B63,LR_Lane,0))</f>
        <v/>
      </c>
      <c r="N63" s="84">
        <f>WORKDAY.INTL(L63,M63,INDEX(LR_Code,MATCH(B63,LR_Lane,0)),INDEX(DH_Table,0,MATCH(B63&amp;"*",DH_Head,0)))</f>
        <v/>
      </c>
      <c r="O63" s="65">
        <f>IF(W63&lt;&gt;"",W63,IF(U63="Helmond",IF(COUNTIFS(RC_Lane,B63,RC_Band,E63,RC_Transit,"&lt;&gt;")=0,"",SUMIFS(RC_Transit,RC_Lane,B63,RC_Band,E63)),IF(U63="Other","",IF(INDEX(RS_Transit,MATCH(B63,RS_Lane,0))="","",INDEX(RS_Transit,MATCH(B63,RS_Lane,0))))))</f>
        <v/>
      </c>
      <c r="P63" s="140" t="n"/>
      <c r="Q63" s="84">
        <f>IF(P63&lt;&gt;"",P63,IF(O63="","",WORKDAY.INTL(L63,ROUNDUP(O63,0),INDEX(LR_Code,MATCH(B63,LR_Lane,0)),INDEX(DH_Table,0,MATCH(B63&amp;"*",DH_Head,0)))))</f>
        <v/>
      </c>
      <c r="R63" s="100">
        <f>IF(Q63="","",IF(Q63&lt;=N63,"Yes","No"))</f>
        <v/>
      </c>
      <c r="S63" s="52">
        <f>IF(Q63="","",IF(Q63&lt;=N63,0,NETWORKDAYS.INTL(N63,Q63,INDEX(LR_Code,MATCH(B63,LR_Lane,0)),INDEX(DH_Table,0,MATCH(B63&amp;"*",DH_Head,0)))-1))</f>
        <v/>
      </c>
      <c r="T63" s="127" t="n"/>
      <c r="U63" s="112">
        <f>IF(V63&lt;&gt;"",V63,IF(IFERROR(INDEX(RS_Flag,MATCH(B63,RS_Lane,0)),"")="Yes",IF(IFERROR(INDEX(RS_Loc,MATCH(B63,RS_Lane,0)),"")="","Regional stock",IFERROR(INDEX(RS_Loc,MATCH(B63,RS_Lane,0)),"")),"Helmond"))</f>
        <v/>
      </c>
      <c r="V63" s="141" t="n"/>
      <c r="W63" s="142" t="n"/>
      <c r="X63" s="143" t="n"/>
      <c r="Y63" s="116">
        <f>IF(X63&lt;&gt;"",X63,IF(U63="Helmond",IF(COUNTIFS(RC_Lane,B63,RC_Band,E63,RC_CostPS,"&gt;0")=0,"",SUMIFS(RC_CostPS,RC_Lane,B63,RC_Band,E63)*(1-SUMIFS(RC_Disc,RC_Lane,B63,RC_Band,E63))),IF(U63="Other","",IF(INDEX(RS_Rate,MATCH(B63,RS_Lane,0))="","",INDEX(RS_Rate,MATCH(B63,RS_Lane,0))))))</f>
        <v/>
      </c>
    </row>
    <row r="64">
      <c r="A64" s="95" t="inlineStr">
        <is>
          <t>B-060</t>
        </is>
      </c>
      <c r="B64" s="112" t="inlineStr">
        <is>
          <t>L01</t>
        </is>
      </c>
      <c r="C64" s="101" t="inlineStr">
        <is>
          <t>Saudi Arabia</t>
        </is>
      </c>
      <c r="D64" s="101" t="inlineStr">
        <is>
          <t>Jeddah</t>
        </is>
      </c>
      <c r="E64" s="101" t="inlineStr">
        <is>
          <t>B1  0 to 30 kg</t>
        </is>
      </c>
      <c r="F64" s="123" t="n">
        <v>16.7</v>
      </c>
      <c r="G64" s="86">
        <f>F64*0.006477</f>
        <v/>
      </c>
      <c r="H64" s="123">
        <f>F64*1.079436</f>
        <v/>
      </c>
      <c r="I64" s="122">
        <f>MAX(1,ROUNDUP(G64/0.096,0))</f>
        <v/>
      </c>
      <c r="J64" s="84" t="n">
        <v>46458</v>
      </c>
      <c r="K64" s="87">
        <f>J64-WEEKDAY(J64,2)+1</f>
        <v/>
      </c>
      <c r="L64" s="84">
        <f>J64</f>
        <v/>
      </c>
      <c r="M64" s="52">
        <f>INDEX(LR_Target,MATCH(B64,LR_Lane,0))</f>
        <v/>
      </c>
      <c r="N64" s="84">
        <f>WORKDAY.INTL(L64,M64,INDEX(LR_Code,MATCH(B64,LR_Lane,0)),INDEX(DH_Table,0,MATCH(B64&amp;"*",DH_Head,0)))</f>
        <v/>
      </c>
      <c r="O64" s="65">
        <f>IF(W64&lt;&gt;"",W64,IF(U64="Helmond",IF(COUNTIFS(RC_Lane,B64,RC_Band,E64,RC_Transit,"&lt;&gt;")=0,"",SUMIFS(RC_Transit,RC_Lane,B64,RC_Band,E64)),IF(U64="Other","",IF(INDEX(RS_Transit,MATCH(B64,RS_Lane,0))="","",INDEX(RS_Transit,MATCH(B64,RS_Lane,0))))))</f>
        <v/>
      </c>
      <c r="P64" s="140" t="n"/>
      <c r="Q64" s="84">
        <f>IF(P64&lt;&gt;"",P64,IF(O64="","",WORKDAY.INTL(L64,ROUNDUP(O64,0),INDEX(LR_Code,MATCH(B64,LR_Lane,0)),INDEX(DH_Table,0,MATCH(B64&amp;"*",DH_Head,0)))))</f>
        <v/>
      </c>
      <c r="R64" s="100">
        <f>IF(Q64="","",IF(Q64&lt;=N64,"Yes","No"))</f>
        <v/>
      </c>
      <c r="S64" s="52">
        <f>IF(Q64="","",IF(Q64&lt;=N64,0,NETWORKDAYS.INTL(N64,Q64,INDEX(LR_Code,MATCH(B64,LR_Lane,0)),INDEX(DH_Table,0,MATCH(B64&amp;"*",DH_Head,0)))-1))</f>
        <v/>
      </c>
      <c r="T64" s="127" t="n"/>
      <c r="U64" s="112">
        <f>IF(V64&lt;&gt;"",V64,IF(IFERROR(INDEX(RS_Flag,MATCH(B64,RS_Lane,0)),"")="Yes",IF(IFERROR(INDEX(RS_Loc,MATCH(B64,RS_Lane,0)),"")="","Regional stock",IFERROR(INDEX(RS_Loc,MATCH(B64,RS_Lane,0)),"")),"Helmond"))</f>
        <v/>
      </c>
      <c r="V64" s="141" t="n"/>
      <c r="W64" s="142" t="n"/>
      <c r="X64" s="143" t="n"/>
      <c r="Y64" s="116">
        <f>IF(X64&lt;&gt;"",X64,IF(U64="Helmond",IF(COUNTIFS(RC_Lane,B64,RC_Band,E64,RC_CostPS,"&gt;0")=0,"",SUMIFS(RC_CostPS,RC_Lane,B64,RC_Band,E64)*(1-SUMIFS(RC_Disc,RC_Lane,B64,RC_Band,E64))),IF(U64="Other","",IF(INDEX(RS_Rate,MATCH(B64,RS_Lane,0))="","",INDEX(RS_Rate,MATCH(B64,RS_Lane,0))))))</f>
        <v/>
      </c>
    </row>
    <row r="65">
      <c r="A65" s="95" t="inlineStr">
        <is>
          <t>B-061</t>
        </is>
      </c>
      <c r="B65" s="112" t="inlineStr">
        <is>
          <t>L01</t>
        </is>
      </c>
      <c r="C65" s="101" t="inlineStr">
        <is>
          <t>Saudi Arabia</t>
        </is>
      </c>
      <c r="D65" s="101" t="inlineStr">
        <is>
          <t>Jeddah</t>
        </is>
      </c>
      <c r="E65" s="101" t="inlineStr">
        <is>
          <t>B2  30 to 100 kg</t>
        </is>
      </c>
      <c r="F65" s="123" t="n">
        <v>55.1</v>
      </c>
      <c r="G65" s="86">
        <f>F65*0.006477</f>
        <v/>
      </c>
      <c r="H65" s="123">
        <f>F65*1.079436</f>
        <v/>
      </c>
      <c r="I65" s="122">
        <f>MAX(1,ROUNDUP(G65/0.096,0))</f>
        <v/>
      </c>
      <c r="J65" s="84" t="n">
        <v>46458</v>
      </c>
      <c r="K65" s="87">
        <f>J65-WEEKDAY(J65,2)+1</f>
        <v/>
      </c>
      <c r="L65" s="84">
        <f>J65</f>
        <v/>
      </c>
      <c r="M65" s="52">
        <f>INDEX(LR_Target,MATCH(B65,LR_Lane,0))</f>
        <v/>
      </c>
      <c r="N65" s="84">
        <f>WORKDAY.INTL(L65,M65,INDEX(LR_Code,MATCH(B65,LR_Lane,0)),INDEX(DH_Table,0,MATCH(B65&amp;"*",DH_Head,0)))</f>
        <v/>
      </c>
      <c r="O65" s="65">
        <f>IF(W65&lt;&gt;"",W65,IF(U65="Helmond",IF(COUNTIFS(RC_Lane,B65,RC_Band,E65,RC_Transit,"&lt;&gt;")=0,"",SUMIFS(RC_Transit,RC_Lane,B65,RC_Band,E65)),IF(U65="Other","",IF(INDEX(RS_Transit,MATCH(B65,RS_Lane,0))="","",INDEX(RS_Transit,MATCH(B65,RS_Lane,0))))))</f>
        <v/>
      </c>
      <c r="P65" s="140" t="n"/>
      <c r="Q65" s="84">
        <f>IF(P65&lt;&gt;"",P65,IF(O65="","",WORKDAY.INTL(L65,ROUNDUP(O65,0),INDEX(LR_Code,MATCH(B65,LR_Lane,0)),INDEX(DH_Table,0,MATCH(B65&amp;"*",DH_Head,0)))))</f>
        <v/>
      </c>
      <c r="R65" s="100">
        <f>IF(Q65="","",IF(Q65&lt;=N65,"Yes","No"))</f>
        <v/>
      </c>
      <c r="S65" s="52">
        <f>IF(Q65="","",IF(Q65&lt;=N65,0,NETWORKDAYS.INTL(N65,Q65,INDEX(LR_Code,MATCH(B65,LR_Lane,0)),INDEX(DH_Table,0,MATCH(B65&amp;"*",DH_Head,0)))-1))</f>
        <v/>
      </c>
      <c r="T65" s="127" t="n"/>
      <c r="U65" s="112">
        <f>IF(V65&lt;&gt;"",V65,IF(IFERROR(INDEX(RS_Flag,MATCH(B65,RS_Lane,0)),"")="Yes",IF(IFERROR(INDEX(RS_Loc,MATCH(B65,RS_Lane,0)),"")="","Regional stock",IFERROR(INDEX(RS_Loc,MATCH(B65,RS_Lane,0)),"")),"Helmond"))</f>
        <v/>
      </c>
      <c r="V65" s="141" t="n"/>
      <c r="W65" s="142" t="n"/>
      <c r="X65" s="143" t="n"/>
      <c r="Y65" s="116">
        <f>IF(X65&lt;&gt;"",X65,IF(U65="Helmond",IF(COUNTIFS(RC_Lane,B65,RC_Band,E65,RC_CostPS,"&gt;0")=0,"",SUMIFS(RC_CostPS,RC_Lane,B65,RC_Band,E65)*(1-SUMIFS(RC_Disc,RC_Lane,B65,RC_Band,E65))),IF(U65="Other","",IF(INDEX(RS_Rate,MATCH(B65,RS_Lane,0))="","",INDEX(RS_Rate,MATCH(B65,RS_Lane,0))))))</f>
        <v/>
      </c>
    </row>
    <row r="66">
      <c r="A66" s="95" t="inlineStr">
        <is>
          <t>B-062</t>
        </is>
      </c>
      <c r="B66" s="112" t="inlineStr">
        <is>
          <t>L01</t>
        </is>
      </c>
      <c r="C66" s="101" t="inlineStr">
        <is>
          <t>Saudi Arabia</t>
        </is>
      </c>
      <c r="D66" s="101" t="inlineStr">
        <is>
          <t>Riyadh</t>
        </is>
      </c>
      <c r="E66" s="101" t="inlineStr">
        <is>
          <t>B2  30 to 100 kg</t>
        </is>
      </c>
      <c r="F66" s="123" t="n">
        <v>53.3</v>
      </c>
      <c r="G66" s="86">
        <f>F66*0.006477</f>
        <v/>
      </c>
      <c r="H66" s="123">
        <f>F66*1.079436</f>
        <v/>
      </c>
      <c r="I66" s="122">
        <f>MAX(1,ROUNDUP(G66/0.096,0))</f>
        <v/>
      </c>
      <c r="J66" s="84" t="n">
        <v>46458</v>
      </c>
      <c r="K66" s="87">
        <f>J66-WEEKDAY(J66,2)+1</f>
        <v/>
      </c>
      <c r="L66" s="84">
        <f>J66</f>
        <v/>
      </c>
      <c r="M66" s="52">
        <f>INDEX(LR_Target,MATCH(B66,LR_Lane,0))</f>
        <v/>
      </c>
      <c r="N66" s="84">
        <f>WORKDAY.INTL(L66,M66,INDEX(LR_Code,MATCH(B66,LR_Lane,0)),INDEX(DH_Table,0,MATCH(B66&amp;"*",DH_Head,0)))</f>
        <v/>
      </c>
      <c r="O66" s="65">
        <f>IF(W66&lt;&gt;"",W66,IF(U66="Helmond",IF(COUNTIFS(RC_Lane,B66,RC_Band,E66,RC_Transit,"&lt;&gt;")=0,"",SUMIFS(RC_Transit,RC_Lane,B66,RC_Band,E66)),IF(U66="Other","",IF(INDEX(RS_Transit,MATCH(B66,RS_Lane,0))="","",INDEX(RS_Transit,MATCH(B66,RS_Lane,0))))))</f>
        <v/>
      </c>
      <c r="P66" s="140" t="n"/>
      <c r="Q66" s="84">
        <f>IF(P66&lt;&gt;"",P66,IF(O66="","",WORKDAY.INTL(L66,ROUNDUP(O66,0),INDEX(LR_Code,MATCH(B66,LR_Lane,0)),INDEX(DH_Table,0,MATCH(B66&amp;"*",DH_Head,0)))))</f>
        <v/>
      </c>
      <c r="R66" s="100">
        <f>IF(Q66="","",IF(Q66&lt;=N66,"Yes","No"))</f>
        <v/>
      </c>
      <c r="S66" s="52">
        <f>IF(Q66="","",IF(Q66&lt;=N66,0,NETWORKDAYS.INTL(N66,Q66,INDEX(LR_Code,MATCH(B66,LR_Lane,0)),INDEX(DH_Table,0,MATCH(B66&amp;"*",DH_Head,0)))-1))</f>
        <v/>
      </c>
      <c r="T66" s="127" t="n"/>
      <c r="U66" s="112">
        <f>IF(V66&lt;&gt;"",V66,IF(IFERROR(INDEX(RS_Flag,MATCH(B66,RS_Lane,0)),"")="Yes",IF(IFERROR(INDEX(RS_Loc,MATCH(B66,RS_Lane,0)),"")="","Regional stock",IFERROR(INDEX(RS_Loc,MATCH(B66,RS_Lane,0)),"")),"Helmond"))</f>
        <v/>
      </c>
      <c r="V66" s="141" t="n"/>
      <c r="W66" s="142" t="n"/>
      <c r="X66" s="143" t="n"/>
      <c r="Y66" s="116">
        <f>IF(X66&lt;&gt;"",X66,IF(U66="Helmond",IF(COUNTIFS(RC_Lane,B66,RC_Band,E66,RC_CostPS,"&gt;0")=0,"",SUMIFS(RC_CostPS,RC_Lane,B66,RC_Band,E66)*(1-SUMIFS(RC_Disc,RC_Lane,B66,RC_Band,E66))),IF(U66="Other","",IF(INDEX(RS_Rate,MATCH(B66,RS_Lane,0))="","",INDEX(RS_Rate,MATCH(B66,RS_Lane,0))))))</f>
        <v/>
      </c>
    </row>
    <row r="67">
      <c r="A67" s="95" t="inlineStr">
        <is>
          <t>B-063</t>
        </is>
      </c>
      <c r="B67" s="112" t="inlineStr">
        <is>
          <t>L05</t>
        </is>
      </c>
      <c r="C67" s="101" t="inlineStr">
        <is>
          <t>Türkiye</t>
        </is>
      </c>
      <c r="D67" s="101" t="inlineStr">
        <is>
          <t>Istanbul</t>
        </is>
      </c>
      <c r="E67" s="101" t="inlineStr">
        <is>
          <t>B3  100 to 500 kg</t>
        </is>
      </c>
      <c r="F67" s="123" t="n">
        <v>281.2</v>
      </c>
      <c r="G67" s="86">
        <f>F67*0.006477</f>
        <v/>
      </c>
      <c r="H67" s="123">
        <f>F67*1.079436</f>
        <v/>
      </c>
      <c r="I67" s="122">
        <f>MAX(1,ROUNDUP(G67/0.096,0))</f>
        <v/>
      </c>
      <c r="J67" s="84" t="n">
        <v>46458</v>
      </c>
      <c r="K67" s="87">
        <f>J67-WEEKDAY(J67,2)+1</f>
        <v/>
      </c>
      <c r="L67" s="84">
        <f>J67</f>
        <v/>
      </c>
      <c r="M67" s="52">
        <f>INDEX(LR_Target,MATCH(B67,LR_Lane,0))</f>
        <v/>
      </c>
      <c r="N67" s="84">
        <f>WORKDAY.INTL(L67,M67,INDEX(LR_Code,MATCH(B67,LR_Lane,0)),INDEX(DH_Table,0,MATCH(B67&amp;"*",DH_Head,0)))</f>
        <v/>
      </c>
      <c r="O67" s="65">
        <f>IF(W67&lt;&gt;"",W67,IF(U67="Helmond",IF(COUNTIFS(RC_Lane,B67,RC_Band,E67,RC_Transit,"&lt;&gt;")=0,"",SUMIFS(RC_Transit,RC_Lane,B67,RC_Band,E67)),IF(U67="Other","",IF(INDEX(RS_Transit,MATCH(B67,RS_Lane,0))="","",INDEX(RS_Transit,MATCH(B67,RS_Lane,0))))))</f>
        <v/>
      </c>
      <c r="P67" s="140" t="n"/>
      <c r="Q67" s="84">
        <f>IF(P67&lt;&gt;"",P67,IF(O67="","",WORKDAY.INTL(L67,ROUNDUP(O67,0),INDEX(LR_Code,MATCH(B67,LR_Lane,0)),INDEX(DH_Table,0,MATCH(B67&amp;"*",DH_Head,0)))))</f>
        <v/>
      </c>
      <c r="R67" s="100">
        <f>IF(Q67="","",IF(Q67&lt;=N67,"Yes","No"))</f>
        <v/>
      </c>
      <c r="S67" s="52">
        <f>IF(Q67="","",IF(Q67&lt;=N67,0,NETWORKDAYS.INTL(N67,Q67,INDEX(LR_Code,MATCH(B67,LR_Lane,0)),INDEX(DH_Table,0,MATCH(B67&amp;"*",DH_Head,0)))-1))</f>
        <v/>
      </c>
      <c r="T67" s="127" t="n"/>
      <c r="U67" s="112">
        <f>IF(V67&lt;&gt;"",V67,IF(IFERROR(INDEX(RS_Flag,MATCH(B67,RS_Lane,0)),"")="Yes",IF(IFERROR(INDEX(RS_Loc,MATCH(B67,RS_Lane,0)),"")="","Regional stock",IFERROR(INDEX(RS_Loc,MATCH(B67,RS_Lane,0)),"")),"Helmond"))</f>
        <v/>
      </c>
      <c r="V67" s="141" t="n"/>
      <c r="W67" s="142" t="n"/>
      <c r="X67" s="143" t="n"/>
      <c r="Y67" s="116">
        <f>IF(X67&lt;&gt;"",X67,IF(U67="Helmond",IF(COUNTIFS(RC_Lane,B67,RC_Band,E67,RC_CostPS,"&gt;0")=0,"",SUMIFS(RC_CostPS,RC_Lane,B67,RC_Band,E67)*(1-SUMIFS(RC_Disc,RC_Lane,B67,RC_Band,E67))),IF(U67="Other","",IF(INDEX(RS_Rate,MATCH(B67,RS_Lane,0))="","",INDEX(RS_Rate,MATCH(B67,RS_Lane,0))))))</f>
        <v/>
      </c>
    </row>
    <row r="68">
      <c r="A68" s="95" t="inlineStr">
        <is>
          <t>B-064</t>
        </is>
      </c>
      <c r="B68" s="112" t="inlineStr">
        <is>
          <t>L02</t>
        </is>
      </c>
      <c r="C68" s="101" t="inlineStr">
        <is>
          <t>United Arab Emirates</t>
        </is>
      </c>
      <c r="D68" s="101" t="inlineStr">
        <is>
          <t>Dubai</t>
        </is>
      </c>
      <c r="E68" s="101" t="inlineStr">
        <is>
          <t>B1  0 to 30 kg</t>
        </is>
      </c>
      <c r="F68" s="123" t="n">
        <v>3.3</v>
      </c>
      <c r="G68" s="86">
        <f>F68*0.006477</f>
        <v/>
      </c>
      <c r="H68" s="123">
        <f>F68*1.079436</f>
        <v/>
      </c>
      <c r="I68" s="122">
        <f>MAX(1,ROUNDUP(G68/0.096,0))</f>
        <v/>
      </c>
      <c r="J68" s="84" t="n">
        <v>46463</v>
      </c>
      <c r="K68" s="87">
        <f>J68-WEEKDAY(J68,2)+1</f>
        <v/>
      </c>
      <c r="L68" s="84">
        <f>J68</f>
        <v/>
      </c>
      <c r="M68" s="52">
        <f>INDEX(LR_Target,MATCH(B68,LR_Lane,0))</f>
        <v/>
      </c>
      <c r="N68" s="84">
        <f>WORKDAY.INTL(L68,M68,INDEX(LR_Code,MATCH(B68,LR_Lane,0)),INDEX(DH_Table,0,MATCH(B68&amp;"*",DH_Head,0)))</f>
        <v/>
      </c>
      <c r="O68" s="65">
        <f>IF(W68&lt;&gt;"",W68,IF(U68="Helmond",IF(COUNTIFS(RC_Lane,B68,RC_Band,E68,RC_Transit,"&lt;&gt;")=0,"",SUMIFS(RC_Transit,RC_Lane,B68,RC_Band,E68)),IF(U68="Other","",IF(INDEX(RS_Transit,MATCH(B68,RS_Lane,0))="","",INDEX(RS_Transit,MATCH(B68,RS_Lane,0))))))</f>
        <v/>
      </c>
      <c r="P68" s="140" t="n"/>
      <c r="Q68" s="84">
        <f>IF(P68&lt;&gt;"",P68,IF(O68="","",WORKDAY.INTL(L68,ROUNDUP(O68,0),INDEX(LR_Code,MATCH(B68,LR_Lane,0)),INDEX(DH_Table,0,MATCH(B68&amp;"*",DH_Head,0)))))</f>
        <v/>
      </c>
      <c r="R68" s="100">
        <f>IF(Q68="","",IF(Q68&lt;=N68,"Yes","No"))</f>
        <v/>
      </c>
      <c r="S68" s="52">
        <f>IF(Q68="","",IF(Q68&lt;=N68,0,NETWORKDAYS.INTL(N68,Q68,INDEX(LR_Code,MATCH(B68,LR_Lane,0)),INDEX(DH_Table,0,MATCH(B68&amp;"*",DH_Head,0)))-1))</f>
        <v/>
      </c>
      <c r="T68" s="127" t="n"/>
      <c r="U68" s="112">
        <f>IF(V68&lt;&gt;"",V68,IF(IFERROR(INDEX(RS_Flag,MATCH(B68,RS_Lane,0)),"")="Yes",IF(IFERROR(INDEX(RS_Loc,MATCH(B68,RS_Lane,0)),"")="","Regional stock",IFERROR(INDEX(RS_Loc,MATCH(B68,RS_Lane,0)),"")),"Helmond"))</f>
        <v/>
      </c>
      <c r="V68" s="141" t="n"/>
      <c r="W68" s="142" t="n"/>
      <c r="X68" s="143" t="n"/>
      <c r="Y68" s="116">
        <f>IF(X68&lt;&gt;"",X68,IF(U68="Helmond",IF(COUNTIFS(RC_Lane,B68,RC_Band,E68,RC_CostPS,"&gt;0")=0,"",SUMIFS(RC_CostPS,RC_Lane,B68,RC_Band,E68)*(1-SUMIFS(RC_Disc,RC_Lane,B68,RC_Band,E68))),IF(U68="Other","",IF(INDEX(RS_Rate,MATCH(B68,RS_Lane,0))="","",INDEX(RS_Rate,MATCH(B68,RS_Lane,0))))))</f>
        <v/>
      </c>
    </row>
    <row r="69">
      <c r="A69" s="95" t="inlineStr">
        <is>
          <t>B-065</t>
        </is>
      </c>
      <c r="B69" s="112" t="inlineStr">
        <is>
          <t>L03</t>
        </is>
      </c>
      <c r="C69" s="101" t="inlineStr">
        <is>
          <t>Kuwait</t>
        </is>
      </c>
      <c r="D69" s="101" t="inlineStr">
        <is>
          <t>Kuwait City</t>
        </is>
      </c>
      <c r="E69" s="101" t="inlineStr">
        <is>
          <t>B3  100 to 500 kg</t>
        </is>
      </c>
      <c r="F69" s="123" t="n">
        <v>311.3</v>
      </c>
      <c r="G69" s="86">
        <f>F69*0.006477</f>
        <v/>
      </c>
      <c r="H69" s="123">
        <f>F69*1.079436</f>
        <v/>
      </c>
      <c r="I69" s="122">
        <f>MAX(1,ROUNDUP(G69/0.096,0))</f>
        <v/>
      </c>
      <c r="J69" s="84" t="n">
        <v>46464</v>
      </c>
      <c r="K69" s="87">
        <f>J69-WEEKDAY(J69,2)+1</f>
        <v/>
      </c>
      <c r="L69" s="84">
        <f>J69</f>
        <v/>
      </c>
      <c r="M69" s="52">
        <f>INDEX(LR_Target,MATCH(B69,LR_Lane,0))</f>
        <v/>
      </c>
      <c r="N69" s="84">
        <f>WORKDAY.INTL(L69,M69,INDEX(LR_Code,MATCH(B69,LR_Lane,0)),INDEX(DH_Table,0,MATCH(B69&amp;"*",DH_Head,0)))</f>
        <v/>
      </c>
      <c r="O69" s="65">
        <f>IF(W69&lt;&gt;"",W69,IF(U69="Helmond",IF(COUNTIFS(RC_Lane,B69,RC_Band,E69,RC_Transit,"&lt;&gt;")=0,"",SUMIFS(RC_Transit,RC_Lane,B69,RC_Band,E69)),IF(U69="Other","",IF(INDEX(RS_Transit,MATCH(B69,RS_Lane,0))="","",INDEX(RS_Transit,MATCH(B69,RS_Lane,0))))))</f>
        <v/>
      </c>
      <c r="P69" s="140" t="n"/>
      <c r="Q69" s="84">
        <f>IF(P69&lt;&gt;"",P69,IF(O69="","",WORKDAY.INTL(L69,ROUNDUP(O69,0),INDEX(LR_Code,MATCH(B69,LR_Lane,0)),INDEX(DH_Table,0,MATCH(B69&amp;"*",DH_Head,0)))))</f>
        <v/>
      </c>
      <c r="R69" s="100">
        <f>IF(Q69="","",IF(Q69&lt;=N69,"Yes","No"))</f>
        <v/>
      </c>
      <c r="S69" s="52">
        <f>IF(Q69="","",IF(Q69&lt;=N69,0,NETWORKDAYS.INTL(N69,Q69,INDEX(LR_Code,MATCH(B69,LR_Lane,0)),INDEX(DH_Table,0,MATCH(B69&amp;"*",DH_Head,0)))-1))</f>
        <v/>
      </c>
      <c r="T69" s="127" t="n"/>
      <c r="U69" s="112">
        <f>IF(V69&lt;&gt;"",V69,IF(IFERROR(INDEX(RS_Flag,MATCH(B69,RS_Lane,0)),"")="Yes",IF(IFERROR(INDEX(RS_Loc,MATCH(B69,RS_Lane,0)),"")="","Regional stock",IFERROR(INDEX(RS_Loc,MATCH(B69,RS_Lane,0)),"")),"Helmond"))</f>
        <v/>
      </c>
      <c r="V69" s="141" t="n"/>
      <c r="W69" s="142" t="n"/>
      <c r="X69" s="143" t="n"/>
      <c r="Y69" s="116">
        <f>IF(X69&lt;&gt;"",X69,IF(U69="Helmond",IF(COUNTIFS(RC_Lane,B69,RC_Band,E69,RC_CostPS,"&gt;0")=0,"",SUMIFS(RC_CostPS,RC_Lane,B69,RC_Band,E69)*(1-SUMIFS(RC_Disc,RC_Lane,B69,RC_Band,E69))),IF(U69="Other","",IF(INDEX(RS_Rate,MATCH(B69,RS_Lane,0))="","",INDEX(RS_Rate,MATCH(B69,RS_Lane,0))))))</f>
        <v/>
      </c>
    </row>
    <row r="70">
      <c r="A70" s="95" t="inlineStr">
        <is>
          <t>B-066</t>
        </is>
      </c>
      <c r="B70" s="112" t="inlineStr">
        <is>
          <t>L02</t>
        </is>
      </c>
      <c r="C70" s="101" t="inlineStr">
        <is>
          <t>United Arab Emirates</t>
        </is>
      </c>
      <c r="D70" s="101" t="inlineStr">
        <is>
          <t>Dubai</t>
        </is>
      </c>
      <c r="E70" s="101" t="inlineStr">
        <is>
          <t>B3  100 to 500 kg</t>
        </is>
      </c>
      <c r="F70" s="123" t="n">
        <v>169.5</v>
      </c>
      <c r="G70" s="86">
        <f>F70*0.006477</f>
        <v/>
      </c>
      <c r="H70" s="123">
        <f>F70*1.079436</f>
        <v/>
      </c>
      <c r="I70" s="122">
        <f>MAX(1,ROUNDUP(G70/0.096,0))</f>
        <v/>
      </c>
      <c r="J70" s="84" t="n">
        <v>46465</v>
      </c>
      <c r="K70" s="87">
        <f>J70-WEEKDAY(J70,2)+1</f>
        <v/>
      </c>
      <c r="L70" s="84">
        <f>J70</f>
        <v/>
      </c>
      <c r="M70" s="52">
        <f>INDEX(LR_Target,MATCH(B70,LR_Lane,0))</f>
        <v/>
      </c>
      <c r="N70" s="84">
        <f>WORKDAY.INTL(L70,M70,INDEX(LR_Code,MATCH(B70,LR_Lane,0)),INDEX(DH_Table,0,MATCH(B70&amp;"*",DH_Head,0)))</f>
        <v/>
      </c>
      <c r="O70" s="65">
        <f>IF(W70&lt;&gt;"",W70,IF(U70="Helmond",IF(COUNTIFS(RC_Lane,B70,RC_Band,E70,RC_Transit,"&lt;&gt;")=0,"",SUMIFS(RC_Transit,RC_Lane,B70,RC_Band,E70)),IF(U70="Other","",IF(INDEX(RS_Transit,MATCH(B70,RS_Lane,0))="","",INDEX(RS_Transit,MATCH(B70,RS_Lane,0))))))</f>
        <v/>
      </c>
      <c r="P70" s="140" t="n"/>
      <c r="Q70" s="84">
        <f>IF(P70&lt;&gt;"",P70,IF(O70="","",WORKDAY.INTL(L70,ROUNDUP(O70,0),INDEX(LR_Code,MATCH(B70,LR_Lane,0)),INDEX(DH_Table,0,MATCH(B70&amp;"*",DH_Head,0)))))</f>
        <v/>
      </c>
      <c r="R70" s="100">
        <f>IF(Q70="","",IF(Q70&lt;=N70,"Yes","No"))</f>
        <v/>
      </c>
      <c r="S70" s="52">
        <f>IF(Q70="","",IF(Q70&lt;=N70,0,NETWORKDAYS.INTL(N70,Q70,INDEX(LR_Code,MATCH(B70,LR_Lane,0)),INDEX(DH_Table,0,MATCH(B70&amp;"*",DH_Head,0)))-1))</f>
        <v/>
      </c>
      <c r="T70" s="127" t="n"/>
      <c r="U70" s="112">
        <f>IF(V70&lt;&gt;"",V70,IF(IFERROR(INDEX(RS_Flag,MATCH(B70,RS_Lane,0)),"")="Yes",IF(IFERROR(INDEX(RS_Loc,MATCH(B70,RS_Lane,0)),"")="","Regional stock",IFERROR(INDEX(RS_Loc,MATCH(B70,RS_Lane,0)),"")),"Helmond"))</f>
        <v/>
      </c>
      <c r="V70" s="141" t="n"/>
      <c r="W70" s="142" t="n"/>
      <c r="X70" s="143" t="n"/>
      <c r="Y70" s="116">
        <f>IF(X70&lt;&gt;"",X70,IF(U70="Helmond",IF(COUNTIFS(RC_Lane,B70,RC_Band,E70,RC_CostPS,"&gt;0")=0,"",SUMIFS(RC_CostPS,RC_Lane,B70,RC_Band,E70)*(1-SUMIFS(RC_Disc,RC_Lane,B70,RC_Band,E70))),IF(U70="Other","",IF(INDEX(RS_Rate,MATCH(B70,RS_Lane,0))="","",INDEX(RS_Rate,MATCH(B70,RS_Lane,0))))))</f>
        <v/>
      </c>
    </row>
    <row r="71">
      <c r="A71" s="95" t="inlineStr">
        <is>
          <t>B-067</t>
        </is>
      </c>
      <c r="B71" s="112" t="inlineStr">
        <is>
          <t>L01</t>
        </is>
      </c>
      <c r="C71" s="101" t="inlineStr">
        <is>
          <t>Saudi Arabia</t>
        </is>
      </c>
      <c r="D71" s="101" t="inlineStr">
        <is>
          <t>Jeddah</t>
        </is>
      </c>
      <c r="E71" s="101" t="inlineStr">
        <is>
          <t>B2  30 to 100 kg</t>
        </is>
      </c>
      <c r="F71" s="123" t="n">
        <v>35.1</v>
      </c>
      <c r="G71" s="86">
        <f>F71*0.006477</f>
        <v/>
      </c>
      <c r="H71" s="123">
        <f>F71*1.079436</f>
        <v/>
      </c>
      <c r="I71" s="122">
        <f>MAX(1,ROUNDUP(G71/0.096,0))</f>
        <v/>
      </c>
      <c r="J71" s="84" t="n">
        <v>46468</v>
      </c>
      <c r="K71" s="87">
        <f>J71-WEEKDAY(J71,2)+1</f>
        <v/>
      </c>
      <c r="L71" s="84">
        <f>J71</f>
        <v/>
      </c>
      <c r="M71" s="52">
        <f>INDEX(LR_Target,MATCH(B71,LR_Lane,0))</f>
        <v/>
      </c>
      <c r="N71" s="84">
        <f>WORKDAY.INTL(L71,M71,INDEX(LR_Code,MATCH(B71,LR_Lane,0)),INDEX(DH_Table,0,MATCH(B71&amp;"*",DH_Head,0)))</f>
        <v/>
      </c>
      <c r="O71" s="65">
        <f>IF(W71&lt;&gt;"",W71,IF(U71="Helmond",IF(COUNTIFS(RC_Lane,B71,RC_Band,E71,RC_Transit,"&lt;&gt;")=0,"",SUMIFS(RC_Transit,RC_Lane,B71,RC_Band,E71)),IF(U71="Other","",IF(INDEX(RS_Transit,MATCH(B71,RS_Lane,0))="","",INDEX(RS_Transit,MATCH(B71,RS_Lane,0))))))</f>
        <v/>
      </c>
      <c r="P71" s="140" t="n"/>
      <c r="Q71" s="84">
        <f>IF(P71&lt;&gt;"",P71,IF(O71="","",WORKDAY.INTL(L71,ROUNDUP(O71,0),INDEX(LR_Code,MATCH(B71,LR_Lane,0)),INDEX(DH_Table,0,MATCH(B71&amp;"*",DH_Head,0)))))</f>
        <v/>
      </c>
      <c r="R71" s="100">
        <f>IF(Q71="","",IF(Q71&lt;=N71,"Yes","No"))</f>
        <v/>
      </c>
      <c r="S71" s="52">
        <f>IF(Q71="","",IF(Q71&lt;=N71,0,NETWORKDAYS.INTL(N71,Q71,INDEX(LR_Code,MATCH(B71,LR_Lane,0)),INDEX(DH_Table,0,MATCH(B71&amp;"*",DH_Head,0)))-1))</f>
        <v/>
      </c>
      <c r="T71" s="127" t="n"/>
      <c r="U71" s="112">
        <f>IF(V71&lt;&gt;"",V71,IF(IFERROR(INDEX(RS_Flag,MATCH(B71,RS_Lane,0)),"")="Yes",IF(IFERROR(INDEX(RS_Loc,MATCH(B71,RS_Lane,0)),"")="","Regional stock",IFERROR(INDEX(RS_Loc,MATCH(B71,RS_Lane,0)),"")),"Helmond"))</f>
        <v/>
      </c>
      <c r="V71" s="141" t="n"/>
      <c r="W71" s="142" t="n"/>
      <c r="X71" s="143" t="n"/>
      <c r="Y71" s="116">
        <f>IF(X71&lt;&gt;"",X71,IF(U71="Helmond",IF(COUNTIFS(RC_Lane,B71,RC_Band,E71,RC_CostPS,"&gt;0")=0,"",SUMIFS(RC_CostPS,RC_Lane,B71,RC_Band,E71)*(1-SUMIFS(RC_Disc,RC_Lane,B71,RC_Band,E71))),IF(U71="Other","",IF(INDEX(RS_Rate,MATCH(B71,RS_Lane,0))="","",INDEX(RS_Rate,MATCH(B71,RS_Lane,0))))))</f>
        <v/>
      </c>
    </row>
    <row r="72">
      <c r="A72" s="95" t="inlineStr">
        <is>
          <t>B-068</t>
        </is>
      </c>
      <c r="B72" s="112" t="inlineStr">
        <is>
          <t>L04</t>
        </is>
      </c>
      <c r="C72" s="101" t="inlineStr">
        <is>
          <t>Qatar</t>
        </is>
      </c>
      <c r="D72" s="101" t="inlineStr">
        <is>
          <t>Doha</t>
        </is>
      </c>
      <c r="E72" s="101" t="inlineStr">
        <is>
          <t>B2  30 to 100 kg</t>
        </is>
      </c>
      <c r="F72" s="123" t="n">
        <v>39.5</v>
      </c>
      <c r="G72" s="86">
        <f>F72*0.006477</f>
        <v/>
      </c>
      <c r="H72" s="123">
        <f>F72*1.079436</f>
        <v/>
      </c>
      <c r="I72" s="122">
        <f>MAX(1,ROUNDUP(G72/0.096,0))</f>
        <v/>
      </c>
      <c r="J72" s="84" t="n">
        <v>46468</v>
      </c>
      <c r="K72" s="87">
        <f>J72-WEEKDAY(J72,2)+1</f>
        <v/>
      </c>
      <c r="L72" s="84">
        <f>J72</f>
        <v/>
      </c>
      <c r="M72" s="52">
        <f>INDEX(LR_Target,MATCH(B72,LR_Lane,0))</f>
        <v/>
      </c>
      <c r="N72" s="84">
        <f>WORKDAY.INTL(L72,M72,INDEX(LR_Code,MATCH(B72,LR_Lane,0)),INDEX(DH_Table,0,MATCH(B72&amp;"*",DH_Head,0)))</f>
        <v/>
      </c>
      <c r="O72" s="65">
        <f>IF(W72&lt;&gt;"",W72,IF(U72="Helmond",IF(COUNTIFS(RC_Lane,B72,RC_Band,E72,RC_Transit,"&lt;&gt;")=0,"",SUMIFS(RC_Transit,RC_Lane,B72,RC_Band,E72)),IF(U72="Other","",IF(INDEX(RS_Transit,MATCH(B72,RS_Lane,0))="","",INDEX(RS_Transit,MATCH(B72,RS_Lane,0))))))</f>
        <v/>
      </c>
      <c r="P72" s="140" t="n"/>
      <c r="Q72" s="84">
        <f>IF(P72&lt;&gt;"",P72,IF(O72="","",WORKDAY.INTL(L72,ROUNDUP(O72,0),INDEX(LR_Code,MATCH(B72,LR_Lane,0)),INDEX(DH_Table,0,MATCH(B72&amp;"*",DH_Head,0)))))</f>
        <v/>
      </c>
      <c r="R72" s="100">
        <f>IF(Q72="","",IF(Q72&lt;=N72,"Yes","No"))</f>
        <v/>
      </c>
      <c r="S72" s="52">
        <f>IF(Q72="","",IF(Q72&lt;=N72,0,NETWORKDAYS.INTL(N72,Q72,INDEX(LR_Code,MATCH(B72,LR_Lane,0)),INDEX(DH_Table,0,MATCH(B72&amp;"*",DH_Head,0)))-1))</f>
        <v/>
      </c>
      <c r="T72" s="127" t="n"/>
      <c r="U72" s="112">
        <f>IF(V72&lt;&gt;"",V72,IF(IFERROR(INDEX(RS_Flag,MATCH(B72,RS_Lane,0)),"")="Yes",IF(IFERROR(INDEX(RS_Loc,MATCH(B72,RS_Lane,0)),"")="","Regional stock",IFERROR(INDEX(RS_Loc,MATCH(B72,RS_Lane,0)),"")),"Helmond"))</f>
        <v/>
      </c>
      <c r="V72" s="141" t="n"/>
      <c r="W72" s="142" t="n"/>
      <c r="X72" s="143" t="n"/>
      <c r="Y72" s="116">
        <f>IF(X72&lt;&gt;"",X72,IF(U72="Helmond",IF(COUNTIFS(RC_Lane,B72,RC_Band,E72,RC_CostPS,"&gt;0")=0,"",SUMIFS(RC_CostPS,RC_Lane,B72,RC_Band,E72)*(1-SUMIFS(RC_Disc,RC_Lane,B72,RC_Band,E72))),IF(U72="Other","",IF(INDEX(RS_Rate,MATCH(B72,RS_Lane,0))="","",INDEX(RS_Rate,MATCH(B72,RS_Lane,0))))))</f>
        <v/>
      </c>
    </row>
    <row r="73">
      <c r="A73" s="95" t="inlineStr">
        <is>
          <t>B-069</t>
        </is>
      </c>
      <c r="B73" s="112" t="inlineStr">
        <is>
          <t>L01</t>
        </is>
      </c>
      <c r="C73" s="101" t="inlineStr">
        <is>
          <t>Saudi Arabia</t>
        </is>
      </c>
      <c r="D73" s="101" t="inlineStr">
        <is>
          <t>Jeddah</t>
        </is>
      </c>
      <c r="E73" s="101" t="inlineStr">
        <is>
          <t>B3  100 to 500 kg</t>
        </is>
      </c>
      <c r="F73" s="123" t="n">
        <v>139.3</v>
      </c>
      <c r="G73" s="86">
        <f>F73*0.006477</f>
        <v/>
      </c>
      <c r="H73" s="123">
        <f>F73*1.079436</f>
        <v/>
      </c>
      <c r="I73" s="122">
        <f>MAX(1,ROUNDUP(G73/0.096,0))</f>
        <v/>
      </c>
      <c r="J73" s="84" t="n">
        <v>46470</v>
      </c>
      <c r="K73" s="87">
        <f>J73-WEEKDAY(J73,2)+1</f>
        <v/>
      </c>
      <c r="L73" s="84">
        <f>J73</f>
        <v/>
      </c>
      <c r="M73" s="52">
        <f>INDEX(LR_Target,MATCH(B73,LR_Lane,0))</f>
        <v/>
      </c>
      <c r="N73" s="84">
        <f>WORKDAY.INTL(L73,M73,INDEX(LR_Code,MATCH(B73,LR_Lane,0)),INDEX(DH_Table,0,MATCH(B73&amp;"*",DH_Head,0)))</f>
        <v/>
      </c>
      <c r="O73" s="65">
        <f>IF(W73&lt;&gt;"",W73,IF(U73="Helmond",IF(COUNTIFS(RC_Lane,B73,RC_Band,E73,RC_Transit,"&lt;&gt;")=0,"",SUMIFS(RC_Transit,RC_Lane,B73,RC_Band,E73)),IF(U73="Other","",IF(INDEX(RS_Transit,MATCH(B73,RS_Lane,0))="","",INDEX(RS_Transit,MATCH(B73,RS_Lane,0))))))</f>
        <v/>
      </c>
      <c r="P73" s="140" t="n"/>
      <c r="Q73" s="84">
        <f>IF(P73&lt;&gt;"",P73,IF(O73="","",WORKDAY.INTL(L73,ROUNDUP(O73,0),INDEX(LR_Code,MATCH(B73,LR_Lane,0)),INDEX(DH_Table,0,MATCH(B73&amp;"*",DH_Head,0)))))</f>
        <v/>
      </c>
      <c r="R73" s="100">
        <f>IF(Q73="","",IF(Q73&lt;=N73,"Yes","No"))</f>
        <v/>
      </c>
      <c r="S73" s="52">
        <f>IF(Q73="","",IF(Q73&lt;=N73,0,NETWORKDAYS.INTL(N73,Q73,INDEX(LR_Code,MATCH(B73,LR_Lane,0)),INDEX(DH_Table,0,MATCH(B73&amp;"*",DH_Head,0)))-1))</f>
        <v/>
      </c>
      <c r="T73" s="127" t="n"/>
      <c r="U73" s="112">
        <f>IF(V73&lt;&gt;"",V73,IF(IFERROR(INDEX(RS_Flag,MATCH(B73,RS_Lane,0)),"")="Yes",IF(IFERROR(INDEX(RS_Loc,MATCH(B73,RS_Lane,0)),"")="","Regional stock",IFERROR(INDEX(RS_Loc,MATCH(B73,RS_Lane,0)),"")),"Helmond"))</f>
        <v/>
      </c>
      <c r="V73" s="141" t="n"/>
      <c r="W73" s="142" t="n"/>
      <c r="X73" s="143" t="n"/>
      <c r="Y73" s="116">
        <f>IF(X73&lt;&gt;"",X73,IF(U73="Helmond",IF(COUNTIFS(RC_Lane,B73,RC_Band,E73,RC_CostPS,"&gt;0")=0,"",SUMIFS(RC_CostPS,RC_Lane,B73,RC_Band,E73)*(1-SUMIFS(RC_Disc,RC_Lane,B73,RC_Band,E73))),IF(U73="Other","",IF(INDEX(RS_Rate,MATCH(B73,RS_Lane,0))="","",INDEX(RS_Rate,MATCH(B73,RS_Lane,0))))))</f>
        <v/>
      </c>
    </row>
    <row r="74">
      <c r="A74" s="95" t="inlineStr">
        <is>
          <t>B-070</t>
        </is>
      </c>
      <c r="B74" s="112" t="inlineStr">
        <is>
          <t>L01</t>
        </is>
      </c>
      <c r="C74" s="101" t="inlineStr">
        <is>
          <t>Saudi Arabia</t>
        </is>
      </c>
      <c r="D74" s="101" t="inlineStr">
        <is>
          <t>Jeddah</t>
        </is>
      </c>
      <c r="E74" s="101" t="inlineStr">
        <is>
          <t>B4  500 to 2,000 kg</t>
        </is>
      </c>
      <c r="F74" s="123" t="n">
        <v>887.7</v>
      </c>
      <c r="G74" s="86">
        <f>F74*0.006477</f>
        <v/>
      </c>
      <c r="H74" s="123">
        <f>F74*1.079436</f>
        <v/>
      </c>
      <c r="I74" s="122">
        <f>MAX(1,ROUNDUP(G74/0.096,0))</f>
        <v/>
      </c>
      <c r="J74" s="84" t="n">
        <v>46472</v>
      </c>
      <c r="K74" s="87">
        <f>J74-WEEKDAY(J74,2)+1</f>
        <v/>
      </c>
      <c r="L74" s="84">
        <f>J74</f>
        <v/>
      </c>
      <c r="M74" s="52">
        <f>INDEX(LR_Target,MATCH(B74,LR_Lane,0))</f>
        <v/>
      </c>
      <c r="N74" s="84">
        <f>WORKDAY.INTL(L74,M74,INDEX(LR_Code,MATCH(B74,LR_Lane,0)),INDEX(DH_Table,0,MATCH(B74&amp;"*",DH_Head,0)))</f>
        <v/>
      </c>
      <c r="O74" s="65">
        <f>IF(W74&lt;&gt;"",W74,IF(U74="Helmond",IF(COUNTIFS(RC_Lane,B74,RC_Band,E74,RC_Transit,"&lt;&gt;")=0,"",SUMIFS(RC_Transit,RC_Lane,B74,RC_Band,E74)),IF(U74="Other","",IF(INDEX(RS_Transit,MATCH(B74,RS_Lane,0))="","",INDEX(RS_Transit,MATCH(B74,RS_Lane,0))))))</f>
        <v/>
      </c>
      <c r="P74" s="140" t="n"/>
      <c r="Q74" s="84">
        <f>IF(P74&lt;&gt;"",P74,IF(O74="","",WORKDAY.INTL(L74,ROUNDUP(O74,0),INDEX(LR_Code,MATCH(B74,LR_Lane,0)),INDEX(DH_Table,0,MATCH(B74&amp;"*",DH_Head,0)))))</f>
        <v/>
      </c>
      <c r="R74" s="100">
        <f>IF(Q74="","",IF(Q74&lt;=N74,"Yes","No"))</f>
        <v/>
      </c>
      <c r="S74" s="52">
        <f>IF(Q74="","",IF(Q74&lt;=N74,0,NETWORKDAYS.INTL(N74,Q74,INDEX(LR_Code,MATCH(B74,LR_Lane,0)),INDEX(DH_Table,0,MATCH(B74&amp;"*",DH_Head,0)))-1))</f>
        <v/>
      </c>
      <c r="T74" s="127" t="n"/>
      <c r="U74" s="112">
        <f>IF(V74&lt;&gt;"",V74,IF(IFERROR(INDEX(RS_Flag,MATCH(B74,RS_Lane,0)),"")="Yes",IF(IFERROR(INDEX(RS_Loc,MATCH(B74,RS_Lane,0)),"")="","Regional stock",IFERROR(INDEX(RS_Loc,MATCH(B74,RS_Lane,0)),"")),"Helmond"))</f>
        <v/>
      </c>
      <c r="V74" s="141" t="n"/>
      <c r="W74" s="142" t="n"/>
      <c r="X74" s="143" t="n"/>
      <c r="Y74" s="116">
        <f>IF(X74&lt;&gt;"",X74,IF(U74="Helmond",IF(COUNTIFS(RC_Lane,B74,RC_Band,E74,RC_CostPS,"&gt;0")=0,"",SUMIFS(RC_CostPS,RC_Lane,B74,RC_Band,E74)*(1-SUMIFS(RC_Disc,RC_Lane,B74,RC_Band,E74))),IF(U74="Other","",IF(INDEX(RS_Rate,MATCH(B74,RS_Lane,0))="","",INDEX(RS_Rate,MATCH(B74,RS_Lane,0))))))</f>
        <v/>
      </c>
    </row>
    <row r="75">
      <c r="A75" s="95" t="inlineStr">
        <is>
          <t>B-071</t>
        </is>
      </c>
      <c r="B75" s="112" t="inlineStr">
        <is>
          <t>L01</t>
        </is>
      </c>
      <c r="C75" s="101" t="inlineStr">
        <is>
          <t>Saudi Arabia</t>
        </is>
      </c>
      <c r="D75" s="101" t="inlineStr">
        <is>
          <t>Riyadh</t>
        </is>
      </c>
      <c r="E75" s="101" t="inlineStr">
        <is>
          <t>B1  0 to 30 kg</t>
        </is>
      </c>
      <c r="F75" s="123" t="n">
        <v>12.9</v>
      </c>
      <c r="G75" s="86">
        <f>F75*0.006477</f>
        <v/>
      </c>
      <c r="H75" s="123">
        <f>F75*1.079436</f>
        <v/>
      </c>
      <c r="I75" s="122">
        <f>MAX(1,ROUNDUP(G75/0.096,0))</f>
        <v/>
      </c>
      <c r="J75" s="84" t="n">
        <v>46477</v>
      </c>
      <c r="K75" s="87">
        <f>J75-WEEKDAY(J75,2)+1</f>
        <v/>
      </c>
      <c r="L75" s="84">
        <f>J75</f>
        <v/>
      </c>
      <c r="M75" s="52">
        <f>INDEX(LR_Target,MATCH(B75,LR_Lane,0))</f>
        <v/>
      </c>
      <c r="N75" s="84">
        <f>WORKDAY.INTL(L75,M75,INDEX(LR_Code,MATCH(B75,LR_Lane,0)),INDEX(DH_Table,0,MATCH(B75&amp;"*",DH_Head,0)))</f>
        <v/>
      </c>
      <c r="O75" s="65">
        <f>IF(W75&lt;&gt;"",W75,IF(U75="Helmond",IF(COUNTIFS(RC_Lane,B75,RC_Band,E75,RC_Transit,"&lt;&gt;")=0,"",SUMIFS(RC_Transit,RC_Lane,B75,RC_Band,E75)),IF(U75="Other","",IF(INDEX(RS_Transit,MATCH(B75,RS_Lane,0))="","",INDEX(RS_Transit,MATCH(B75,RS_Lane,0))))))</f>
        <v/>
      </c>
      <c r="P75" s="140" t="n"/>
      <c r="Q75" s="84">
        <f>IF(P75&lt;&gt;"",P75,IF(O75="","",WORKDAY.INTL(L75,ROUNDUP(O75,0),INDEX(LR_Code,MATCH(B75,LR_Lane,0)),INDEX(DH_Table,0,MATCH(B75&amp;"*",DH_Head,0)))))</f>
        <v/>
      </c>
      <c r="R75" s="100">
        <f>IF(Q75="","",IF(Q75&lt;=N75,"Yes","No"))</f>
        <v/>
      </c>
      <c r="S75" s="52">
        <f>IF(Q75="","",IF(Q75&lt;=N75,0,NETWORKDAYS.INTL(N75,Q75,INDEX(LR_Code,MATCH(B75,LR_Lane,0)),INDEX(DH_Table,0,MATCH(B75&amp;"*",DH_Head,0)))-1))</f>
        <v/>
      </c>
      <c r="T75" s="127" t="n"/>
      <c r="U75" s="112">
        <f>IF(V75&lt;&gt;"",V75,IF(IFERROR(INDEX(RS_Flag,MATCH(B75,RS_Lane,0)),"")="Yes",IF(IFERROR(INDEX(RS_Loc,MATCH(B75,RS_Lane,0)),"")="","Regional stock",IFERROR(INDEX(RS_Loc,MATCH(B75,RS_Lane,0)),"")),"Helmond"))</f>
        <v/>
      </c>
      <c r="V75" s="141" t="n"/>
      <c r="W75" s="142" t="n"/>
      <c r="X75" s="143" t="n"/>
      <c r="Y75" s="116">
        <f>IF(X75&lt;&gt;"",X75,IF(U75="Helmond",IF(COUNTIFS(RC_Lane,B75,RC_Band,E75,RC_CostPS,"&gt;0")=0,"",SUMIFS(RC_CostPS,RC_Lane,B75,RC_Band,E75)*(1-SUMIFS(RC_Disc,RC_Lane,B75,RC_Band,E75))),IF(U75="Other","",IF(INDEX(RS_Rate,MATCH(B75,RS_Lane,0))="","",INDEX(RS_Rate,MATCH(B75,RS_Lane,0))))))</f>
        <v/>
      </c>
    </row>
    <row r="76">
      <c r="A76" s="95" t="inlineStr">
        <is>
          <t>B-072</t>
        </is>
      </c>
      <c r="B76" s="112" t="inlineStr">
        <is>
          <t>L05</t>
        </is>
      </c>
      <c r="C76" s="101" t="inlineStr">
        <is>
          <t>Türkiye</t>
        </is>
      </c>
      <c r="D76" s="101" t="inlineStr">
        <is>
          <t>Istanbul</t>
        </is>
      </c>
      <c r="E76" s="101" t="inlineStr">
        <is>
          <t>B2  30 to 100 kg</t>
        </is>
      </c>
      <c r="F76" s="123" t="n">
        <v>38.4</v>
      </c>
      <c r="G76" s="86">
        <f>F76*0.006477</f>
        <v/>
      </c>
      <c r="H76" s="123">
        <f>F76*1.079436</f>
        <v/>
      </c>
      <c r="I76" s="122">
        <f>MAX(1,ROUNDUP(G76/0.096,0))</f>
        <v/>
      </c>
      <c r="J76" s="84" t="n">
        <v>46478</v>
      </c>
      <c r="K76" s="87">
        <f>J76-WEEKDAY(J76,2)+1</f>
        <v/>
      </c>
      <c r="L76" s="84">
        <f>J76</f>
        <v/>
      </c>
      <c r="M76" s="52">
        <f>INDEX(LR_Target,MATCH(B76,LR_Lane,0))</f>
        <v/>
      </c>
      <c r="N76" s="84">
        <f>WORKDAY.INTL(L76,M76,INDEX(LR_Code,MATCH(B76,LR_Lane,0)),INDEX(DH_Table,0,MATCH(B76&amp;"*",DH_Head,0)))</f>
        <v/>
      </c>
      <c r="O76" s="65">
        <f>IF(W76&lt;&gt;"",W76,IF(U76="Helmond",IF(COUNTIFS(RC_Lane,B76,RC_Band,E76,RC_Transit,"&lt;&gt;")=0,"",SUMIFS(RC_Transit,RC_Lane,B76,RC_Band,E76)),IF(U76="Other","",IF(INDEX(RS_Transit,MATCH(B76,RS_Lane,0))="","",INDEX(RS_Transit,MATCH(B76,RS_Lane,0))))))</f>
        <v/>
      </c>
      <c r="P76" s="140" t="n"/>
      <c r="Q76" s="84">
        <f>IF(P76&lt;&gt;"",P76,IF(O76="","",WORKDAY.INTL(L76,ROUNDUP(O76,0),INDEX(LR_Code,MATCH(B76,LR_Lane,0)),INDEX(DH_Table,0,MATCH(B76&amp;"*",DH_Head,0)))))</f>
        <v/>
      </c>
      <c r="R76" s="100">
        <f>IF(Q76="","",IF(Q76&lt;=N76,"Yes","No"))</f>
        <v/>
      </c>
      <c r="S76" s="52">
        <f>IF(Q76="","",IF(Q76&lt;=N76,0,NETWORKDAYS.INTL(N76,Q76,INDEX(LR_Code,MATCH(B76,LR_Lane,0)),INDEX(DH_Table,0,MATCH(B76&amp;"*",DH_Head,0)))-1))</f>
        <v/>
      </c>
      <c r="T76" s="127" t="n"/>
      <c r="U76" s="112">
        <f>IF(V76&lt;&gt;"",V76,IF(IFERROR(INDEX(RS_Flag,MATCH(B76,RS_Lane,0)),"")="Yes",IF(IFERROR(INDEX(RS_Loc,MATCH(B76,RS_Lane,0)),"")="","Regional stock",IFERROR(INDEX(RS_Loc,MATCH(B76,RS_Lane,0)),"")),"Helmond"))</f>
        <v/>
      </c>
      <c r="V76" s="141" t="n"/>
      <c r="W76" s="142" t="n"/>
      <c r="X76" s="143" t="n"/>
      <c r="Y76" s="116">
        <f>IF(X76&lt;&gt;"",X76,IF(U76="Helmond",IF(COUNTIFS(RC_Lane,B76,RC_Band,E76,RC_CostPS,"&gt;0")=0,"",SUMIFS(RC_CostPS,RC_Lane,B76,RC_Band,E76)*(1-SUMIFS(RC_Disc,RC_Lane,B76,RC_Band,E76))),IF(U76="Other","",IF(INDEX(RS_Rate,MATCH(B76,RS_Lane,0))="","",INDEX(RS_Rate,MATCH(B76,RS_Lane,0))))))</f>
        <v/>
      </c>
    </row>
    <row r="77">
      <c r="A77" s="95" t="inlineStr">
        <is>
          <t>B-073</t>
        </is>
      </c>
      <c r="B77" s="112" t="inlineStr">
        <is>
          <t>L08</t>
        </is>
      </c>
      <c r="C77" s="101" t="inlineStr">
        <is>
          <t>Egypt</t>
        </is>
      </c>
      <c r="D77" s="101" t="inlineStr">
        <is>
          <t>Cairo area</t>
        </is>
      </c>
      <c r="E77" s="101" t="inlineStr">
        <is>
          <t>B3  100 to 500 kg</t>
        </is>
      </c>
      <c r="F77" s="123" t="n">
        <v>364.8</v>
      </c>
      <c r="G77" s="86">
        <f>F77*0.006477</f>
        <v/>
      </c>
      <c r="H77" s="123">
        <f>F77*1.079436</f>
        <v/>
      </c>
      <c r="I77" s="122">
        <f>MAX(1,ROUNDUP(G77/0.096,0))</f>
        <v/>
      </c>
      <c r="J77" s="84" t="n">
        <v>46479</v>
      </c>
      <c r="K77" s="87">
        <f>J77-WEEKDAY(J77,2)+1</f>
        <v/>
      </c>
      <c r="L77" s="84">
        <f>J77</f>
        <v/>
      </c>
      <c r="M77" s="52">
        <f>INDEX(LR_Target,MATCH(B77,LR_Lane,0))</f>
        <v/>
      </c>
      <c r="N77" s="84">
        <f>WORKDAY.INTL(L77,M77,INDEX(LR_Code,MATCH(B77,LR_Lane,0)),INDEX(DH_Table,0,MATCH(B77&amp;"*",DH_Head,0)))</f>
        <v/>
      </c>
      <c r="O77" s="65">
        <f>IF(W77&lt;&gt;"",W77,IF(U77="Helmond",IF(COUNTIFS(RC_Lane,B77,RC_Band,E77,RC_Transit,"&lt;&gt;")=0,"",SUMIFS(RC_Transit,RC_Lane,B77,RC_Band,E77)),IF(U77="Other","",IF(INDEX(RS_Transit,MATCH(B77,RS_Lane,0))="","",INDEX(RS_Transit,MATCH(B77,RS_Lane,0))))))</f>
        <v/>
      </c>
      <c r="P77" s="140" t="n"/>
      <c r="Q77" s="84">
        <f>IF(P77&lt;&gt;"",P77,IF(O77="","",WORKDAY.INTL(L77,ROUNDUP(O77,0),INDEX(LR_Code,MATCH(B77,LR_Lane,0)),INDEX(DH_Table,0,MATCH(B77&amp;"*",DH_Head,0)))))</f>
        <v/>
      </c>
      <c r="R77" s="100">
        <f>IF(Q77="","",IF(Q77&lt;=N77,"Yes","No"))</f>
        <v/>
      </c>
      <c r="S77" s="52">
        <f>IF(Q77="","",IF(Q77&lt;=N77,0,NETWORKDAYS.INTL(N77,Q77,INDEX(LR_Code,MATCH(B77,LR_Lane,0)),INDEX(DH_Table,0,MATCH(B77&amp;"*",DH_Head,0)))-1))</f>
        <v/>
      </c>
      <c r="T77" s="127" t="n"/>
      <c r="U77" s="112">
        <f>IF(V77&lt;&gt;"",V77,IF(IFERROR(INDEX(RS_Flag,MATCH(B77,RS_Lane,0)),"")="Yes",IF(IFERROR(INDEX(RS_Loc,MATCH(B77,RS_Lane,0)),"")="","Regional stock",IFERROR(INDEX(RS_Loc,MATCH(B77,RS_Lane,0)),"")),"Helmond"))</f>
        <v/>
      </c>
      <c r="V77" s="141" t="n"/>
      <c r="W77" s="142" t="n"/>
      <c r="X77" s="143" t="n"/>
      <c r="Y77" s="116">
        <f>IF(X77&lt;&gt;"",X77,IF(U77="Helmond",IF(COUNTIFS(RC_Lane,B77,RC_Band,E77,RC_CostPS,"&gt;0")=0,"",SUMIFS(RC_CostPS,RC_Lane,B77,RC_Band,E77)*(1-SUMIFS(RC_Disc,RC_Lane,B77,RC_Band,E77))),IF(U77="Other","",IF(INDEX(RS_Rate,MATCH(B77,RS_Lane,0))="","",INDEX(RS_Rate,MATCH(B77,RS_Lane,0))))))</f>
        <v/>
      </c>
    </row>
    <row r="78">
      <c r="A78" s="95" t="inlineStr">
        <is>
          <t>B-074</t>
        </is>
      </c>
      <c r="B78" s="112" t="inlineStr">
        <is>
          <t>L05</t>
        </is>
      </c>
      <c r="C78" s="101" t="inlineStr">
        <is>
          <t>Türkiye</t>
        </is>
      </c>
      <c r="D78" s="101" t="inlineStr">
        <is>
          <t>Istanbul</t>
        </is>
      </c>
      <c r="E78" s="101" t="inlineStr">
        <is>
          <t>B1  0 to 30 kg</t>
        </is>
      </c>
      <c r="F78" s="123" t="n">
        <v>4.6</v>
      </c>
      <c r="G78" s="86">
        <f>F78*0.006477</f>
        <v/>
      </c>
      <c r="H78" s="123">
        <f>F78*1.079436</f>
        <v/>
      </c>
      <c r="I78" s="122">
        <f>MAX(1,ROUNDUP(G78/0.096,0))</f>
        <v/>
      </c>
      <c r="J78" s="84" t="n">
        <v>46483</v>
      </c>
      <c r="K78" s="87">
        <f>J78-WEEKDAY(J78,2)+1</f>
        <v/>
      </c>
      <c r="L78" s="84">
        <f>J78</f>
        <v/>
      </c>
      <c r="M78" s="52">
        <f>INDEX(LR_Target,MATCH(B78,LR_Lane,0))</f>
        <v/>
      </c>
      <c r="N78" s="84">
        <f>WORKDAY.INTL(L78,M78,INDEX(LR_Code,MATCH(B78,LR_Lane,0)),INDEX(DH_Table,0,MATCH(B78&amp;"*",DH_Head,0)))</f>
        <v/>
      </c>
      <c r="O78" s="65">
        <f>IF(W78&lt;&gt;"",W78,IF(U78="Helmond",IF(COUNTIFS(RC_Lane,B78,RC_Band,E78,RC_Transit,"&lt;&gt;")=0,"",SUMIFS(RC_Transit,RC_Lane,B78,RC_Band,E78)),IF(U78="Other","",IF(INDEX(RS_Transit,MATCH(B78,RS_Lane,0))="","",INDEX(RS_Transit,MATCH(B78,RS_Lane,0))))))</f>
        <v/>
      </c>
      <c r="P78" s="140" t="n"/>
      <c r="Q78" s="84">
        <f>IF(P78&lt;&gt;"",P78,IF(O78="","",WORKDAY.INTL(L78,ROUNDUP(O78,0),INDEX(LR_Code,MATCH(B78,LR_Lane,0)),INDEX(DH_Table,0,MATCH(B78&amp;"*",DH_Head,0)))))</f>
        <v/>
      </c>
      <c r="R78" s="100">
        <f>IF(Q78="","",IF(Q78&lt;=N78,"Yes","No"))</f>
        <v/>
      </c>
      <c r="S78" s="52">
        <f>IF(Q78="","",IF(Q78&lt;=N78,0,NETWORKDAYS.INTL(N78,Q78,INDEX(LR_Code,MATCH(B78,LR_Lane,0)),INDEX(DH_Table,0,MATCH(B78&amp;"*",DH_Head,0)))-1))</f>
        <v/>
      </c>
      <c r="T78" s="127" t="n"/>
      <c r="U78" s="112">
        <f>IF(V78&lt;&gt;"",V78,IF(IFERROR(INDEX(RS_Flag,MATCH(B78,RS_Lane,0)),"")="Yes",IF(IFERROR(INDEX(RS_Loc,MATCH(B78,RS_Lane,0)),"")="","Regional stock",IFERROR(INDEX(RS_Loc,MATCH(B78,RS_Lane,0)),"")),"Helmond"))</f>
        <v/>
      </c>
      <c r="V78" s="141" t="n"/>
      <c r="W78" s="142" t="n"/>
      <c r="X78" s="143" t="n"/>
      <c r="Y78" s="116">
        <f>IF(X78&lt;&gt;"",X78,IF(U78="Helmond",IF(COUNTIFS(RC_Lane,B78,RC_Band,E78,RC_CostPS,"&gt;0")=0,"",SUMIFS(RC_CostPS,RC_Lane,B78,RC_Band,E78)*(1-SUMIFS(RC_Disc,RC_Lane,B78,RC_Band,E78))),IF(U78="Other","",IF(INDEX(RS_Rate,MATCH(B78,RS_Lane,0))="","",INDEX(RS_Rate,MATCH(B78,RS_Lane,0))))))</f>
        <v/>
      </c>
    </row>
    <row r="79">
      <c r="A79" s="95" t="inlineStr">
        <is>
          <t>B-075</t>
        </is>
      </c>
      <c r="B79" s="112" t="inlineStr">
        <is>
          <t>L01</t>
        </is>
      </c>
      <c r="C79" s="101" t="inlineStr">
        <is>
          <t>Saudi Arabia</t>
        </is>
      </c>
      <c r="D79" s="101" t="inlineStr">
        <is>
          <t>Jeddah</t>
        </is>
      </c>
      <c r="E79" s="101" t="inlineStr">
        <is>
          <t>B3  100 to 500 kg</t>
        </is>
      </c>
      <c r="F79" s="123" t="n">
        <v>193</v>
      </c>
      <c r="G79" s="86">
        <f>F79*0.006477</f>
        <v/>
      </c>
      <c r="H79" s="123">
        <f>F79*1.079436</f>
        <v/>
      </c>
      <c r="I79" s="122">
        <f>MAX(1,ROUNDUP(G79/0.096,0))</f>
        <v/>
      </c>
      <c r="J79" s="84" t="n">
        <v>46484</v>
      </c>
      <c r="K79" s="87">
        <f>J79-WEEKDAY(J79,2)+1</f>
        <v/>
      </c>
      <c r="L79" s="84">
        <f>J79</f>
        <v/>
      </c>
      <c r="M79" s="52">
        <f>INDEX(LR_Target,MATCH(B79,LR_Lane,0))</f>
        <v/>
      </c>
      <c r="N79" s="84">
        <f>WORKDAY.INTL(L79,M79,INDEX(LR_Code,MATCH(B79,LR_Lane,0)),INDEX(DH_Table,0,MATCH(B79&amp;"*",DH_Head,0)))</f>
        <v/>
      </c>
      <c r="O79" s="65">
        <f>IF(W79&lt;&gt;"",W79,IF(U79="Helmond",IF(COUNTIFS(RC_Lane,B79,RC_Band,E79,RC_Transit,"&lt;&gt;")=0,"",SUMIFS(RC_Transit,RC_Lane,B79,RC_Band,E79)),IF(U79="Other","",IF(INDEX(RS_Transit,MATCH(B79,RS_Lane,0))="","",INDEX(RS_Transit,MATCH(B79,RS_Lane,0))))))</f>
        <v/>
      </c>
      <c r="P79" s="140" t="n"/>
      <c r="Q79" s="84">
        <f>IF(P79&lt;&gt;"",P79,IF(O79="","",WORKDAY.INTL(L79,ROUNDUP(O79,0),INDEX(LR_Code,MATCH(B79,LR_Lane,0)),INDEX(DH_Table,0,MATCH(B79&amp;"*",DH_Head,0)))))</f>
        <v/>
      </c>
      <c r="R79" s="100">
        <f>IF(Q79="","",IF(Q79&lt;=N79,"Yes","No"))</f>
        <v/>
      </c>
      <c r="S79" s="52">
        <f>IF(Q79="","",IF(Q79&lt;=N79,0,NETWORKDAYS.INTL(N79,Q79,INDEX(LR_Code,MATCH(B79,LR_Lane,0)),INDEX(DH_Table,0,MATCH(B79&amp;"*",DH_Head,0)))-1))</f>
        <v/>
      </c>
      <c r="T79" s="127" t="n"/>
      <c r="U79" s="112">
        <f>IF(V79&lt;&gt;"",V79,IF(IFERROR(INDEX(RS_Flag,MATCH(B79,RS_Lane,0)),"")="Yes",IF(IFERROR(INDEX(RS_Loc,MATCH(B79,RS_Lane,0)),"")="","Regional stock",IFERROR(INDEX(RS_Loc,MATCH(B79,RS_Lane,0)),"")),"Helmond"))</f>
        <v/>
      </c>
      <c r="V79" s="141" t="n"/>
      <c r="W79" s="142" t="n"/>
      <c r="X79" s="143" t="n"/>
      <c r="Y79" s="116">
        <f>IF(X79&lt;&gt;"",X79,IF(U79="Helmond",IF(COUNTIFS(RC_Lane,B79,RC_Band,E79,RC_CostPS,"&gt;0")=0,"",SUMIFS(RC_CostPS,RC_Lane,B79,RC_Band,E79)*(1-SUMIFS(RC_Disc,RC_Lane,B79,RC_Band,E79))),IF(U79="Other","",IF(INDEX(RS_Rate,MATCH(B79,RS_Lane,0))="","",INDEX(RS_Rate,MATCH(B79,RS_Lane,0))))))</f>
        <v/>
      </c>
    </row>
    <row r="80">
      <c r="A80" s="95" t="inlineStr">
        <is>
          <t>B-076</t>
        </is>
      </c>
      <c r="B80" s="112" t="inlineStr">
        <is>
          <t>L02</t>
        </is>
      </c>
      <c r="C80" s="101" t="inlineStr">
        <is>
          <t>United Arab Emirates</t>
        </is>
      </c>
      <c r="D80" s="101" t="inlineStr">
        <is>
          <t>Dubai</t>
        </is>
      </c>
      <c r="E80" s="101" t="inlineStr">
        <is>
          <t>B1  0 to 30 kg</t>
        </is>
      </c>
      <c r="F80" s="123" t="n">
        <v>7.8</v>
      </c>
      <c r="G80" s="86">
        <f>F80*0.006477</f>
        <v/>
      </c>
      <c r="H80" s="123">
        <f>F80*1.079436</f>
        <v/>
      </c>
      <c r="I80" s="122">
        <f>MAX(1,ROUNDUP(G80/0.096,0))</f>
        <v/>
      </c>
      <c r="J80" s="84" t="n">
        <v>46484</v>
      </c>
      <c r="K80" s="87">
        <f>J80-WEEKDAY(J80,2)+1</f>
        <v/>
      </c>
      <c r="L80" s="84">
        <f>J80</f>
        <v/>
      </c>
      <c r="M80" s="52">
        <f>INDEX(LR_Target,MATCH(B80,LR_Lane,0))</f>
        <v/>
      </c>
      <c r="N80" s="84">
        <f>WORKDAY.INTL(L80,M80,INDEX(LR_Code,MATCH(B80,LR_Lane,0)),INDEX(DH_Table,0,MATCH(B80&amp;"*",DH_Head,0)))</f>
        <v/>
      </c>
      <c r="O80" s="65">
        <f>IF(W80&lt;&gt;"",W80,IF(U80="Helmond",IF(COUNTIFS(RC_Lane,B80,RC_Band,E80,RC_Transit,"&lt;&gt;")=0,"",SUMIFS(RC_Transit,RC_Lane,B80,RC_Band,E80)),IF(U80="Other","",IF(INDEX(RS_Transit,MATCH(B80,RS_Lane,0))="","",INDEX(RS_Transit,MATCH(B80,RS_Lane,0))))))</f>
        <v/>
      </c>
      <c r="P80" s="140" t="n"/>
      <c r="Q80" s="84">
        <f>IF(P80&lt;&gt;"",P80,IF(O80="","",WORKDAY.INTL(L80,ROUNDUP(O80,0),INDEX(LR_Code,MATCH(B80,LR_Lane,0)),INDEX(DH_Table,0,MATCH(B80&amp;"*",DH_Head,0)))))</f>
        <v/>
      </c>
      <c r="R80" s="100">
        <f>IF(Q80="","",IF(Q80&lt;=N80,"Yes","No"))</f>
        <v/>
      </c>
      <c r="S80" s="52">
        <f>IF(Q80="","",IF(Q80&lt;=N80,0,NETWORKDAYS.INTL(N80,Q80,INDEX(LR_Code,MATCH(B80,LR_Lane,0)),INDEX(DH_Table,0,MATCH(B80&amp;"*",DH_Head,0)))-1))</f>
        <v/>
      </c>
      <c r="T80" s="127" t="n"/>
      <c r="U80" s="112">
        <f>IF(V80&lt;&gt;"",V80,IF(IFERROR(INDEX(RS_Flag,MATCH(B80,RS_Lane,0)),"")="Yes",IF(IFERROR(INDEX(RS_Loc,MATCH(B80,RS_Lane,0)),"")="","Regional stock",IFERROR(INDEX(RS_Loc,MATCH(B80,RS_Lane,0)),"")),"Helmond"))</f>
        <v/>
      </c>
      <c r="V80" s="141" t="n"/>
      <c r="W80" s="142" t="n"/>
      <c r="X80" s="143" t="n"/>
      <c r="Y80" s="116">
        <f>IF(X80&lt;&gt;"",X80,IF(U80="Helmond",IF(COUNTIFS(RC_Lane,B80,RC_Band,E80,RC_CostPS,"&gt;0")=0,"",SUMIFS(RC_CostPS,RC_Lane,B80,RC_Band,E80)*(1-SUMIFS(RC_Disc,RC_Lane,B80,RC_Band,E80))),IF(U80="Other","",IF(INDEX(RS_Rate,MATCH(B80,RS_Lane,0))="","",INDEX(RS_Rate,MATCH(B80,RS_Lane,0))))))</f>
        <v/>
      </c>
    </row>
    <row r="81">
      <c r="A81" s="95" t="inlineStr">
        <is>
          <t>B-077</t>
        </is>
      </c>
      <c r="B81" s="112" t="inlineStr">
        <is>
          <t>L01</t>
        </is>
      </c>
      <c r="C81" s="101" t="inlineStr">
        <is>
          <t>Saudi Arabia</t>
        </is>
      </c>
      <c r="D81" s="101" t="inlineStr">
        <is>
          <t>Jeddah</t>
        </is>
      </c>
      <c r="E81" s="101" t="inlineStr">
        <is>
          <t>B4  500 to 2,000 kg</t>
        </is>
      </c>
      <c r="F81" s="123" t="n">
        <v>905.1</v>
      </c>
      <c r="G81" s="86">
        <f>F81*0.006477</f>
        <v/>
      </c>
      <c r="H81" s="123">
        <f>F81*1.079436</f>
        <v/>
      </c>
      <c r="I81" s="122">
        <f>MAX(1,ROUNDUP(G81/0.096,0))</f>
        <v/>
      </c>
      <c r="J81" s="84" t="n">
        <v>46485</v>
      </c>
      <c r="K81" s="87">
        <f>J81-WEEKDAY(J81,2)+1</f>
        <v/>
      </c>
      <c r="L81" s="84">
        <f>J81</f>
        <v/>
      </c>
      <c r="M81" s="52">
        <f>INDEX(LR_Target,MATCH(B81,LR_Lane,0))</f>
        <v/>
      </c>
      <c r="N81" s="84">
        <f>WORKDAY.INTL(L81,M81,INDEX(LR_Code,MATCH(B81,LR_Lane,0)),INDEX(DH_Table,0,MATCH(B81&amp;"*",DH_Head,0)))</f>
        <v/>
      </c>
      <c r="O81" s="65">
        <f>IF(W81&lt;&gt;"",W81,IF(U81="Helmond",IF(COUNTIFS(RC_Lane,B81,RC_Band,E81,RC_Transit,"&lt;&gt;")=0,"",SUMIFS(RC_Transit,RC_Lane,B81,RC_Band,E81)),IF(U81="Other","",IF(INDEX(RS_Transit,MATCH(B81,RS_Lane,0))="","",INDEX(RS_Transit,MATCH(B81,RS_Lane,0))))))</f>
        <v/>
      </c>
      <c r="P81" s="140" t="n"/>
      <c r="Q81" s="84">
        <f>IF(P81&lt;&gt;"",P81,IF(O81="","",WORKDAY.INTL(L81,ROUNDUP(O81,0),INDEX(LR_Code,MATCH(B81,LR_Lane,0)),INDEX(DH_Table,0,MATCH(B81&amp;"*",DH_Head,0)))))</f>
        <v/>
      </c>
      <c r="R81" s="100">
        <f>IF(Q81="","",IF(Q81&lt;=N81,"Yes","No"))</f>
        <v/>
      </c>
      <c r="S81" s="52">
        <f>IF(Q81="","",IF(Q81&lt;=N81,0,NETWORKDAYS.INTL(N81,Q81,INDEX(LR_Code,MATCH(B81,LR_Lane,0)),INDEX(DH_Table,0,MATCH(B81&amp;"*",DH_Head,0)))-1))</f>
        <v/>
      </c>
      <c r="T81" s="127" t="n"/>
      <c r="U81" s="112">
        <f>IF(V81&lt;&gt;"",V81,IF(IFERROR(INDEX(RS_Flag,MATCH(B81,RS_Lane,0)),"")="Yes",IF(IFERROR(INDEX(RS_Loc,MATCH(B81,RS_Lane,0)),"")="","Regional stock",IFERROR(INDEX(RS_Loc,MATCH(B81,RS_Lane,0)),"")),"Helmond"))</f>
        <v/>
      </c>
      <c r="V81" s="141" t="n"/>
      <c r="W81" s="142" t="n"/>
      <c r="X81" s="143" t="n"/>
      <c r="Y81" s="116">
        <f>IF(X81&lt;&gt;"",X81,IF(U81="Helmond",IF(COUNTIFS(RC_Lane,B81,RC_Band,E81,RC_CostPS,"&gt;0")=0,"",SUMIFS(RC_CostPS,RC_Lane,B81,RC_Band,E81)*(1-SUMIFS(RC_Disc,RC_Lane,B81,RC_Band,E81))),IF(U81="Other","",IF(INDEX(RS_Rate,MATCH(B81,RS_Lane,0))="","",INDEX(RS_Rate,MATCH(B81,RS_Lane,0))))))</f>
        <v/>
      </c>
    </row>
    <row r="82">
      <c r="A82" s="95" t="inlineStr">
        <is>
          <t>B-078</t>
        </is>
      </c>
      <c r="B82" s="112" t="inlineStr">
        <is>
          <t>L02</t>
        </is>
      </c>
      <c r="C82" s="101" t="inlineStr">
        <is>
          <t>United Arab Emirates</t>
        </is>
      </c>
      <c r="D82" s="101" t="inlineStr">
        <is>
          <t>Dubai</t>
        </is>
      </c>
      <c r="E82" s="101" t="inlineStr">
        <is>
          <t>B1  0 to 30 kg</t>
        </is>
      </c>
      <c r="F82" s="123" t="n">
        <v>4.9</v>
      </c>
      <c r="G82" s="86">
        <f>F82*0.006477</f>
        <v/>
      </c>
      <c r="H82" s="123">
        <f>F82*1.079436</f>
        <v/>
      </c>
      <c r="I82" s="122">
        <f>MAX(1,ROUNDUP(G82/0.096,0))</f>
        <v/>
      </c>
      <c r="J82" s="84" t="n">
        <v>46485</v>
      </c>
      <c r="K82" s="87">
        <f>J82-WEEKDAY(J82,2)+1</f>
        <v/>
      </c>
      <c r="L82" s="84">
        <f>J82</f>
        <v/>
      </c>
      <c r="M82" s="52">
        <f>INDEX(LR_Target,MATCH(B82,LR_Lane,0))</f>
        <v/>
      </c>
      <c r="N82" s="84">
        <f>WORKDAY.INTL(L82,M82,INDEX(LR_Code,MATCH(B82,LR_Lane,0)),INDEX(DH_Table,0,MATCH(B82&amp;"*",DH_Head,0)))</f>
        <v/>
      </c>
      <c r="O82" s="65">
        <f>IF(W82&lt;&gt;"",W82,IF(U82="Helmond",IF(COUNTIFS(RC_Lane,B82,RC_Band,E82,RC_Transit,"&lt;&gt;")=0,"",SUMIFS(RC_Transit,RC_Lane,B82,RC_Band,E82)),IF(U82="Other","",IF(INDEX(RS_Transit,MATCH(B82,RS_Lane,0))="","",INDEX(RS_Transit,MATCH(B82,RS_Lane,0))))))</f>
        <v/>
      </c>
      <c r="P82" s="140" t="n"/>
      <c r="Q82" s="84">
        <f>IF(P82&lt;&gt;"",P82,IF(O82="","",WORKDAY.INTL(L82,ROUNDUP(O82,0),INDEX(LR_Code,MATCH(B82,LR_Lane,0)),INDEX(DH_Table,0,MATCH(B82&amp;"*",DH_Head,0)))))</f>
        <v/>
      </c>
      <c r="R82" s="100">
        <f>IF(Q82="","",IF(Q82&lt;=N82,"Yes","No"))</f>
        <v/>
      </c>
      <c r="S82" s="52">
        <f>IF(Q82="","",IF(Q82&lt;=N82,0,NETWORKDAYS.INTL(N82,Q82,INDEX(LR_Code,MATCH(B82,LR_Lane,0)),INDEX(DH_Table,0,MATCH(B82&amp;"*",DH_Head,0)))-1))</f>
        <v/>
      </c>
      <c r="T82" s="127" t="n"/>
      <c r="U82" s="112">
        <f>IF(V82&lt;&gt;"",V82,IF(IFERROR(INDEX(RS_Flag,MATCH(B82,RS_Lane,0)),"")="Yes",IF(IFERROR(INDEX(RS_Loc,MATCH(B82,RS_Lane,0)),"")="","Regional stock",IFERROR(INDEX(RS_Loc,MATCH(B82,RS_Lane,0)),"")),"Helmond"))</f>
        <v/>
      </c>
      <c r="V82" s="141" t="n"/>
      <c r="W82" s="142" t="n"/>
      <c r="X82" s="143" t="n"/>
      <c r="Y82" s="116">
        <f>IF(X82&lt;&gt;"",X82,IF(U82="Helmond",IF(COUNTIFS(RC_Lane,B82,RC_Band,E82,RC_CostPS,"&gt;0")=0,"",SUMIFS(RC_CostPS,RC_Lane,B82,RC_Band,E82)*(1-SUMIFS(RC_Disc,RC_Lane,B82,RC_Band,E82))),IF(U82="Other","",IF(INDEX(RS_Rate,MATCH(B82,RS_Lane,0))="","",INDEX(RS_Rate,MATCH(B82,RS_Lane,0))))))</f>
        <v/>
      </c>
    </row>
    <row r="83">
      <c r="A83" s="95" t="inlineStr">
        <is>
          <t>B-079</t>
        </is>
      </c>
      <c r="B83" s="112" t="inlineStr">
        <is>
          <t>L03</t>
        </is>
      </c>
      <c r="C83" s="101" t="inlineStr">
        <is>
          <t>Kuwait</t>
        </is>
      </c>
      <c r="D83" s="101" t="inlineStr">
        <is>
          <t>Kuwait City</t>
        </is>
      </c>
      <c r="E83" s="101" t="inlineStr">
        <is>
          <t>B1  0 to 30 kg</t>
        </is>
      </c>
      <c r="F83" s="123" t="n">
        <v>4.2</v>
      </c>
      <c r="G83" s="86">
        <f>F83*0.006477</f>
        <v/>
      </c>
      <c r="H83" s="123">
        <f>F83*1.079436</f>
        <v/>
      </c>
      <c r="I83" s="122">
        <f>MAX(1,ROUNDUP(G83/0.096,0))</f>
        <v/>
      </c>
      <c r="J83" s="84" t="n">
        <v>46486</v>
      </c>
      <c r="K83" s="87">
        <f>J83-WEEKDAY(J83,2)+1</f>
        <v/>
      </c>
      <c r="L83" s="84">
        <f>J83</f>
        <v/>
      </c>
      <c r="M83" s="52">
        <f>INDEX(LR_Target,MATCH(B83,LR_Lane,0))</f>
        <v/>
      </c>
      <c r="N83" s="84">
        <f>WORKDAY.INTL(L83,M83,INDEX(LR_Code,MATCH(B83,LR_Lane,0)),INDEX(DH_Table,0,MATCH(B83&amp;"*",DH_Head,0)))</f>
        <v/>
      </c>
      <c r="O83" s="65">
        <f>IF(W83&lt;&gt;"",W83,IF(U83="Helmond",IF(COUNTIFS(RC_Lane,B83,RC_Band,E83,RC_Transit,"&lt;&gt;")=0,"",SUMIFS(RC_Transit,RC_Lane,B83,RC_Band,E83)),IF(U83="Other","",IF(INDEX(RS_Transit,MATCH(B83,RS_Lane,0))="","",INDEX(RS_Transit,MATCH(B83,RS_Lane,0))))))</f>
        <v/>
      </c>
      <c r="P83" s="140" t="n"/>
      <c r="Q83" s="84">
        <f>IF(P83&lt;&gt;"",P83,IF(O83="","",WORKDAY.INTL(L83,ROUNDUP(O83,0),INDEX(LR_Code,MATCH(B83,LR_Lane,0)),INDEX(DH_Table,0,MATCH(B83&amp;"*",DH_Head,0)))))</f>
        <v/>
      </c>
      <c r="R83" s="100">
        <f>IF(Q83="","",IF(Q83&lt;=N83,"Yes","No"))</f>
        <v/>
      </c>
      <c r="S83" s="52">
        <f>IF(Q83="","",IF(Q83&lt;=N83,0,NETWORKDAYS.INTL(N83,Q83,INDEX(LR_Code,MATCH(B83,LR_Lane,0)),INDEX(DH_Table,0,MATCH(B83&amp;"*",DH_Head,0)))-1))</f>
        <v/>
      </c>
      <c r="T83" s="127" t="n"/>
      <c r="U83" s="112">
        <f>IF(V83&lt;&gt;"",V83,IF(IFERROR(INDEX(RS_Flag,MATCH(B83,RS_Lane,0)),"")="Yes",IF(IFERROR(INDEX(RS_Loc,MATCH(B83,RS_Lane,0)),"")="","Regional stock",IFERROR(INDEX(RS_Loc,MATCH(B83,RS_Lane,0)),"")),"Helmond"))</f>
        <v/>
      </c>
      <c r="V83" s="141" t="n"/>
      <c r="W83" s="142" t="n"/>
      <c r="X83" s="143" t="n"/>
      <c r="Y83" s="116">
        <f>IF(X83&lt;&gt;"",X83,IF(U83="Helmond",IF(COUNTIFS(RC_Lane,B83,RC_Band,E83,RC_CostPS,"&gt;0")=0,"",SUMIFS(RC_CostPS,RC_Lane,B83,RC_Band,E83)*(1-SUMIFS(RC_Disc,RC_Lane,B83,RC_Band,E83))),IF(U83="Other","",IF(INDEX(RS_Rate,MATCH(B83,RS_Lane,0))="","",INDEX(RS_Rate,MATCH(B83,RS_Lane,0))))))</f>
        <v/>
      </c>
    </row>
    <row r="84">
      <c r="A84" s="95" t="inlineStr">
        <is>
          <t>B-080</t>
        </is>
      </c>
      <c r="B84" s="112" t="inlineStr">
        <is>
          <t>L06</t>
        </is>
      </c>
      <c r="C84" s="101" t="inlineStr">
        <is>
          <t>Morocco</t>
        </is>
      </c>
      <c r="D84" s="101" t="inlineStr">
        <is>
          <t>Rabat</t>
        </is>
      </c>
      <c r="E84" s="101" t="inlineStr">
        <is>
          <t>B1  0 to 30 kg</t>
        </is>
      </c>
      <c r="F84" s="123" t="n">
        <v>11.9</v>
      </c>
      <c r="G84" s="86">
        <f>F84*0.006477</f>
        <v/>
      </c>
      <c r="H84" s="123">
        <f>F84*1.079436</f>
        <v/>
      </c>
      <c r="I84" s="122">
        <f>MAX(1,ROUNDUP(G84/0.096,0))</f>
        <v/>
      </c>
      <c r="J84" s="84" t="n">
        <v>46486</v>
      </c>
      <c r="K84" s="87">
        <f>J84-WEEKDAY(J84,2)+1</f>
        <v/>
      </c>
      <c r="L84" s="84">
        <f>J84</f>
        <v/>
      </c>
      <c r="M84" s="52">
        <f>INDEX(LR_Target,MATCH(B84,LR_Lane,0))</f>
        <v/>
      </c>
      <c r="N84" s="84">
        <f>WORKDAY.INTL(L84,M84,INDEX(LR_Code,MATCH(B84,LR_Lane,0)),INDEX(DH_Table,0,MATCH(B84&amp;"*",DH_Head,0)))</f>
        <v/>
      </c>
      <c r="O84" s="65">
        <f>IF(W84&lt;&gt;"",W84,IF(U84="Helmond",IF(COUNTIFS(RC_Lane,B84,RC_Band,E84,RC_Transit,"&lt;&gt;")=0,"",SUMIFS(RC_Transit,RC_Lane,B84,RC_Band,E84)),IF(U84="Other","",IF(INDEX(RS_Transit,MATCH(B84,RS_Lane,0))="","",INDEX(RS_Transit,MATCH(B84,RS_Lane,0))))))</f>
        <v/>
      </c>
      <c r="P84" s="140" t="n"/>
      <c r="Q84" s="84">
        <f>IF(P84&lt;&gt;"",P84,IF(O84="","",WORKDAY.INTL(L84,ROUNDUP(O84,0),INDEX(LR_Code,MATCH(B84,LR_Lane,0)),INDEX(DH_Table,0,MATCH(B84&amp;"*",DH_Head,0)))))</f>
        <v/>
      </c>
      <c r="R84" s="100">
        <f>IF(Q84="","",IF(Q84&lt;=N84,"Yes","No"))</f>
        <v/>
      </c>
      <c r="S84" s="52">
        <f>IF(Q84="","",IF(Q84&lt;=N84,0,NETWORKDAYS.INTL(N84,Q84,INDEX(LR_Code,MATCH(B84,LR_Lane,0)),INDEX(DH_Table,0,MATCH(B84&amp;"*",DH_Head,0)))-1))</f>
        <v/>
      </c>
      <c r="T84" s="127" t="n"/>
      <c r="U84" s="112">
        <f>IF(V84&lt;&gt;"",V84,IF(IFERROR(INDEX(RS_Flag,MATCH(B84,RS_Lane,0)),"")="Yes",IF(IFERROR(INDEX(RS_Loc,MATCH(B84,RS_Lane,0)),"")="","Regional stock",IFERROR(INDEX(RS_Loc,MATCH(B84,RS_Lane,0)),"")),"Helmond"))</f>
        <v/>
      </c>
      <c r="V84" s="141" t="n"/>
      <c r="W84" s="142" t="n"/>
      <c r="X84" s="143" t="n"/>
      <c r="Y84" s="116">
        <f>IF(X84&lt;&gt;"",X84,IF(U84="Helmond",IF(COUNTIFS(RC_Lane,B84,RC_Band,E84,RC_CostPS,"&gt;0")=0,"",SUMIFS(RC_CostPS,RC_Lane,B84,RC_Band,E84)*(1-SUMIFS(RC_Disc,RC_Lane,B84,RC_Band,E84))),IF(U84="Other","",IF(INDEX(RS_Rate,MATCH(B84,RS_Lane,0))="","",INDEX(RS_Rate,MATCH(B84,RS_Lane,0))))))</f>
        <v/>
      </c>
    </row>
    <row r="85">
      <c r="A85" s="95" t="inlineStr">
        <is>
          <t>B-081</t>
        </is>
      </c>
      <c r="B85" s="112" t="inlineStr">
        <is>
          <t>L01</t>
        </is>
      </c>
      <c r="C85" s="101" t="inlineStr">
        <is>
          <t>Saudi Arabia</t>
        </is>
      </c>
      <c r="D85" s="101" t="inlineStr">
        <is>
          <t>Jeddah</t>
        </is>
      </c>
      <c r="E85" s="101" t="inlineStr">
        <is>
          <t>B2  30 to 100 kg</t>
        </is>
      </c>
      <c r="F85" s="123" t="n">
        <v>44.7</v>
      </c>
      <c r="G85" s="86">
        <f>F85*0.006477</f>
        <v/>
      </c>
      <c r="H85" s="123">
        <f>F85*1.079436</f>
        <v/>
      </c>
      <c r="I85" s="122">
        <f>MAX(1,ROUNDUP(G85/0.096,0))</f>
        <v/>
      </c>
      <c r="J85" s="84" t="n">
        <v>46489</v>
      </c>
      <c r="K85" s="87">
        <f>J85-WEEKDAY(J85,2)+1</f>
        <v/>
      </c>
      <c r="L85" s="84">
        <f>J85</f>
        <v/>
      </c>
      <c r="M85" s="52">
        <f>INDEX(LR_Target,MATCH(B85,LR_Lane,0))</f>
        <v/>
      </c>
      <c r="N85" s="84">
        <f>WORKDAY.INTL(L85,M85,INDEX(LR_Code,MATCH(B85,LR_Lane,0)),INDEX(DH_Table,0,MATCH(B85&amp;"*",DH_Head,0)))</f>
        <v/>
      </c>
      <c r="O85" s="65">
        <f>IF(W85&lt;&gt;"",W85,IF(U85="Helmond",IF(COUNTIFS(RC_Lane,B85,RC_Band,E85,RC_Transit,"&lt;&gt;")=0,"",SUMIFS(RC_Transit,RC_Lane,B85,RC_Band,E85)),IF(U85="Other","",IF(INDEX(RS_Transit,MATCH(B85,RS_Lane,0))="","",INDEX(RS_Transit,MATCH(B85,RS_Lane,0))))))</f>
        <v/>
      </c>
      <c r="P85" s="140" t="n"/>
      <c r="Q85" s="84">
        <f>IF(P85&lt;&gt;"",P85,IF(O85="","",WORKDAY.INTL(L85,ROUNDUP(O85,0),INDEX(LR_Code,MATCH(B85,LR_Lane,0)),INDEX(DH_Table,0,MATCH(B85&amp;"*",DH_Head,0)))))</f>
        <v/>
      </c>
      <c r="R85" s="100">
        <f>IF(Q85="","",IF(Q85&lt;=N85,"Yes","No"))</f>
        <v/>
      </c>
      <c r="S85" s="52">
        <f>IF(Q85="","",IF(Q85&lt;=N85,0,NETWORKDAYS.INTL(N85,Q85,INDEX(LR_Code,MATCH(B85,LR_Lane,0)),INDEX(DH_Table,0,MATCH(B85&amp;"*",DH_Head,0)))-1))</f>
        <v/>
      </c>
      <c r="T85" s="127" t="n"/>
      <c r="U85" s="112">
        <f>IF(V85&lt;&gt;"",V85,IF(IFERROR(INDEX(RS_Flag,MATCH(B85,RS_Lane,0)),"")="Yes",IF(IFERROR(INDEX(RS_Loc,MATCH(B85,RS_Lane,0)),"")="","Regional stock",IFERROR(INDEX(RS_Loc,MATCH(B85,RS_Lane,0)),"")),"Helmond"))</f>
        <v/>
      </c>
      <c r="V85" s="141" t="n"/>
      <c r="W85" s="142" t="n"/>
      <c r="X85" s="143" t="n"/>
      <c r="Y85" s="116">
        <f>IF(X85&lt;&gt;"",X85,IF(U85="Helmond",IF(COUNTIFS(RC_Lane,B85,RC_Band,E85,RC_CostPS,"&gt;0")=0,"",SUMIFS(RC_CostPS,RC_Lane,B85,RC_Band,E85)*(1-SUMIFS(RC_Disc,RC_Lane,B85,RC_Band,E85))),IF(U85="Other","",IF(INDEX(RS_Rate,MATCH(B85,RS_Lane,0))="","",INDEX(RS_Rate,MATCH(B85,RS_Lane,0))))))</f>
        <v/>
      </c>
    </row>
    <row r="86">
      <c r="A86" s="95" t="inlineStr">
        <is>
          <t>B-082</t>
        </is>
      </c>
      <c r="B86" s="112" t="inlineStr">
        <is>
          <t>L03</t>
        </is>
      </c>
      <c r="C86" s="101" t="inlineStr">
        <is>
          <t>Kuwait</t>
        </is>
      </c>
      <c r="D86" s="101" t="inlineStr">
        <is>
          <t>Kuwait City</t>
        </is>
      </c>
      <c r="E86" s="101" t="inlineStr">
        <is>
          <t>B4  500 to 2,000 kg</t>
        </is>
      </c>
      <c r="F86" s="123" t="n">
        <v>1042.2</v>
      </c>
      <c r="G86" s="86">
        <f>F86*0.006477</f>
        <v/>
      </c>
      <c r="H86" s="123">
        <f>F86*1.079436</f>
        <v/>
      </c>
      <c r="I86" s="122">
        <f>MAX(1,ROUNDUP(G86/0.096,0))</f>
        <v/>
      </c>
      <c r="J86" s="84" t="n">
        <v>46489</v>
      </c>
      <c r="K86" s="87">
        <f>J86-WEEKDAY(J86,2)+1</f>
        <v/>
      </c>
      <c r="L86" s="84">
        <f>J86</f>
        <v/>
      </c>
      <c r="M86" s="52">
        <f>INDEX(LR_Target,MATCH(B86,LR_Lane,0))</f>
        <v/>
      </c>
      <c r="N86" s="84">
        <f>WORKDAY.INTL(L86,M86,INDEX(LR_Code,MATCH(B86,LR_Lane,0)),INDEX(DH_Table,0,MATCH(B86&amp;"*",DH_Head,0)))</f>
        <v/>
      </c>
      <c r="O86" s="65">
        <f>IF(W86&lt;&gt;"",W86,IF(U86="Helmond",IF(COUNTIFS(RC_Lane,B86,RC_Band,E86,RC_Transit,"&lt;&gt;")=0,"",SUMIFS(RC_Transit,RC_Lane,B86,RC_Band,E86)),IF(U86="Other","",IF(INDEX(RS_Transit,MATCH(B86,RS_Lane,0))="","",INDEX(RS_Transit,MATCH(B86,RS_Lane,0))))))</f>
        <v/>
      </c>
      <c r="P86" s="140" t="n"/>
      <c r="Q86" s="84">
        <f>IF(P86&lt;&gt;"",P86,IF(O86="","",WORKDAY.INTL(L86,ROUNDUP(O86,0),INDEX(LR_Code,MATCH(B86,LR_Lane,0)),INDEX(DH_Table,0,MATCH(B86&amp;"*",DH_Head,0)))))</f>
        <v/>
      </c>
      <c r="R86" s="100">
        <f>IF(Q86="","",IF(Q86&lt;=N86,"Yes","No"))</f>
        <v/>
      </c>
      <c r="S86" s="52">
        <f>IF(Q86="","",IF(Q86&lt;=N86,0,NETWORKDAYS.INTL(N86,Q86,INDEX(LR_Code,MATCH(B86,LR_Lane,0)),INDEX(DH_Table,0,MATCH(B86&amp;"*",DH_Head,0)))-1))</f>
        <v/>
      </c>
      <c r="T86" s="127" t="n"/>
      <c r="U86" s="112">
        <f>IF(V86&lt;&gt;"",V86,IF(IFERROR(INDEX(RS_Flag,MATCH(B86,RS_Lane,0)),"")="Yes",IF(IFERROR(INDEX(RS_Loc,MATCH(B86,RS_Lane,0)),"")="","Regional stock",IFERROR(INDEX(RS_Loc,MATCH(B86,RS_Lane,0)),"")),"Helmond"))</f>
        <v/>
      </c>
      <c r="V86" s="141" t="n"/>
      <c r="W86" s="142" t="n"/>
      <c r="X86" s="143" t="n"/>
      <c r="Y86" s="116">
        <f>IF(X86&lt;&gt;"",X86,IF(U86="Helmond",IF(COUNTIFS(RC_Lane,B86,RC_Band,E86,RC_CostPS,"&gt;0")=0,"",SUMIFS(RC_CostPS,RC_Lane,B86,RC_Band,E86)*(1-SUMIFS(RC_Disc,RC_Lane,B86,RC_Band,E86))),IF(U86="Other","",IF(INDEX(RS_Rate,MATCH(B86,RS_Lane,0))="","",INDEX(RS_Rate,MATCH(B86,RS_Lane,0))))))</f>
        <v/>
      </c>
    </row>
    <row r="87">
      <c r="A87" s="95" t="inlineStr">
        <is>
          <t>B-083</t>
        </is>
      </c>
      <c r="B87" s="112" t="inlineStr">
        <is>
          <t>L03</t>
        </is>
      </c>
      <c r="C87" s="101" t="inlineStr">
        <is>
          <t>Kuwait</t>
        </is>
      </c>
      <c r="D87" s="101" t="inlineStr">
        <is>
          <t>Kuwait City</t>
        </is>
      </c>
      <c r="E87" s="101" t="inlineStr">
        <is>
          <t>B3  100 to 500 kg</t>
        </is>
      </c>
      <c r="F87" s="123" t="n">
        <v>378.1</v>
      </c>
      <c r="G87" s="86">
        <f>F87*0.006477</f>
        <v/>
      </c>
      <c r="H87" s="123">
        <f>F87*1.079436</f>
        <v/>
      </c>
      <c r="I87" s="122">
        <f>MAX(1,ROUNDUP(G87/0.096,0))</f>
        <v/>
      </c>
      <c r="J87" s="84" t="n">
        <v>46489</v>
      </c>
      <c r="K87" s="87">
        <f>J87-WEEKDAY(J87,2)+1</f>
        <v/>
      </c>
      <c r="L87" s="84">
        <f>J87</f>
        <v/>
      </c>
      <c r="M87" s="52">
        <f>INDEX(LR_Target,MATCH(B87,LR_Lane,0))</f>
        <v/>
      </c>
      <c r="N87" s="84">
        <f>WORKDAY.INTL(L87,M87,INDEX(LR_Code,MATCH(B87,LR_Lane,0)),INDEX(DH_Table,0,MATCH(B87&amp;"*",DH_Head,0)))</f>
        <v/>
      </c>
      <c r="O87" s="65">
        <f>IF(W87&lt;&gt;"",W87,IF(U87="Helmond",IF(COUNTIFS(RC_Lane,B87,RC_Band,E87,RC_Transit,"&lt;&gt;")=0,"",SUMIFS(RC_Transit,RC_Lane,B87,RC_Band,E87)),IF(U87="Other","",IF(INDEX(RS_Transit,MATCH(B87,RS_Lane,0))="","",INDEX(RS_Transit,MATCH(B87,RS_Lane,0))))))</f>
        <v/>
      </c>
      <c r="P87" s="140" t="n"/>
      <c r="Q87" s="84">
        <f>IF(P87&lt;&gt;"",P87,IF(O87="","",WORKDAY.INTL(L87,ROUNDUP(O87,0),INDEX(LR_Code,MATCH(B87,LR_Lane,0)),INDEX(DH_Table,0,MATCH(B87&amp;"*",DH_Head,0)))))</f>
        <v/>
      </c>
      <c r="R87" s="100">
        <f>IF(Q87="","",IF(Q87&lt;=N87,"Yes","No"))</f>
        <v/>
      </c>
      <c r="S87" s="52">
        <f>IF(Q87="","",IF(Q87&lt;=N87,0,NETWORKDAYS.INTL(N87,Q87,INDEX(LR_Code,MATCH(B87,LR_Lane,0)),INDEX(DH_Table,0,MATCH(B87&amp;"*",DH_Head,0)))-1))</f>
        <v/>
      </c>
      <c r="T87" s="127" t="n"/>
      <c r="U87" s="112">
        <f>IF(V87&lt;&gt;"",V87,IF(IFERROR(INDEX(RS_Flag,MATCH(B87,RS_Lane,0)),"")="Yes",IF(IFERROR(INDEX(RS_Loc,MATCH(B87,RS_Lane,0)),"")="","Regional stock",IFERROR(INDEX(RS_Loc,MATCH(B87,RS_Lane,0)),"")),"Helmond"))</f>
        <v/>
      </c>
      <c r="V87" s="141" t="n"/>
      <c r="W87" s="142" t="n"/>
      <c r="X87" s="143" t="n"/>
      <c r="Y87" s="116">
        <f>IF(X87&lt;&gt;"",X87,IF(U87="Helmond",IF(COUNTIFS(RC_Lane,B87,RC_Band,E87,RC_CostPS,"&gt;0")=0,"",SUMIFS(RC_CostPS,RC_Lane,B87,RC_Band,E87)*(1-SUMIFS(RC_Disc,RC_Lane,B87,RC_Band,E87))),IF(U87="Other","",IF(INDEX(RS_Rate,MATCH(B87,RS_Lane,0))="","",INDEX(RS_Rate,MATCH(B87,RS_Lane,0))))))</f>
        <v/>
      </c>
    </row>
    <row r="88">
      <c r="A88" s="95" t="inlineStr">
        <is>
          <t>B-084</t>
        </is>
      </c>
      <c r="B88" s="112" t="inlineStr">
        <is>
          <t>L07</t>
        </is>
      </c>
      <c r="C88" s="101" t="inlineStr">
        <is>
          <t>Algeria</t>
        </is>
      </c>
      <c r="D88" s="101" t="inlineStr">
        <is>
          <t>Algiers</t>
        </is>
      </c>
      <c r="E88" s="101" t="inlineStr">
        <is>
          <t>B4  500 to 2,000 kg</t>
        </is>
      </c>
      <c r="F88" s="123" t="n">
        <v>941.5</v>
      </c>
      <c r="G88" s="86">
        <f>F88*0.006477</f>
        <v/>
      </c>
      <c r="H88" s="123">
        <f>F88*1.079436</f>
        <v/>
      </c>
      <c r="I88" s="122">
        <f>MAX(1,ROUNDUP(G88/0.096,0))</f>
        <v/>
      </c>
      <c r="J88" s="84" t="n">
        <v>46489</v>
      </c>
      <c r="K88" s="87">
        <f>J88-WEEKDAY(J88,2)+1</f>
        <v/>
      </c>
      <c r="L88" s="84">
        <f>J88</f>
        <v/>
      </c>
      <c r="M88" s="52">
        <f>INDEX(LR_Target,MATCH(B88,LR_Lane,0))</f>
        <v/>
      </c>
      <c r="N88" s="84">
        <f>WORKDAY.INTL(L88,M88,INDEX(LR_Code,MATCH(B88,LR_Lane,0)),INDEX(DH_Table,0,MATCH(B88&amp;"*",DH_Head,0)))</f>
        <v/>
      </c>
      <c r="O88" s="65">
        <f>IF(W88&lt;&gt;"",W88,IF(U88="Helmond",IF(COUNTIFS(RC_Lane,B88,RC_Band,E88,RC_Transit,"&lt;&gt;")=0,"",SUMIFS(RC_Transit,RC_Lane,B88,RC_Band,E88)),IF(U88="Other","",IF(INDEX(RS_Transit,MATCH(B88,RS_Lane,0))="","",INDEX(RS_Transit,MATCH(B88,RS_Lane,0))))))</f>
        <v/>
      </c>
      <c r="P88" s="140" t="n"/>
      <c r="Q88" s="84">
        <f>IF(P88&lt;&gt;"",P88,IF(O88="","",WORKDAY.INTL(L88,ROUNDUP(O88,0),INDEX(LR_Code,MATCH(B88,LR_Lane,0)),INDEX(DH_Table,0,MATCH(B88&amp;"*",DH_Head,0)))))</f>
        <v/>
      </c>
      <c r="R88" s="100">
        <f>IF(Q88="","",IF(Q88&lt;=N88,"Yes","No"))</f>
        <v/>
      </c>
      <c r="S88" s="52">
        <f>IF(Q88="","",IF(Q88&lt;=N88,0,NETWORKDAYS.INTL(N88,Q88,INDEX(LR_Code,MATCH(B88,LR_Lane,0)),INDEX(DH_Table,0,MATCH(B88&amp;"*",DH_Head,0)))-1))</f>
        <v/>
      </c>
      <c r="T88" s="127" t="n"/>
      <c r="U88" s="112">
        <f>IF(V88&lt;&gt;"",V88,IF(IFERROR(INDEX(RS_Flag,MATCH(B88,RS_Lane,0)),"")="Yes",IF(IFERROR(INDEX(RS_Loc,MATCH(B88,RS_Lane,0)),"")="","Regional stock",IFERROR(INDEX(RS_Loc,MATCH(B88,RS_Lane,0)),"")),"Helmond"))</f>
        <v/>
      </c>
      <c r="V88" s="141" t="n"/>
      <c r="W88" s="142" t="n"/>
      <c r="X88" s="143" t="n"/>
      <c r="Y88" s="116">
        <f>IF(X88&lt;&gt;"",X88,IF(U88="Helmond",IF(COUNTIFS(RC_Lane,B88,RC_Band,E88,RC_CostPS,"&gt;0")=0,"",SUMIFS(RC_CostPS,RC_Lane,B88,RC_Band,E88)*(1-SUMIFS(RC_Disc,RC_Lane,B88,RC_Band,E88))),IF(U88="Other","",IF(INDEX(RS_Rate,MATCH(B88,RS_Lane,0))="","",INDEX(RS_Rate,MATCH(B88,RS_Lane,0))))))</f>
        <v/>
      </c>
    </row>
    <row r="89">
      <c r="A89" s="95" t="inlineStr">
        <is>
          <t>B-085</t>
        </is>
      </c>
      <c r="B89" s="112" t="inlineStr">
        <is>
          <t>L01</t>
        </is>
      </c>
      <c r="C89" s="101" t="inlineStr">
        <is>
          <t>Saudi Arabia</t>
        </is>
      </c>
      <c r="D89" s="101" t="inlineStr">
        <is>
          <t>Jeddah</t>
        </is>
      </c>
      <c r="E89" s="101" t="inlineStr">
        <is>
          <t>B2  30 to 100 kg</t>
        </is>
      </c>
      <c r="F89" s="123" t="n">
        <v>47.9</v>
      </c>
      <c r="G89" s="86">
        <f>F89*0.006477</f>
        <v/>
      </c>
      <c r="H89" s="123">
        <f>F89*1.079436</f>
        <v/>
      </c>
      <c r="I89" s="122">
        <f>MAX(1,ROUNDUP(G89/0.096,0))</f>
        <v/>
      </c>
      <c r="J89" s="84" t="n">
        <v>46490</v>
      </c>
      <c r="K89" s="87">
        <f>J89-WEEKDAY(J89,2)+1</f>
        <v/>
      </c>
      <c r="L89" s="84">
        <f>J89</f>
        <v/>
      </c>
      <c r="M89" s="52">
        <f>INDEX(LR_Target,MATCH(B89,LR_Lane,0))</f>
        <v/>
      </c>
      <c r="N89" s="84">
        <f>WORKDAY.INTL(L89,M89,INDEX(LR_Code,MATCH(B89,LR_Lane,0)),INDEX(DH_Table,0,MATCH(B89&amp;"*",DH_Head,0)))</f>
        <v/>
      </c>
      <c r="O89" s="65">
        <f>IF(W89&lt;&gt;"",W89,IF(U89="Helmond",IF(COUNTIFS(RC_Lane,B89,RC_Band,E89,RC_Transit,"&lt;&gt;")=0,"",SUMIFS(RC_Transit,RC_Lane,B89,RC_Band,E89)),IF(U89="Other","",IF(INDEX(RS_Transit,MATCH(B89,RS_Lane,0))="","",INDEX(RS_Transit,MATCH(B89,RS_Lane,0))))))</f>
        <v/>
      </c>
      <c r="P89" s="140" t="n"/>
      <c r="Q89" s="84">
        <f>IF(P89&lt;&gt;"",P89,IF(O89="","",WORKDAY.INTL(L89,ROUNDUP(O89,0),INDEX(LR_Code,MATCH(B89,LR_Lane,0)),INDEX(DH_Table,0,MATCH(B89&amp;"*",DH_Head,0)))))</f>
        <v/>
      </c>
      <c r="R89" s="100">
        <f>IF(Q89="","",IF(Q89&lt;=N89,"Yes","No"))</f>
        <v/>
      </c>
      <c r="S89" s="52">
        <f>IF(Q89="","",IF(Q89&lt;=N89,0,NETWORKDAYS.INTL(N89,Q89,INDEX(LR_Code,MATCH(B89,LR_Lane,0)),INDEX(DH_Table,0,MATCH(B89&amp;"*",DH_Head,0)))-1))</f>
        <v/>
      </c>
      <c r="T89" s="127" t="n"/>
      <c r="U89" s="112">
        <f>IF(V89&lt;&gt;"",V89,IF(IFERROR(INDEX(RS_Flag,MATCH(B89,RS_Lane,0)),"")="Yes",IF(IFERROR(INDEX(RS_Loc,MATCH(B89,RS_Lane,0)),"")="","Regional stock",IFERROR(INDEX(RS_Loc,MATCH(B89,RS_Lane,0)),"")),"Helmond"))</f>
        <v/>
      </c>
      <c r="V89" s="141" t="n"/>
      <c r="W89" s="142" t="n"/>
      <c r="X89" s="143" t="n"/>
      <c r="Y89" s="116">
        <f>IF(X89&lt;&gt;"",X89,IF(U89="Helmond",IF(COUNTIFS(RC_Lane,B89,RC_Band,E89,RC_CostPS,"&gt;0")=0,"",SUMIFS(RC_CostPS,RC_Lane,B89,RC_Band,E89)*(1-SUMIFS(RC_Disc,RC_Lane,B89,RC_Band,E89))),IF(U89="Other","",IF(INDEX(RS_Rate,MATCH(B89,RS_Lane,0))="","",INDEX(RS_Rate,MATCH(B89,RS_Lane,0))))))</f>
        <v/>
      </c>
    </row>
    <row r="90">
      <c r="A90" s="95" t="inlineStr">
        <is>
          <t>B-086</t>
        </is>
      </c>
      <c r="B90" s="112" t="inlineStr">
        <is>
          <t>L02</t>
        </is>
      </c>
      <c r="C90" s="101" t="inlineStr">
        <is>
          <t>United Arab Emirates</t>
        </is>
      </c>
      <c r="D90" s="101" t="inlineStr">
        <is>
          <t>Dubai</t>
        </is>
      </c>
      <c r="E90" s="101" t="inlineStr">
        <is>
          <t>B1  0 to 30 kg</t>
        </is>
      </c>
      <c r="F90" s="123" t="n">
        <v>9.199999999999999</v>
      </c>
      <c r="G90" s="86">
        <f>F90*0.006477</f>
        <v/>
      </c>
      <c r="H90" s="123">
        <f>F90*1.079436</f>
        <v/>
      </c>
      <c r="I90" s="122">
        <f>MAX(1,ROUNDUP(G90/0.096,0))</f>
        <v/>
      </c>
      <c r="J90" s="84" t="n">
        <v>46490</v>
      </c>
      <c r="K90" s="87">
        <f>J90-WEEKDAY(J90,2)+1</f>
        <v/>
      </c>
      <c r="L90" s="84">
        <f>J90</f>
        <v/>
      </c>
      <c r="M90" s="52">
        <f>INDEX(LR_Target,MATCH(B90,LR_Lane,0))</f>
        <v/>
      </c>
      <c r="N90" s="84">
        <f>WORKDAY.INTL(L90,M90,INDEX(LR_Code,MATCH(B90,LR_Lane,0)),INDEX(DH_Table,0,MATCH(B90&amp;"*",DH_Head,0)))</f>
        <v/>
      </c>
      <c r="O90" s="65">
        <f>IF(W90&lt;&gt;"",W90,IF(U90="Helmond",IF(COUNTIFS(RC_Lane,B90,RC_Band,E90,RC_Transit,"&lt;&gt;")=0,"",SUMIFS(RC_Transit,RC_Lane,B90,RC_Band,E90)),IF(U90="Other","",IF(INDEX(RS_Transit,MATCH(B90,RS_Lane,0))="","",INDEX(RS_Transit,MATCH(B90,RS_Lane,0))))))</f>
        <v/>
      </c>
      <c r="P90" s="140" t="n"/>
      <c r="Q90" s="84">
        <f>IF(P90&lt;&gt;"",P90,IF(O90="","",WORKDAY.INTL(L90,ROUNDUP(O90,0),INDEX(LR_Code,MATCH(B90,LR_Lane,0)),INDEX(DH_Table,0,MATCH(B90&amp;"*",DH_Head,0)))))</f>
        <v/>
      </c>
      <c r="R90" s="100">
        <f>IF(Q90="","",IF(Q90&lt;=N90,"Yes","No"))</f>
        <v/>
      </c>
      <c r="S90" s="52">
        <f>IF(Q90="","",IF(Q90&lt;=N90,0,NETWORKDAYS.INTL(N90,Q90,INDEX(LR_Code,MATCH(B90,LR_Lane,0)),INDEX(DH_Table,0,MATCH(B90&amp;"*",DH_Head,0)))-1))</f>
        <v/>
      </c>
      <c r="T90" s="127" t="n"/>
      <c r="U90" s="112">
        <f>IF(V90&lt;&gt;"",V90,IF(IFERROR(INDEX(RS_Flag,MATCH(B90,RS_Lane,0)),"")="Yes",IF(IFERROR(INDEX(RS_Loc,MATCH(B90,RS_Lane,0)),"")="","Regional stock",IFERROR(INDEX(RS_Loc,MATCH(B90,RS_Lane,0)),"")),"Helmond"))</f>
        <v/>
      </c>
      <c r="V90" s="141" t="n"/>
      <c r="W90" s="142" t="n"/>
      <c r="X90" s="143" t="n"/>
      <c r="Y90" s="116">
        <f>IF(X90&lt;&gt;"",X90,IF(U90="Helmond",IF(COUNTIFS(RC_Lane,B90,RC_Band,E90,RC_CostPS,"&gt;0")=0,"",SUMIFS(RC_CostPS,RC_Lane,B90,RC_Band,E90)*(1-SUMIFS(RC_Disc,RC_Lane,B90,RC_Band,E90))),IF(U90="Other","",IF(INDEX(RS_Rate,MATCH(B90,RS_Lane,0))="","",INDEX(RS_Rate,MATCH(B90,RS_Lane,0))))))</f>
        <v/>
      </c>
    </row>
    <row r="91">
      <c r="A91" s="95" t="inlineStr">
        <is>
          <t>B-087</t>
        </is>
      </c>
      <c r="B91" s="112" t="inlineStr">
        <is>
          <t>L04</t>
        </is>
      </c>
      <c r="C91" s="101" t="inlineStr">
        <is>
          <t>Qatar</t>
        </is>
      </c>
      <c r="D91" s="101" t="inlineStr">
        <is>
          <t>Doha</t>
        </is>
      </c>
      <c r="E91" s="101" t="inlineStr">
        <is>
          <t>B1  0 to 30 kg</t>
        </is>
      </c>
      <c r="F91" s="123" t="n">
        <v>5.8</v>
      </c>
      <c r="G91" s="86">
        <f>F91*0.006477</f>
        <v/>
      </c>
      <c r="H91" s="123">
        <f>F91*1.079436</f>
        <v/>
      </c>
      <c r="I91" s="122">
        <f>MAX(1,ROUNDUP(G91/0.096,0))</f>
        <v/>
      </c>
      <c r="J91" s="84" t="n">
        <v>46490</v>
      </c>
      <c r="K91" s="87">
        <f>J91-WEEKDAY(J91,2)+1</f>
        <v/>
      </c>
      <c r="L91" s="84">
        <f>J91</f>
        <v/>
      </c>
      <c r="M91" s="52">
        <f>INDEX(LR_Target,MATCH(B91,LR_Lane,0))</f>
        <v/>
      </c>
      <c r="N91" s="84">
        <f>WORKDAY.INTL(L91,M91,INDEX(LR_Code,MATCH(B91,LR_Lane,0)),INDEX(DH_Table,0,MATCH(B91&amp;"*",DH_Head,0)))</f>
        <v/>
      </c>
      <c r="O91" s="65">
        <f>IF(W91&lt;&gt;"",W91,IF(U91="Helmond",IF(COUNTIFS(RC_Lane,B91,RC_Band,E91,RC_Transit,"&lt;&gt;")=0,"",SUMIFS(RC_Transit,RC_Lane,B91,RC_Band,E91)),IF(U91="Other","",IF(INDEX(RS_Transit,MATCH(B91,RS_Lane,0))="","",INDEX(RS_Transit,MATCH(B91,RS_Lane,0))))))</f>
        <v/>
      </c>
      <c r="P91" s="140" t="n"/>
      <c r="Q91" s="84">
        <f>IF(P91&lt;&gt;"",P91,IF(O91="","",WORKDAY.INTL(L91,ROUNDUP(O91,0),INDEX(LR_Code,MATCH(B91,LR_Lane,0)),INDEX(DH_Table,0,MATCH(B91&amp;"*",DH_Head,0)))))</f>
        <v/>
      </c>
      <c r="R91" s="100">
        <f>IF(Q91="","",IF(Q91&lt;=N91,"Yes","No"))</f>
        <v/>
      </c>
      <c r="S91" s="52">
        <f>IF(Q91="","",IF(Q91&lt;=N91,0,NETWORKDAYS.INTL(N91,Q91,INDEX(LR_Code,MATCH(B91,LR_Lane,0)),INDEX(DH_Table,0,MATCH(B91&amp;"*",DH_Head,0)))-1))</f>
        <v/>
      </c>
      <c r="T91" s="127" t="n"/>
      <c r="U91" s="112">
        <f>IF(V91&lt;&gt;"",V91,IF(IFERROR(INDEX(RS_Flag,MATCH(B91,RS_Lane,0)),"")="Yes",IF(IFERROR(INDEX(RS_Loc,MATCH(B91,RS_Lane,0)),"")="","Regional stock",IFERROR(INDEX(RS_Loc,MATCH(B91,RS_Lane,0)),"")),"Helmond"))</f>
        <v/>
      </c>
      <c r="V91" s="141" t="n"/>
      <c r="W91" s="142" t="n"/>
      <c r="X91" s="143" t="n"/>
      <c r="Y91" s="116">
        <f>IF(X91&lt;&gt;"",X91,IF(U91="Helmond",IF(COUNTIFS(RC_Lane,B91,RC_Band,E91,RC_CostPS,"&gt;0")=0,"",SUMIFS(RC_CostPS,RC_Lane,B91,RC_Band,E91)*(1-SUMIFS(RC_Disc,RC_Lane,B91,RC_Band,E91))),IF(U91="Other","",IF(INDEX(RS_Rate,MATCH(B91,RS_Lane,0))="","",INDEX(RS_Rate,MATCH(B91,RS_Lane,0))))))</f>
        <v/>
      </c>
    </row>
    <row r="92">
      <c r="A92" s="95" t="inlineStr">
        <is>
          <t>B-088</t>
        </is>
      </c>
      <c r="B92" s="112" t="inlineStr">
        <is>
          <t>L04</t>
        </is>
      </c>
      <c r="C92" s="101" t="inlineStr">
        <is>
          <t>Qatar</t>
        </is>
      </c>
      <c r="D92" s="101" t="inlineStr">
        <is>
          <t>Doha</t>
        </is>
      </c>
      <c r="E92" s="101" t="inlineStr">
        <is>
          <t>B2  30 to 100 kg</t>
        </is>
      </c>
      <c r="F92" s="123" t="n">
        <v>60.4</v>
      </c>
      <c r="G92" s="86">
        <f>F92*0.006477</f>
        <v/>
      </c>
      <c r="H92" s="123">
        <f>F92*1.079436</f>
        <v/>
      </c>
      <c r="I92" s="122">
        <f>MAX(1,ROUNDUP(G92/0.096,0))</f>
        <v/>
      </c>
      <c r="J92" s="84" t="n">
        <v>46491</v>
      </c>
      <c r="K92" s="87">
        <f>J92-WEEKDAY(J92,2)+1</f>
        <v/>
      </c>
      <c r="L92" s="84">
        <f>J92</f>
        <v/>
      </c>
      <c r="M92" s="52">
        <f>INDEX(LR_Target,MATCH(B92,LR_Lane,0))</f>
        <v/>
      </c>
      <c r="N92" s="84">
        <f>WORKDAY.INTL(L92,M92,INDEX(LR_Code,MATCH(B92,LR_Lane,0)),INDEX(DH_Table,0,MATCH(B92&amp;"*",DH_Head,0)))</f>
        <v/>
      </c>
      <c r="O92" s="65">
        <f>IF(W92&lt;&gt;"",W92,IF(U92="Helmond",IF(COUNTIFS(RC_Lane,B92,RC_Band,E92,RC_Transit,"&lt;&gt;")=0,"",SUMIFS(RC_Transit,RC_Lane,B92,RC_Band,E92)),IF(U92="Other","",IF(INDEX(RS_Transit,MATCH(B92,RS_Lane,0))="","",INDEX(RS_Transit,MATCH(B92,RS_Lane,0))))))</f>
        <v/>
      </c>
      <c r="P92" s="140" t="n"/>
      <c r="Q92" s="84">
        <f>IF(P92&lt;&gt;"",P92,IF(O92="","",WORKDAY.INTL(L92,ROUNDUP(O92,0),INDEX(LR_Code,MATCH(B92,LR_Lane,0)),INDEX(DH_Table,0,MATCH(B92&amp;"*",DH_Head,0)))))</f>
        <v/>
      </c>
      <c r="R92" s="100">
        <f>IF(Q92="","",IF(Q92&lt;=N92,"Yes","No"))</f>
        <v/>
      </c>
      <c r="S92" s="52">
        <f>IF(Q92="","",IF(Q92&lt;=N92,0,NETWORKDAYS.INTL(N92,Q92,INDEX(LR_Code,MATCH(B92,LR_Lane,0)),INDEX(DH_Table,0,MATCH(B92&amp;"*",DH_Head,0)))-1))</f>
        <v/>
      </c>
      <c r="T92" s="127" t="n"/>
      <c r="U92" s="112">
        <f>IF(V92&lt;&gt;"",V92,IF(IFERROR(INDEX(RS_Flag,MATCH(B92,RS_Lane,0)),"")="Yes",IF(IFERROR(INDEX(RS_Loc,MATCH(B92,RS_Lane,0)),"")="","Regional stock",IFERROR(INDEX(RS_Loc,MATCH(B92,RS_Lane,0)),"")),"Helmond"))</f>
        <v/>
      </c>
      <c r="V92" s="141" t="n"/>
      <c r="W92" s="142" t="n"/>
      <c r="X92" s="143" t="n"/>
      <c r="Y92" s="116">
        <f>IF(X92&lt;&gt;"",X92,IF(U92="Helmond",IF(COUNTIFS(RC_Lane,B92,RC_Band,E92,RC_CostPS,"&gt;0")=0,"",SUMIFS(RC_CostPS,RC_Lane,B92,RC_Band,E92)*(1-SUMIFS(RC_Disc,RC_Lane,B92,RC_Band,E92))),IF(U92="Other","",IF(INDEX(RS_Rate,MATCH(B92,RS_Lane,0))="","",INDEX(RS_Rate,MATCH(B92,RS_Lane,0))))))</f>
        <v/>
      </c>
    </row>
    <row r="93">
      <c r="A93" s="95" t="inlineStr">
        <is>
          <t>B-089</t>
        </is>
      </c>
      <c r="B93" s="112" t="inlineStr">
        <is>
          <t>L02</t>
        </is>
      </c>
      <c r="C93" s="101" t="inlineStr">
        <is>
          <t>United Arab Emirates</t>
        </is>
      </c>
      <c r="D93" s="101" t="inlineStr">
        <is>
          <t>Dubai</t>
        </is>
      </c>
      <c r="E93" s="101" t="inlineStr">
        <is>
          <t>B1  0 to 30 kg</t>
        </is>
      </c>
      <c r="F93" s="123" t="n">
        <v>10.3</v>
      </c>
      <c r="G93" s="86">
        <f>F93*0.006477</f>
        <v/>
      </c>
      <c r="H93" s="123">
        <f>F93*1.079436</f>
        <v/>
      </c>
      <c r="I93" s="122">
        <f>MAX(1,ROUNDUP(G93/0.096,0))</f>
        <v/>
      </c>
      <c r="J93" s="84" t="n">
        <v>46492</v>
      </c>
      <c r="K93" s="87">
        <f>J93-WEEKDAY(J93,2)+1</f>
        <v/>
      </c>
      <c r="L93" s="84">
        <f>J93</f>
        <v/>
      </c>
      <c r="M93" s="52">
        <f>INDEX(LR_Target,MATCH(B93,LR_Lane,0))</f>
        <v/>
      </c>
      <c r="N93" s="84">
        <f>WORKDAY.INTL(L93,M93,INDEX(LR_Code,MATCH(B93,LR_Lane,0)),INDEX(DH_Table,0,MATCH(B93&amp;"*",DH_Head,0)))</f>
        <v/>
      </c>
      <c r="O93" s="65">
        <f>IF(W93&lt;&gt;"",W93,IF(U93="Helmond",IF(COUNTIFS(RC_Lane,B93,RC_Band,E93,RC_Transit,"&lt;&gt;")=0,"",SUMIFS(RC_Transit,RC_Lane,B93,RC_Band,E93)),IF(U93="Other","",IF(INDEX(RS_Transit,MATCH(B93,RS_Lane,0))="","",INDEX(RS_Transit,MATCH(B93,RS_Lane,0))))))</f>
        <v/>
      </c>
      <c r="P93" s="140" t="n"/>
      <c r="Q93" s="84">
        <f>IF(P93&lt;&gt;"",P93,IF(O93="","",WORKDAY.INTL(L93,ROUNDUP(O93,0),INDEX(LR_Code,MATCH(B93,LR_Lane,0)),INDEX(DH_Table,0,MATCH(B93&amp;"*",DH_Head,0)))))</f>
        <v/>
      </c>
      <c r="R93" s="100">
        <f>IF(Q93="","",IF(Q93&lt;=N93,"Yes","No"))</f>
        <v/>
      </c>
      <c r="S93" s="52">
        <f>IF(Q93="","",IF(Q93&lt;=N93,0,NETWORKDAYS.INTL(N93,Q93,INDEX(LR_Code,MATCH(B93,LR_Lane,0)),INDEX(DH_Table,0,MATCH(B93&amp;"*",DH_Head,0)))-1))</f>
        <v/>
      </c>
      <c r="T93" s="127" t="n"/>
      <c r="U93" s="112">
        <f>IF(V93&lt;&gt;"",V93,IF(IFERROR(INDEX(RS_Flag,MATCH(B93,RS_Lane,0)),"")="Yes",IF(IFERROR(INDEX(RS_Loc,MATCH(B93,RS_Lane,0)),"")="","Regional stock",IFERROR(INDEX(RS_Loc,MATCH(B93,RS_Lane,0)),"")),"Helmond"))</f>
        <v/>
      </c>
      <c r="V93" s="141" t="n"/>
      <c r="W93" s="142" t="n"/>
      <c r="X93" s="143" t="n"/>
      <c r="Y93" s="116">
        <f>IF(X93&lt;&gt;"",X93,IF(U93="Helmond",IF(COUNTIFS(RC_Lane,B93,RC_Band,E93,RC_CostPS,"&gt;0")=0,"",SUMIFS(RC_CostPS,RC_Lane,B93,RC_Band,E93)*(1-SUMIFS(RC_Disc,RC_Lane,B93,RC_Band,E93))),IF(U93="Other","",IF(INDEX(RS_Rate,MATCH(B93,RS_Lane,0))="","",INDEX(RS_Rate,MATCH(B93,RS_Lane,0))))))</f>
        <v/>
      </c>
    </row>
    <row r="94">
      <c r="A94" s="95" t="inlineStr">
        <is>
          <t>B-090</t>
        </is>
      </c>
      <c r="B94" s="112" t="inlineStr">
        <is>
          <t>L02</t>
        </is>
      </c>
      <c r="C94" s="101" t="inlineStr">
        <is>
          <t>United Arab Emirates</t>
        </is>
      </c>
      <c r="D94" s="101" t="inlineStr">
        <is>
          <t>Dubai</t>
        </is>
      </c>
      <c r="E94" s="101" t="inlineStr">
        <is>
          <t>B1  0 to 30 kg</t>
        </is>
      </c>
      <c r="F94" s="123" t="n">
        <v>11.1</v>
      </c>
      <c r="G94" s="86">
        <f>F94*0.006477</f>
        <v/>
      </c>
      <c r="H94" s="123">
        <f>F94*1.079436</f>
        <v/>
      </c>
      <c r="I94" s="122">
        <f>MAX(1,ROUNDUP(G94/0.096,0))</f>
        <v/>
      </c>
      <c r="J94" s="84" t="n">
        <v>46492</v>
      </c>
      <c r="K94" s="87">
        <f>J94-WEEKDAY(J94,2)+1</f>
        <v/>
      </c>
      <c r="L94" s="84">
        <f>J94</f>
        <v/>
      </c>
      <c r="M94" s="52">
        <f>INDEX(LR_Target,MATCH(B94,LR_Lane,0))</f>
        <v/>
      </c>
      <c r="N94" s="84">
        <f>WORKDAY.INTL(L94,M94,INDEX(LR_Code,MATCH(B94,LR_Lane,0)),INDEX(DH_Table,0,MATCH(B94&amp;"*",DH_Head,0)))</f>
        <v/>
      </c>
      <c r="O94" s="65">
        <f>IF(W94&lt;&gt;"",W94,IF(U94="Helmond",IF(COUNTIFS(RC_Lane,B94,RC_Band,E94,RC_Transit,"&lt;&gt;")=0,"",SUMIFS(RC_Transit,RC_Lane,B94,RC_Band,E94)),IF(U94="Other","",IF(INDEX(RS_Transit,MATCH(B94,RS_Lane,0))="","",INDEX(RS_Transit,MATCH(B94,RS_Lane,0))))))</f>
        <v/>
      </c>
      <c r="P94" s="140" t="n"/>
      <c r="Q94" s="84">
        <f>IF(P94&lt;&gt;"",P94,IF(O94="","",WORKDAY.INTL(L94,ROUNDUP(O94,0),INDEX(LR_Code,MATCH(B94,LR_Lane,0)),INDEX(DH_Table,0,MATCH(B94&amp;"*",DH_Head,0)))))</f>
        <v/>
      </c>
      <c r="R94" s="100">
        <f>IF(Q94="","",IF(Q94&lt;=N94,"Yes","No"))</f>
        <v/>
      </c>
      <c r="S94" s="52">
        <f>IF(Q94="","",IF(Q94&lt;=N94,0,NETWORKDAYS.INTL(N94,Q94,INDEX(LR_Code,MATCH(B94,LR_Lane,0)),INDEX(DH_Table,0,MATCH(B94&amp;"*",DH_Head,0)))-1))</f>
        <v/>
      </c>
      <c r="T94" s="127" t="n"/>
      <c r="U94" s="112">
        <f>IF(V94&lt;&gt;"",V94,IF(IFERROR(INDEX(RS_Flag,MATCH(B94,RS_Lane,0)),"")="Yes",IF(IFERROR(INDEX(RS_Loc,MATCH(B94,RS_Lane,0)),"")="","Regional stock",IFERROR(INDEX(RS_Loc,MATCH(B94,RS_Lane,0)),"")),"Helmond"))</f>
        <v/>
      </c>
      <c r="V94" s="141" t="n"/>
      <c r="W94" s="142" t="n"/>
      <c r="X94" s="143" t="n"/>
      <c r="Y94" s="116">
        <f>IF(X94&lt;&gt;"",X94,IF(U94="Helmond",IF(COUNTIFS(RC_Lane,B94,RC_Band,E94,RC_CostPS,"&gt;0")=0,"",SUMIFS(RC_CostPS,RC_Lane,B94,RC_Band,E94)*(1-SUMIFS(RC_Disc,RC_Lane,B94,RC_Band,E94))),IF(U94="Other","",IF(INDEX(RS_Rate,MATCH(B94,RS_Lane,0))="","",INDEX(RS_Rate,MATCH(B94,RS_Lane,0))))))</f>
        <v/>
      </c>
    </row>
    <row r="95">
      <c r="A95" s="95" t="inlineStr">
        <is>
          <t>B-091</t>
        </is>
      </c>
      <c r="B95" s="112" t="inlineStr">
        <is>
          <t>L05</t>
        </is>
      </c>
      <c r="C95" s="101" t="inlineStr">
        <is>
          <t>Türkiye</t>
        </is>
      </c>
      <c r="D95" s="101" t="inlineStr">
        <is>
          <t>Istanbul</t>
        </is>
      </c>
      <c r="E95" s="101" t="inlineStr">
        <is>
          <t>B3  100 to 500 kg</t>
        </is>
      </c>
      <c r="F95" s="123" t="n">
        <v>177.1</v>
      </c>
      <c r="G95" s="86">
        <f>F95*0.006477</f>
        <v/>
      </c>
      <c r="H95" s="123">
        <f>F95*1.079436</f>
        <v/>
      </c>
      <c r="I95" s="122">
        <f>MAX(1,ROUNDUP(G95/0.096,0))</f>
        <v/>
      </c>
      <c r="J95" s="84" t="n">
        <v>46492</v>
      </c>
      <c r="K95" s="87">
        <f>J95-WEEKDAY(J95,2)+1</f>
        <v/>
      </c>
      <c r="L95" s="84">
        <f>J95</f>
        <v/>
      </c>
      <c r="M95" s="52">
        <f>INDEX(LR_Target,MATCH(B95,LR_Lane,0))</f>
        <v/>
      </c>
      <c r="N95" s="84">
        <f>WORKDAY.INTL(L95,M95,INDEX(LR_Code,MATCH(B95,LR_Lane,0)),INDEX(DH_Table,0,MATCH(B95&amp;"*",DH_Head,0)))</f>
        <v/>
      </c>
      <c r="O95" s="65">
        <f>IF(W95&lt;&gt;"",W95,IF(U95="Helmond",IF(COUNTIFS(RC_Lane,B95,RC_Band,E95,RC_Transit,"&lt;&gt;")=0,"",SUMIFS(RC_Transit,RC_Lane,B95,RC_Band,E95)),IF(U95="Other","",IF(INDEX(RS_Transit,MATCH(B95,RS_Lane,0))="","",INDEX(RS_Transit,MATCH(B95,RS_Lane,0))))))</f>
        <v/>
      </c>
      <c r="P95" s="140" t="n"/>
      <c r="Q95" s="84">
        <f>IF(P95&lt;&gt;"",P95,IF(O95="","",WORKDAY.INTL(L95,ROUNDUP(O95,0),INDEX(LR_Code,MATCH(B95,LR_Lane,0)),INDEX(DH_Table,0,MATCH(B95&amp;"*",DH_Head,0)))))</f>
        <v/>
      </c>
      <c r="R95" s="100">
        <f>IF(Q95="","",IF(Q95&lt;=N95,"Yes","No"))</f>
        <v/>
      </c>
      <c r="S95" s="52">
        <f>IF(Q95="","",IF(Q95&lt;=N95,0,NETWORKDAYS.INTL(N95,Q95,INDEX(LR_Code,MATCH(B95,LR_Lane,0)),INDEX(DH_Table,0,MATCH(B95&amp;"*",DH_Head,0)))-1))</f>
        <v/>
      </c>
      <c r="T95" s="127" t="n"/>
      <c r="U95" s="112">
        <f>IF(V95&lt;&gt;"",V95,IF(IFERROR(INDEX(RS_Flag,MATCH(B95,RS_Lane,0)),"")="Yes",IF(IFERROR(INDEX(RS_Loc,MATCH(B95,RS_Lane,0)),"")="","Regional stock",IFERROR(INDEX(RS_Loc,MATCH(B95,RS_Lane,0)),"")),"Helmond"))</f>
        <v/>
      </c>
      <c r="V95" s="141" t="n"/>
      <c r="W95" s="142" t="n"/>
      <c r="X95" s="143" t="n"/>
      <c r="Y95" s="116">
        <f>IF(X95&lt;&gt;"",X95,IF(U95="Helmond",IF(COUNTIFS(RC_Lane,B95,RC_Band,E95,RC_CostPS,"&gt;0")=0,"",SUMIFS(RC_CostPS,RC_Lane,B95,RC_Band,E95)*(1-SUMIFS(RC_Disc,RC_Lane,B95,RC_Band,E95))),IF(U95="Other","",IF(INDEX(RS_Rate,MATCH(B95,RS_Lane,0))="","",INDEX(RS_Rate,MATCH(B95,RS_Lane,0))))))</f>
        <v/>
      </c>
    </row>
    <row r="96">
      <c r="A96" s="95" t="inlineStr">
        <is>
          <t>B-092</t>
        </is>
      </c>
      <c r="B96" s="112" t="inlineStr">
        <is>
          <t>L01</t>
        </is>
      </c>
      <c r="C96" s="101" t="inlineStr">
        <is>
          <t>Saudi Arabia</t>
        </is>
      </c>
      <c r="D96" s="101" t="inlineStr">
        <is>
          <t>Riyadh</t>
        </is>
      </c>
      <c r="E96" s="101" t="inlineStr">
        <is>
          <t>B4  500 to 2,000 kg</t>
        </is>
      </c>
      <c r="F96" s="123" t="n">
        <v>663.4</v>
      </c>
      <c r="G96" s="86">
        <f>F96*0.006477</f>
        <v/>
      </c>
      <c r="H96" s="123">
        <f>F96*1.079436</f>
        <v/>
      </c>
      <c r="I96" s="122">
        <f>MAX(1,ROUNDUP(G96/0.096,0))</f>
        <v/>
      </c>
      <c r="J96" s="84" t="n">
        <v>46498</v>
      </c>
      <c r="K96" s="87">
        <f>J96-WEEKDAY(J96,2)+1</f>
        <v/>
      </c>
      <c r="L96" s="84">
        <f>J96</f>
        <v/>
      </c>
      <c r="M96" s="52">
        <f>INDEX(LR_Target,MATCH(B96,LR_Lane,0))</f>
        <v/>
      </c>
      <c r="N96" s="84">
        <f>WORKDAY.INTL(L96,M96,INDEX(LR_Code,MATCH(B96,LR_Lane,0)),INDEX(DH_Table,0,MATCH(B96&amp;"*",DH_Head,0)))</f>
        <v/>
      </c>
      <c r="O96" s="65">
        <f>IF(W96&lt;&gt;"",W96,IF(U96="Helmond",IF(COUNTIFS(RC_Lane,B96,RC_Band,E96,RC_Transit,"&lt;&gt;")=0,"",SUMIFS(RC_Transit,RC_Lane,B96,RC_Band,E96)),IF(U96="Other","",IF(INDEX(RS_Transit,MATCH(B96,RS_Lane,0))="","",INDEX(RS_Transit,MATCH(B96,RS_Lane,0))))))</f>
        <v/>
      </c>
      <c r="P96" s="140" t="n"/>
      <c r="Q96" s="84">
        <f>IF(P96&lt;&gt;"",P96,IF(O96="","",WORKDAY.INTL(L96,ROUNDUP(O96,0),INDEX(LR_Code,MATCH(B96,LR_Lane,0)),INDEX(DH_Table,0,MATCH(B96&amp;"*",DH_Head,0)))))</f>
        <v/>
      </c>
      <c r="R96" s="100">
        <f>IF(Q96="","",IF(Q96&lt;=N96,"Yes","No"))</f>
        <v/>
      </c>
      <c r="S96" s="52">
        <f>IF(Q96="","",IF(Q96&lt;=N96,0,NETWORKDAYS.INTL(N96,Q96,INDEX(LR_Code,MATCH(B96,LR_Lane,0)),INDEX(DH_Table,0,MATCH(B96&amp;"*",DH_Head,0)))-1))</f>
        <v/>
      </c>
      <c r="T96" s="127" t="n"/>
      <c r="U96" s="112">
        <f>IF(V96&lt;&gt;"",V96,IF(IFERROR(INDEX(RS_Flag,MATCH(B96,RS_Lane,0)),"")="Yes",IF(IFERROR(INDEX(RS_Loc,MATCH(B96,RS_Lane,0)),"")="","Regional stock",IFERROR(INDEX(RS_Loc,MATCH(B96,RS_Lane,0)),"")),"Helmond"))</f>
        <v/>
      </c>
      <c r="V96" s="141" t="n"/>
      <c r="W96" s="142" t="n"/>
      <c r="X96" s="143" t="n"/>
      <c r="Y96" s="116">
        <f>IF(X96&lt;&gt;"",X96,IF(U96="Helmond",IF(COUNTIFS(RC_Lane,B96,RC_Band,E96,RC_CostPS,"&gt;0")=0,"",SUMIFS(RC_CostPS,RC_Lane,B96,RC_Band,E96)*(1-SUMIFS(RC_Disc,RC_Lane,B96,RC_Band,E96))),IF(U96="Other","",IF(INDEX(RS_Rate,MATCH(B96,RS_Lane,0))="","",INDEX(RS_Rate,MATCH(B96,RS_Lane,0))))))</f>
        <v/>
      </c>
    </row>
    <row r="97">
      <c r="A97" s="95" t="inlineStr">
        <is>
          <t>B-093</t>
        </is>
      </c>
      <c r="B97" s="112" t="inlineStr">
        <is>
          <t>L01</t>
        </is>
      </c>
      <c r="C97" s="101" t="inlineStr">
        <is>
          <t>Saudi Arabia</t>
        </is>
      </c>
      <c r="D97" s="101" t="inlineStr">
        <is>
          <t>Jeddah</t>
        </is>
      </c>
      <c r="E97" s="101" t="inlineStr">
        <is>
          <t>B1  0 to 30 kg</t>
        </is>
      </c>
      <c r="F97" s="123" t="n">
        <v>8.300000000000001</v>
      </c>
      <c r="G97" s="86">
        <f>F97*0.006477</f>
        <v/>
      </c>
      <c r="H97" s="123">
        <f>F97*1.079436</f>
        <v/>
      </c>
      <c r="I97" s="122">
        <f>MAX(1,ROUNDUP(G97/0.096,0))</f>
        <v/>
      </c>
      <c r="J97" s="84" t="n">
        <v>46498</v>
      </c>
      <c r="K97" s="87">
        <f>J97-WEEKDAY(J97,2)+1</f>
        <v/>
      </c>
      <c r="L97" s="84">
        <f>J97</f>
        <v/>
      </c>
      <c r="M97" s="52">
        <f>INDEX(LR_Target,MATCH(B97,LR_Lane,0))</f>
        <v/>
      </c>
      <c r="N97" s="84">
        <f>WORKDAY.INTL(L97,M97,INDEX(LR_Code,MATCH(B97,LR_Lane,0)),INDEX(DH_Table,0,MATCH(B97&amp;"*",DH_Head,0)))</f>
        <v/>
      </c>
      <c r="O97" s="65">
        <f>IF(W97&lt;&gt;"",W97,IF(U97="Helmond",IF(COUNTIFS(RC_Lane,B97,RC_Band,E97,RC_Transit,"&lt;&gt;")=0,"",SUMIFS(RC_Transit,RC_Lane,B97,RC_Band,E97)),IF(U97="Other","",IF(INDEX(RS_Transit,MATCH(B97,RS_Lane,0))="","",INDEX(RS_Transit,MATCH(B97,RS_Lane,0))))))</f>
        <v/>
      </c>
      <c r="P97" s="140" t="n"/>
      <c r="Q97" s="84">
        <f>IF(P97&lt;&gt;"",P97,IF(O97="","",WORKDAY.INTL(L97,ROUNDUP(O97,0),INDEX(LR_Code,MATCH(B97,LR_Lane,0)),INDEX(DH_Table,0,MATCH(B97&amp;"*",DH_Head,0)))))</f>
        <v/>
      </c>
      <c r="R97" s="100">
        <f>IF(Q97="","",IF(Q97&lt;=N97,"Yes","No"))</f>
        <v/>
      </c>
      <c r="S97" s="52">
        <f>IF(Q97="","",IF(Q97&lt;=N97,0,NETWORKDAYS.INTL(N97,Q97,INDEX(LR_Code,MATCH(B97,LR_Lane,0)),INDEX(DH_Table,0,MATCH(B97&amp;"*",DH_Head,0)))-1))</f>
        <v/>
      </c>
      <c r="T97" s="127" t="n"/>
      <c r="U97" s="112">
        <f>IF(V97&lt;&gt;"",V97,IF(IFERROR(INDEX(RS_Flag,MATCH(B97,RS_Lane,0)),"")="Yes",IF(IFERROR(INDEX(RS_Loc,MATCH(B97,RS_Lane,0)),"")="","Regional stock",IFERROR(INDEX(RS_Loc,MATCH(B97,RS_Lane,0)),"")),"Helmond"))</f>
        <v/>
      </c>
      <c r="V97" s="141" t="n"/>
      <c r="W97" s="142" t="n"/>
      <c r="X97" s="143" t="n"/>
      <c r="Y97" s="116">
        <f>IF(X97&lt;&gt;"",X97,IF(U97="Helmond",IF(COUNTIFS(RC_Lane,B97,RC_Band,E97,RC_CostPS,"&gt;0")=0,"",SUMIFS(RC_CostPS,RC_Lane,B97,RC_Band,E97)*(1-SUMIFS(RC_Disc,RC_Lane,B97,RC_Band,E97))),IF(U97="Other","",IF(INDEX(RS_Rate,MATCH(B97,RS_Lane,0))="","",INDEX(RS_Rate,MATCH(B97,RS_Lane,0))))))</f>
        <v/>
      </c>
    </row>
    <row r="98">
      <c r="A98" s="95" t="inlineStr">
        <is>
          <t>B-094</t>
        </is>
      </c>
      <c r="B98" s="112" t="inlineStr">
        <is>
          <t>L01</t>
        </is>
      </c>
      <c r="C98" s="101" t="inlineStr">
        <is>
          <t>Saudi Arabia</t>
        </is>
      </c>
      <c r="D98" s="101" t="inlineStr">
        <is>
          <t>Jeddah</t>
        </is>
      </c>
      <c r="E98" s="101" t="inlineStr">
        <is>
          <t>B1  0 to 30 kg</t>
        </is>
      </c>
      <c r="F98" s="123" t="n">
        <v>5.3</v>
      </c>
      <c r="G98" s="86">
        <f>F98*0.006477</f>
        <v/>
      </c>
      <c r="H98" s="123">
        <f>F98*1.079436</f>
        <v/>
      </c>
      <c r="I98" s="122">
        <f>MAX(1,ROUNDUP(G98/0.096,0))</f>
        <v/>
      </c>
      <c r="J98" s="84" t="n">
        <v>46499</v>
      </c>
      <c r="K98" s="87">
        <f>J98-WEEKDAY(J98,2)+1</f>
        <v/>
      </c>
      <c r="L98" s="84">
        <f>J98</f>
        <v/>
      </c>
      <c r="M98" s="52">
        <f>INDEX(LR_Target,MATCH(B98,LR_Lane,0))</f>
        <v/>
      </c>
      <c r="N98" s="84">
        <f>WORKDAY.INTL(L98,M98,INDEX(LR_Code,MATCH(B98,LR_Lane,0)),INDEX(DH_Table,0,MATCH(B98&amp;"*",DH_Head,0)))</f>
        <v/>
      </c>
      <c r="O98" s="65">
        <f>IF(W98&lt;&gt;"",W98,IF(U98="Helmond",IF(COUNTIFS(RC_Lane,B98,RC_Band,E98,RC_Transit,"&lt;&gt;")=0,"",SUMIFS(RC_Transit,RC_Lane,B98,RC_Band,E98)),IF(U98="Other","",IF(INDEX(RS_Transit,MATCH(B98,RS_Lane,0))="","",INDEX(RS_Transit,MATCH(B98,RS_Lane,0))))))</f>
        <v/>
      </c>
      <c r="P98" s="140" t="n"/>
      <c r="Q98" s="84">
        <f>IF(P98&lt;&gt;"",P98,IF(O98="","",WORKDAY.INTL(L98,ROUNDUP(O98,0),INDEX(LR_Code,MATCH(B98,LR_Lane,0)),INDEX(DH_Table,0,MATCH(B98&amp;"*",DH_Head,0)))))</f>
        <v/>
      </c>
      <c r="R98" s="100">
        <f>IF(Q98="","",IF(Q98&lt;=N98,"Yes","No"))</f>
        <v/>
      </c>
      <c r="S98" s="52">
        <f>IF(Q98="","",IF(Q98&lt;=N98,0,NETWORKDAYS.INTL(N98,Q98,INDEX(LR_Code,MATCH(B98,LR_Lane,0)),INDEX(DH_Table,0,MATCH(B98&amp;"*",DH_Head,0)))-1))</f>
        <v/>
      </c>
      <c r="T98" s="127" t="n"/>
      <c r="U98" s="112">
        <f>IF(V98&lt;&gt;"",V98,IF(IFERROR(INDEX(RS_Flag,MATCH(B98,RS_Lane,0)),"")="Yes",IF(IFERROR(INDEX(RS_Loc,MATCH(B98,RS_Lane,0)),"")="","Regional stock",IFERROR(INDEX(RS_Loc,MATCH(B98,RS_Lane,0)),"")),"Helmond"))</f>
        <v/>
      </c>
      <c r="V98" s="141" t="n"/>
      <c r="W98" s="142" t="n"/>
      <c r="X98" s="143" t="n"/>
      <c r="Y98" s="116">
        <f>IF(X98&lt;&gt;"",X98,IF(U98="Helmond",IF(COUNTIFS(RC_Lane,B98,RC_Band,E98,RC_CostPS,"&gt;0")=0,"",SUMIFS(RC_CostPS,RC_Lane,B98,RC_Band,E98)*(1-SUMIFS(RC_Disc,RC_Lane,B98,RC_Band,E98))),IF(U98="Other","",IF(INDEX(RS_Rate,MATCH(B98,RS_Lane,0))="","",INDEX(RS_Rate,MATCH(B98,RS_Lane,0))))))</f>
        <v/>
      </c>
    </row>
    <row r="99">
      <c r="A99" s="95" t="inlineStr">
        <is>
          <t>B-095</t>
        </is>
      </c>
      <c r="B99" s="112" t="inlineStr">
        <is>
          <t>L02</t>
        </is>
      </c>
      <c r="C99" s="101" t="inlineStr">
        <is>
          <t>United Arab Emirates</t>
        </is>
      </c>
      <c r="D99" s="101" t="inlineStr">
        <is>
          <t>Dubai</t>
        </is>
      </c>
      <c r="E99" s="101" t="inlineStr">
        <is>
          <t>B1  0 to 30 kg</t>
        </is>
      </c>
      <c r="F99" s="123" t="n">
        <v>4.3</v>
      </c>
      <c r="G99" s="86">
        <f>F99*0.006477</f>
        <v/>
      </c>
      <c r="H99" s="123">
        <f>F99*1.079436</f>
        <v/>
      </c>
      <c r="I99" s="122">
        <f>MAX(1,ROUNDUP(G99/0.096,0))</f>
        <v/>
      </c>
      <c r="J99" s="84" t="n">
        <v>46503</v>
      </c>
      <c r="K99" s="87">
        <f>J99-WEEKDAY(J99,2)+1</f>
        <v/>
      </c>
      <c r="L99" s="84">
        <f>J99</f>
        <v/>
      </c>
      <c r="M99" s="52">
        <f>INDEX(LR_Target,MATCH(B99,LR_Lane,0))</f>
        <v/>
      </c>
      <c r="N99" s="84">
        <f>WORKDAY.INTL(L99,M99,INDEX(LR_Code,MATCH(B99,LR_Lane,0)),INDEX(DH_Table,0,MATCH(B99&amp;"*",DH_Head,0)))</f>
        <v/>
      </c>
      <c r="O99" s="65">
        <f>IF(W99&lt;&gt;"",W99,IF(U99="Helmond",IF(COUNTIFS(RC_Lane,B99,RC_Band,E99,RC_Transit,"&lt;&gt;")=0,"",SUMIFS(RC_Transit,RC_Lane,B99,RC_Band,E99)),IF(U99="Other","",IF(INDEX(RS_Transit,MATCH(B99,RS_Lane,0))="","",INDEX(RS_Transit,MATCH(B99,RS_Lane,0))))))</f>
        <v/>
      </c>
      <c r="P99" s="140" t="n"/>
      <c r="Q99" s="84">
        <f>IF(P99&lt;&gt;"",P99,IF(O99="","",WORKDAY.INTL(L99,ROUNDUP(O99,0),INDEX(LR_Code,MATCH(B99,LR_Lane,0)),INDEX(DH_Table,0,MATCH(B99&amp;"*",DH_Head,0)))))</f>
        <v/>
      </c>
      <c r="R99" s="100">
        <f>IF(Q99="","",IF(Q99&lt;=N99,"Yes","No"))</f>
        <v/>
      </c>
      <c r="S99" s="52">
        <f>IF(Q99="","",IF(Q99&lt;=N99,0,NETWORKDAYS.INTL(N99,Q99,INDEX(LR_Code,MATCH(B99,LR_Lane,0)),INDEX(DH_Table,0,MATCH(B99&amp;"*",DH_Head,0)))-1))</f>
        <v/>
      </c>
      <c r="T99" s="127" t="n"/>
      <c r="U99" s="112">
        <f>IF(V99&lt;&gt;"",V99,IF(IFERROR(INDEX(RS_Flag,MATCH(B99,RS_Lane,0)),"")="Yes",IF(IFERROR(INDEX(RS_Loc,MATCH(B99,RS_Lane,0)),"")="","Regional stock",IFERROR(INDEX(RS_Loc,MATCH(B99,RS_Lane,0)),"")),"Helmond"))</f>
        <v/>
      </c>
      <c r="V99" s="141" t="n"/>
      <c r="W99" s="142" t="n"/>
      <c r="X99" s="143" t="n"/>
      <c r="Y99" s="116">
        <f>IF(X99&lt;&gt;"",X99,IF(U99="Helmond",IF(COUNTIFS(RC_Lane,B99,RC_Band,E99,RC_CostPS,"&gt;0")=0,"",SUMIFS(RC_CostPS,RC_Lane,B99,RC_Band,E99)*(1-SUMIFS(RC_Disc,RC_Lane,B99,RC_Band,E99))),IF(U99="Other","",IF(INDEX(RS_Rate,MATCH(B99,RS_Lane,0))="","",INDEX(RS_Rate,MATCH(B99,RS_Lane,0))))))</f>
        <v/>
      </c>
    </row>
    <row r="100">
      <c r="A100" s="95" t="inlineStr">
        <is>
          <t>B-096</t>
        </is>
      </c>
      <c r="B100" s="112" t="inlineStr">
        <is>
          <t>L01</t>
        </is>
      </c>
      <c r="C100" s="101" t="inlineStr">
        <is>
          <t>Saudi Arabia</t>
        </is>
      </c>
      <c r="D100" s="101" t="inlineStr">
        <is>
          <t>Jeddah</t>
        </is>
      </c>
      <c r="E100" s="101" t="inlineStr">
        <is>
          <t>B4  500 to 2,000 kg</t>
        </is>
      </c>
      <c r="F100" s="123" t="n">
        <v>1120.3</v>
      </c>
      <c r="G100" s="86">
        <f>F100*0.006477</f>
        <v/>
      </c>
      <c r="H100" s="123">
        <f>F100*1.079436</f>
        <v/>
      </c>
      <c r="I100" s="122">
        <f>MAX(1,ROUNDUP(G100/0.096,0))</f>
        <v/>
      </c>
      <c r="J100" s="84" t="n">
        <v>46505</v>
      </c>
      <c r="K100" s="87">
        <f>J100-WEEKDAY(J100,2)+1</f>
        <v/>
      </c>
      <c r="L100" s="84">
        <f>J100</f>
        <v/>
      </c>
      <c r="M100" s="52">
        <f>INDEX(LR_Target,MATCH(B100,LR_Lane,0))</f>
        <v/>
      </c>
      <c r="N100" s="84">
        <f>WORKDAY.INTL(L100,M100,INDEX(LR_Code,MATCH(B100,LR_Lane,0)),INDEX(DH_Table,0,MATCH(B100&amp;"*",DH_Head,0)))</f>
        <v/>
      </c>
      <c r="O100" s="65">
        <f>IF(W100&lt;&gt;"",W100,IF(U100="Helmond",IF(COUNTIFS(RC_Lane,B100,RC_Band,E100,RC_Transit,"&lt;&gt;")=0,"",SUMIFS(RC_Transit,RC_Lane,B100,RC_Band,E100)),IF(U100="Other","",IF(INDEX(RS_Transit,MATCH(B100,RS_Lane,0))="","",INDEX(RS_Transit,MATCH(B100,RS_Lane,0))))))</f>
        <v/>
      </c>
      <c r="P100" s="140" t="n"/>
      <c r="Q100" s="84">
        <f>IF(P100&lt;&gt;"",P100,IF(O100="","",WORKDAY.INTL(L100,ROUNDUP(O100,0),INDEX(LR_Code,MATCH(B100,LR_Lane,0)),INDEX(DH_Table,0,MATCH(B100&amp;"*",DH_Head,0)))))</f>
        <v/>
      </c>
      <c r="R100" s="100">
        <f>IF(Q100="","",IF(Q100&lt;=N100,"Yes","No"))</f>
        <v/>
      </c>
      <c r="S100" s="52">
        <f>IF(Q100="","",IF(Q100&lt;=N100,0,NETWORKDAYS.INTL(N100,Q100,INDEX(LR_Code,MATCH(B100,LR_Lane,0)),INDEX(DH_Table,0,MATCH(B100&amp;"*",DH_Head,0)))-1))</f>
        <v/>
      </c>
      <c r="T100" s="127" t="n"/>
      <c r="U100" s="112">
        <f>IF(V100&lt;&gt;"",V100,IF(IFERROR(INDEX(RS_Flag,MATCH(B100,RS_Lane,0)),"")="Yes",IF(IFERROR(INDEX(RS_Loc,MATCH(B100,RS_Lane,0)),"")="","Regional stock",IFERROR(INDEX(RS_Loc,MATCH(B100,RS_Lane,0)),"")),"Helmond"))</f>
        <v/>
      </c>
      <c r="V100" s="141" t="n"/>
      <c r="W100" s="142" t="n"/>
      <c r="X100" s="143" t="n"/>
      <c r="Y100" s="116">
        <f>IF(X100&lt;&gt;"",X100,IF(U100="Helmond",IF(COUNTIFS(RC_Lane,B100,RC_Band,E100,RC_CostPS,"&gt;0")=0,"",SUMIFS(RC_CostPS,RC_Lane,B100,RC_Band,E100)*(1-SUMIFS(RC_Disc,RC_Lane,B100,RC_Band,E100))),IF(U100="Other","",IF(INDEX(RS_Rate,MATCH(B100,RS_Lane,0))="","",INDEX(RS_Rate,MATCH(B100,RS_Lane,0))))))</f>
        <v/>
      </c>
    </row>
    <row r="101">
      <c r="A101" s="95" t="inlineStr">
        <is>
          <t>B-097</t>
        </is>
      </c>
      <c r="B101" s="112" t="inlineStr">
        <is>
          <t>L01</t>
        </is>
      </c>
      <c r="C101" s="101" t="inlineStr">
        <is>
          <t>Saudi Arabia</t>
        </is>
      </c>
      <c r="D101" s="101" t="inlineStr">
        <is>
          <t>Jeddah</t>
        </is>
      </c>
      <c r="E101" s="101" t="inlineStr">
        <is>
          <t>B1  0 to 30 kg</t>
        </is>
      </c>
      <c r="F101" s="123" t="n">
        <v>2.7</v>
      </c>
      <c r="G101" s="86">
        <f>F101*0.006477</f>
        <v/>
      </c>
      <c r="H101" s="123">
        <f>F101*1.079436</f>
        <v/>
      </c>
      <c r="I101" s="122">
        <f>MAX(1,ROUNDUP(G101/0.096,0))</f>
        <v/>
      </c>
      <c r="J101" s="84" t="n">
        <v>46505</v>
      </c>
      <c r="K101" s="87">
        <f>J101-WEEKDAY(J101,2)+1</f>
        <v/>
      </c>
      <c r="L101" s="84">
        <f>J101</f>
        <v/>
      </c>
      <c r="M101" s="52">
        <f>INDEX(LR_Target,MATCH(B101,LR_Lane,0))</f>
        <v/>
      </c>
      <c r="N101" s="84">
        <f>WORKDAY.INTL(L101,M101,INDEX(LR_Code,MATCH(B101,LR_Lane,0)),INDEX(DH_Table,0,MATCH(B101&amp;"*",DH_Head,0)))</f>
        <v/>
      </c>
      <c r="O101" s="65">
        <f>IF(W101&lt;&gt;"",W101,IF(U101="Helmond",IF(COUNTIFS(RC_Lane,B101,RC_Band,E101,RC_Transit,"&lt;&gt;")=0,"",SUMIFS(RC_Transit,RC_Lane,B101,RC_Band,E101)),IF(U101="Other","",IF(INDEX(RS_Transit,MATCH(B101,RS_Lane,0))="","",INDEX(RS_Transit,MATCH(B101,RS_Lane,0))))))</f>
        <v/>
      </c>
      <c r="P101" s="140" t="n"/>
      <c r="Q101" s="84">
        <f>IF(P101&lt;&gt;"",P101,IF(O101="","",WORKDAY.INTL(L101,ROUNDUP(O101,0),INDEX(LR_Code,MATCH(B101,LR_Lane,0)),INDEX(DH_Table,0,MATCH(B101&amp;"*",DH_Head,0)))))</f>
        <v/>
      </c>
      <c r="R101" s="100">
        <f>IF(Q101="","",IF(Q101&lt;=N101,"Yes","No"))</f>
        <v/>
      </c>
      <c r="S101" s="52">
        <f>IF(Q101="","",IF(Q101&lt;=N101,0,NETWORKDAYS.INTL(N101,Q101,INDEX(LR_Code,MATCH(B101,LR_Lane,0)),INDEX(DH_Table,0,MATCH(B101&amp;"*",DH_Head,0)))-1))</f>
        <v/>
      </c>
      <c r="T101" s="127" t="n"/>
      <c r="U101" s="112">
        <f>IF(V101&lt;&gt;"",V101,IF(IFERROR(INDEX(RS_Flag,MATCH(B101,RS_Lane,0)),"")="Yes",IF(IFERROR(INDEX(RS_Loc,MATCH(B101,RS_Lane,0)),"")="","Regional stock",IFERROR(INDEX(RS_Loc,MATCH(B101,RS_Lane,0)),"")),"Helmond"))</f>
        <v/>
      </c>
      <c r="V101" s="141" t="n"/>
      <c r="W101" s="142" t="n"/>
      <c r="X101" s="143" t="n"/>
      <c r="Y101" s="116">
        <f>IF(X101&lt;&gt;"",X101,IF(U101="Helmond",IF(COUNTIFS(RC_Lane,B101,RC_Band,E101,RC_CostPS,"&gt;0")=0,"",SUMIFS(RC_CostPS,RC_Lane,B101,RC_Band,E101)*(1-SUMIFS(RC_Disc,RC_Lane,B101,RC_Band,E101))),IF(U101="Other","",IF(INDEX(RS_Rate,MATCH(B101,RS_Lane,0))="","",INDEX(RS_Rate,MATCH(B101,RS_Lane,0))))))</f>
        <v/>
      </c>
    </row>
    <row r="102">
      <c r="A102" s="95" t="inlineStr">
        <is>
          <t>B-098</t>
        </is>
      </c>
      <c r="B102" s="112" t="inlineStr">
        <is>
          <t>L02</t>
        </is>
      </c>
      <c r="C102" s="101" t="inlineStr">
        <is>
          <t>United Arab Emirates</t>
        </is>
      </c>
      <c r="D102" s="101" t="inlineStr">
        <is>
          <t>Dubai</t>
        </is>
      </c>
      <c r="E102" s="101" t="inlineStr">
        <is>
          <t>B1  0 to 30 kg</t>
        </is>
      </c>
      <c r="F102" s="123" t="n">
        <v>7.9</v>
      </c>
      <c r="G102" s="86">
        <f>F102*0.006477</f>
        <v/>
      </c>
      <c r="H102" s="123">
        <f>F102*1.079436</f>
        <v/>
      </c>
      <c r="I102" s="122">
        <f>MAX(1,ROUNDUP(G102/0.096,0))</f>
        <v/>
      </c>
      <c r="J102" s="84" t="n">
        <v>46505</v>
      </c>
      <c r="K102" s="87">
        <f>J102-WEEKDAY(J102,2)+1</f>
        <v/>
      </c>
      <c r="L102" s="84">
        <f>J102</f>
        <v/>
      </c>
      <c r="M102" s="52">
        <f>INDEX(LR_Target,MATCH(B102,LR_Lane,0))</f>
        <v/>
      </c>
      <c r="N102" s="84">
        <f>WORKDAY.INTL(L102,M102,INDEX(LR_Code,MATCH(B102,LR_Lane,0)),INDEX(DH_Table,0,MATCH(B102&amp;"*",DH_Head,0)))</f>
        <v/>
      </c>
      <c r="O102" s="65">
        <f>IF(W102&lt;&gt;"",W102,IF(U102="Helmond",IF(COUNTIFS(RC_Lane,B102,RC_Band,E102,RC_Transit,"&lt;&gt;")=0,"",SUMIFS(RC_Transit,RC_Lane,B102,RC_Band,E102)),IF(U102="Other","",IF(INDEX(RS_Transit,MATCH(B102,RS_Lane,0))="","",INDEX(RS_Transit,MATCH(B102,RS_Lane,0))))))</f>
        <v/>
      </c>
      <c r="P102" s="140" t="n"/>
      <c r="Q102" s="84">
        <f>IF(P102&lt;&gt;"",P102,IF(O102="","",WORKDAY.INTL(L102,ROUNDUP(O102,0),INDEX(LR_Code,MATCH(B102,LR_Lane,0)),INDEX(DH_Table,0,MATCH(B102&amp;"*",DH_Head,0)))))</f>
        <v/>
      </c>
      <c r="R102" s="100">
        <f>IF(Q102="","",IF(Q102&lt;=N102,"Yes","No"))</f>
        <v/>
      </c>
      <c r="S102" s="52">
        <f>IF(Q102="","",IF(Q102&lt;=N102,0,NETWORKDAYS.INTL(N102,Q102,INDEX(LR_Code,MATCH(B102,LR_Lane,0)),INDEX(DH_Table,0,MATCH(B102&amp;"*",DH_Head,0)))-1))</f>
        <v/>
      </c>
      <c r="T102" s="127" t="n"/>
      <c r="U102" s="112">
        <f>IF(V102&lt;&gt;"",V102,IF(IFERROR(INDEX(RS_Flag,MATCH(B102,RS_Lane,0)),"")="Yes",IF(IFERROR(INDEX(RS_Loc,MATCH(B102,RS_Lane,0)),"")="","Regional stock",IFERROR(INDEX(RS_Loc,MATCH(B102,RS_Lane,0)),"")),"Helmond"))</f>
        <v/>
      </c>
      <c r="V102" s="141" t="n"/>
      <c r="W102" s="142" t="n"/>
      <c r="X102" s="143" t="n"/>
      <c r="Y102" s="116">
        <f>IF(X102&lt;&gt;"",X102,IF(U102="Helmond",IF(COUNTIFS(RC_Lane,B102,RC_Band,E102,RC_CostPS,"&gt;0")=0,"",SUMIFS(RC_CostPS,RC_Lane,B102,RC_Band,E102)*(1-SUMIFS(RC_Disc,RC_Lane,B102,RC_Band,E102))),IF(U102="Other","",IF(INDEX(RS_Rate,MATCH(B102,RS_Lane,0))="","",INDEX(RS_Rate,MATCH(B102,RS_Lane,0))))))</f>
        <v/>
      </c>
    </row>
    <row r="103">
      <c r="A103" s="95" t="inlineStr">
        <is>
          <t>B-099</t>
        </is>
      </c>
      <c r="B103" s="112" t="inlineStr">
        <is>
          <t>L01</t>
        </is>
      </c>
      <c r="C103" s="101" t="inlineStr">
        <is>
          <t>Saudi Arabia</t>
        </is>
      </c>
      <c r="D103" s="101" t="inlineStr">
        <is>
          <t>Jeddah</t>
        </is>
      </c>
      <c r="E103" s="101" t="inlineStr">
        <is>
          <t>B4  500 to 2,000 kg</t>
        </is>
      </c>
      <c r="F103" s="123" t="n">
        <v>1097</v>
      </c>
      <c r="G103" s="86">
        <f>F103*0.006477</f>
        <v/>
      </c>
      <c r="H103" s="123">
        <f>F103*1.079436</f>
        <v/>
      </c>
      <c r="I103" s="122">
        <f>MAX(1,ROUNDUP(G103/0.096,0))</f>
        <v/>
      </c>
      <c r="J103" s="84" t="n">
        <v>46506</v>
      </c>
      <c r="K103" s="87">
        <f>J103-WEEKDAY(J103,2)+1</f>
        <v/>
      </c>
      <c r="L103" s="84">
        <f>J103</f>
        <v/>
      </c>
      <c r="M103" s="52">
        <f>INDEX(LR_Target,MATCH(B103,LR_Lane,0))</f>
        <v/>
      </c>
      <c r="N103" s="84">
        <f>WORKDAY.INTL(L103,M103,INDEX(LR_Code,MATCH(B103,LR_Lane,0)),INDEX(DH_Table,0,MATCH(B103&amp;"*",DH_Head,0)))</f>
        <v/>
      </c>
      <c r="O103" s="65">
        <f>IF(W103&lt;&gt;"",W103,IF(U103="Helmond",IF(COUNTIFS(RC_Lane,B103,RC_Band,E103,RC_Transit,"&lt;&gt;")=0,"",SUMIFS(RC_Transit,RC_Lane,B103,RC_Band,E103)),IF(U103="Other","",IF(INDEX(RS_Transit,MATCH(B103,RS_Lane,0))="","",INDEX(RS_Transit,MATCH(B103,RS_Lane,0))))))</f>
        <v/>
      </c>
      <c r="P103" s="140" t="n"/>
      <c r="Q103" s="84">
        <f>IF(P103&lt;&gt;"",P103,IF(O103="","",WORKDAY.INTL(L103,ROUNDUP(O103,0),INDEX(LR_Code,MATCH(B103,LR_Lane,0)),INDEX(DH_Table,0,MATCH(B103&amp;"*",DH_Head,0)))))</f>
        <v/>
      </c>
      <c r="R103" s="100">
        <f>IF(Q103="","",IF(Q103&lt;=N103,"Yes","No"))</f>
        <v/>
      </c>
      <c r="S103" s="52">
        <f>IF(Q103="","",IF(Q103&lt;=N103,0,NETWORKDAYS.INTL(N103,Q103,INDEX(LR_Code,MATCH(B103,LR_Lane,0)),INDEX(DH_Table,0,MATCH(B103&amp;"*",DH_Head,0)))-1))</f>
        <v/>
      </c>
      <c r="T103" s="127" t="n"/>
      <c r="U103" s="112">
        <f>IF(V103&lt;&gt;"",V103,IF(IFERROR(INDEX(RS_Flag,MATCH(B103,RS_Lane,0)),"")="Yes",IF(IFERROR(INDEX(RS_Loc,MATCH(B103,RS_Lane,0)),"")="","Regional stock",IFERROR(INDEX(RS_Loc,MATCH(B103,RS_Lane,0)),"")),"Helmond"))</f>
        <v/>
      </c>
      <c r="V103" s="141" t="n"/>
      <c r="W103" s="142" t="n"/>
      <c r="X103" s="143" t="n"/>
      <c r="Y103" s="116">
        <f>IF(X103&lt;&gt;"",X103,IF(U103="Helmond",IF(COUNTIFS(RC_Lane,B103,RC_Band,E103,RC_CostPS,"&gt;0")=0,"",SUMIFS(RC_CostPS,RC_Lane,B103,RC_Band,E103)*(1-SUMIFS(RC_Disc,RC_Lane,B103,RC_Band,E103))),IF(U103="Other","",IF(INDEX(RS_Rate,MATCH(B103,RS_Lane,0))="","",INDEX(RS_Rate,MATCH(B103,RS_Lane,0))))))</f>
        <v/>
      </c>
    </row>
    <row r="104">
      <c r="A104" s="95" t="inlineStr">
        <is>
          <t>B-100</t>
        </is>
      </c>
      <c r="B104" s="112" t="inlineStr">
        <is>
          <t>L02</t>
        </is>
      </c>
      <c r="C104" s="101" t="inlineStr">
        <is>
          <t>United Arab Emirates</t>
        </is>
      </c>
      <c r="D104" s="101" t="inlineStr">
        <is>
          <t>Dubai</t>
        </is>
      </c>
      <c r="E104" s="101" t="inlineStr">
        <is>
          <t>B1  0 to 30 kg</t>
        </is>
      </c>
      <c r="F104" s="123" t="n">
        <v>3.9</v>
      </c>
      <c r="G104" s="86">
        <f>F104*0.006477</f>
        <v/>
      </c>
      <c r="H104" s="123">
        <f>F104*1.079436</f>
        <v/>
      </c>
      <c r="I104" s="122">
        <f>MAX(1,ROUNDUP(G104/0.096,0))</f>
        <v/>
      </c>
      <c r="J104" s="84" t="n">
        <v>46507</v>
      </c>
      <c r="K104" s="87">
        <f>J104-WEEKDAY(J104,2)+1</f>
        <v/>
      </c>
      <c r="L104" s="84">
        <f>J104</f>
        <v/>
      </c>
      <c r="M104" s="52">
        <f>INDEX(LR_Target,MATCH(B104,LR_Lane,0))</f>
        <v/>
      </c>
      <c r="N104" s="84">
        <f>WORKDAY.INTL(L104,M104,INDEX(LR_Code,MATCH(B104,LR_Lane,0)),INDEX(DH_Table,0,MATCH(B104&amp;"*",DH_Head,0)))</f>
        <v/>
      </c>
      <c r="O104" s="65">
        <f>IF(W104&lt;&gt;"",W104,IF(U104="Helmond",IF(COUNTIFS(RC_Lane,B104,RC_Band,E104,RC_Transit,"&lt;&gt;")=0,"",SUMIFS(RC_Transit,RC_Lane,B104,RC_Band,E104)),IF(U104="Other","",IF(INDEX(RS_Transit,MATCH(B104,RS_Lane,0))="","",INDEX(RS_Transit,MATCH(B104,RS_Lane,0))))))</f>
        <v/>
      </c>
      <c r="P104" s="140" t="n"/>
      <c r="Q104" s="84">
        <f>IF(P104&lt;&gt;"",P104,IF(O104="","",WORKDAY.INTL(L104,ROUNDUP(O104,0),INDEX(LR_Code,MATCH(B104,LR_Lane,0)),INDEX(DH_Table,0,MATCH(B104&amp;"*",DH_Head,0)))))</f>
        <v/>
      </c>
      <c r="R104" s="100">
        <f>IF(Q104="","",IF(Q104&lt;=N104,"Yes","No"))</f>
        <v/>
      </c>
      <c r="S104" s="52">
        <f>IF(Q104="","",IF(Q104&lt;=N104,0,NETWORKDAYS.INTL(N104,Q104,INDEX(LR_Code,MATCH(B104,LR_Lane,0)),INDEX(DH_Table,0,MATCH(B104&amp;"*",DH_Head,0)))-1))</f>
        <v/>
      </c>
      <c r="T104" s="127" t="n"/>
      <c r="U104" s="112">
        <f>IF(V104&lt;&gt;"",V104,IF(IFERROR(INDEX(RS_Flag,MATCH(B104,RS_Lane,0)),"")="Yes",IF(IFERROR(INDEX(RS_Loc,MATCH(B104,RS_Lane,0)),"")="","Regional stock",IFERROR(INDEX(RS_Loc,MATCH(B104,RS_Lane,0)),"")),"Helmond"))</f>
        <v/>
      </c>
      <c r="V104" s="141" t="n"/>
      <c r="W104" s="142" t="n"/>
      <c r="X104" s="143" t="n"/>
      <c r="Y104" s="116">
        <f>IF(X104&lt;&gt;"",X104,IF(U104="Helmond",IF(COUNTIFS(RC_Lane,B104,RC_Band,E104,RC_CostPS,"&gt;0")=0,"",SUMIFS(RC_CostPS,RC_Lane,B104,RC_Band,E104)*(1-SUMIFS(RC_Disc,RC_Lane,B104,RC_Band,E104))),IF(U104="Other","",IF(INDEX(RS_Rate,MATCH(B104,RS_Lane,0))="","",INDEX(RS_Rate,MATCH(B104,RS_Lane,0))))))</f>
        <v/>
      </c>
    </row>
    <row r="105">
      <c r="A105" s="95" t="inlineStr">
        <is>
          <t>B-101</t>
        </is>
      </c>
      <c r="B105" s="112" t="inlineStr">
        <is>
          <t>L02</t>
        </is>
      </c>
      <c r="C105" s="101" t="inlineStr">
        <is>
          <t>United Arab Emirates</t>
        </is>
      </c>
      <c r="D105" s="101" t="inlineStr">
        <is>
          <t>Dubai</t>
        </is>
      </c>
      <c r="E105" s="101" t="inlineStr">
        <is>
          <t>B1  0 to 30 kg</t>
        </is>
      </c>
      <c r="F105" s="123" t="n">
        <v>11.5</v>
      </c>
      <c r="G105" s="86">
        <f>F105*0.006477</f>
        <v/>
      </c>
      <c r="H105" s="123">
        <f>F105*1.079436</f>
        <v/>
      </c>
      <c r="I105" s="122">
        <f>MAX(1,ROUNDUP(G105/0.096,0))</f>
        <v/>
      </c>
      <c r="J105" s="84" t="n">
        <v>46510</v>
      </c>
      <c r="K105" s="87">
        <f>J105-WEEKDAY(J105,2)+1</f>
        <v/>
      </c>
      <c r="L105" s="84">
        <f>J105</f>
        <v/>
      </c>
      <c r="M105" s="52">
        <f>INDEX(LR_Target,MATCH(B105,LR_Lane,0))</f>
        <v/>
      </c>
      <c r="N105" s="84">
        <f>WORKDAY.INTL(L105,M105,INDEX(LR_Code,MATCH(B105,LR_Lane,0)),INDEX(DH_Table,0,MATCH(B105&amp;"*",DH_Head,0)))</f>
        <v/>
      </c>
      <c r="O105" s="65">
        <f>IF(W105&lt;&gt;"",W105,IF(U105="Helmond",IF(COUNTIFS(RC_Lane,B105,RC_Band,E105,RC_Transit,"&lt;&gt;")=0,"",SUMIFS(RC_Transit,RC_Lane,B105,RC_Band,E105)),IF(U105="Other","",IF(INDEX(RS_Transit,MATCH(B105,RS_Lane,0))="","",INDEX(RS_Transit,MATCH(B105,RS_Lane,0))))))</f>
        <v/>
      </c>
      <c r="P105" s="140" t="n"/>
      <c r="Q105" s="84">
        <f>IF(P105&lt;&gt;"",P105,IF(O105="","",WORKDAY.INTL(L105,ROUNDUP(O105,0),INDEX(LR_Code,MATCH(B105,LR_Lane,0)),INDEX(DH_Table,0,MATCH(B105&amp;"*",DH_Head,0)))))</f>
        <v/>
      </c>
      <c r="R105" s="100">
        <f>IF(Q105="","",IF(Q105&lt;=N105,"Yes","No"))</f>
        <v/>
      </c>
      <c r="S105" s="52">
        <f>IF(Q105="","",IF(Q105&lt;=N105,0,NETWORKDAYS.INTL(N105,Q105,INDEX(LR_Code,MATCH(B105,LR_Lane,0)),INDEX(DH_Table,0,MATCH(B105&amp;"*",DH_Head,0)))-1))</f>
        <v/>
      </c>
      <c r="T105" s="127" t="n"/>
      <c r="U105" s="112">
        <f>IF(V105&lt;&gt;"",V105,IF(IFERROR(INDEX(RS_Flag,MATCH(B105,RS_Lane,0)),"")="Yes",IF(IFERROR(INDEX(RS_Loc,MATCH(B105,RS_Lane,0)),"")="","Regional stock",IFERROR(INDEX(RS_Loc,MATCH(B105,RS_Lane,0)),"")),"Helmond"))</f>
        <v/>
      </c>
      <c r="V105" s="141" t="n"/>
      <c r="W105" s="142" t="n"/>
      <c r="X105" s="143" t="n"/>
      <c r="Y105" s="116">
        <f>IF(X105&lt;&gt;"",X105,IF(U105="Helmond",IF(COUNTIFS(RC_Lane,B105,RC_Band,E105,RC_CostPS,"&gt;0")=0,"",SUMIFS(RC_CostPS,RC_Lane,B105,RC_Band,E105)*(1-SUMIFS(RC_Disc,RC_Lane,B105,RC_Band,E105))),IF(U105="Other","",IF(INDEX(RS_Rate,MATCH(B105,RS_Lane,0))="","",INDEX(RS_Rate,MATCH(B105,RS_Lane,0))))))</f>
        <v/>
      </c>
    </row>
    <row r="106">
      <c r="A106" s="95" t="inlineStr">
        <is>
          <t>B-102</t>
        </is>
      </c>
      <c r="B106" s="112" t="inlineStr">
        <is>
          <t>L05</t>
        </is>
      </c>
      <c r="C106" s="101" t="inlineStr">
        <is>
          <t>Türkiye</t>
        </is>
      </c>
      <c r="D106" s="101" t="inlineStr">
        <is>
          <t>Istanbul</t>
        </is>
      </c>
      <c r="E106" s="101" t="inlineStr">
        <is>
          <t>B3  100 to 500 kg</t>
        </is>
      </c>
      <c r="F106" s="123" t="n">
        <v>281.4</v>
      </c>
      <c r="G106" s="86">
        <f>F106*0.006477</f>
        <v/>
      </c>
      <c r="H106" s="123">
        <f>F106*1.079436</f>
        <v/>
      </c>
      <c r="I106" s="122">
        <f>MAX(1,ROUNDUP(G106/0.096,0))</f>
        <v/>
      </c>
      <c r="J106" s="84" t="n">
        <v>46510</v>
      </c>
      <c r="K106" s="87">
        <f>J106-WEEKDAY(J106,2)+1</f>
        <v/>
      </c>
      <c r="L106" s="84">
        <f>J106</f>
        <v/>
      </c>
      <c r="M106" s="52">
        <f>INDEX(LR_Target,MATCH(B106,LR_Lane,0))</f>
        <v/>
      </c>
      <c r="N106" s="84">
        <f>WORKDAY.INTL(L106,M106,INDEX(LR_Code,MATCH(B106,LR_Lane,0)),INDEX(DH_Table,0,MATCH(B106&amp;"*",DH_Head,0)))</f>
        <v/>
      </c>
      <c r="O106" s="65">
        <f>IF(W106&lt;&gt;"",W106,IF(U106="Helmond",IF(COUNTIFS(RC_Lane,B106,RC_Band,E106,RC_Transit,"&lt;&gt;")=0,"",SUMIFS(RC_Transit,RC_Lane,B106,RC_Band,E106)),IF(U106="Other","",IF(INDEX(RS_Transit,MATCH(B106,RS_Lane,0))="","",INDEX(RS_Transit,MATCH(B106,RS_Lane,0))))))</f>
        <v/>
      </c>
      <c r="P106" s="140" t="n"/>
      <c r="Q106" s="84">
        <f>IF(P106&lt;&gt;"",P106,IF(O106="","",WORKDAY.INTL(L106,ROUNDUP(O106,0),INDEX(LR_Code,MATCH(B106,LR_Lane,0)),INDEX(DH_Table,0,MATCH(B106&amp;"*",DH_Head,0)))))</f>
        <v/>
      </c>
      <c r="R106" s="100">
        <f>IF(Q106="","",IF(Q106&lt;=N106,"Yes","No"))</f>
        <v/>
      </c>
      <c r="S106" s="52">
        <f>IF(Q106="","",IF(Q106&lt;=N106,0,NETWORKDAYS.INTL(N106,Q106,INDEX(LR_Code,MATCH(B106,LR_Lane,0)),INDEX(DH_Table,0,MATCH(B106&amp;"*",DH_Head,0)))-1))</f>
        <v/>
      </c>
      <c r="T106" s="127" t="n"/>
      <c r="U106" s="112">
        <f>IF(V106&lt;&gt;"",V106,IF(IFERROR(INDEX(RS_Flag,MATCH(B106,RS_Lane,0)),"")="Yes",IF(IFERROR(INDEX(RS_Loc,MATCH(B106,RS_Lane,0)),"")="","Regional stock",IFERROR(INDEX(RS_Loc,MATCH(B106,RS_Lane,0)),"")),"Helmond"))</f>
        <v/>
      </c>
      <c r="V106" s="141" t="n"/>
      <c r="W106" s="142" t="n"/>
      <c r="X106" s="143" t="n"/>
      <c r="Y106" s="116">
        <f>IF(X106&lt;&gt;"",X106,IF(U106="Helmond",IF(COUNTIFS(RC_Lane,B106,RC_Band,E106,RC_CostPS,"&gt;0")=0,"",SUMIFS(RC_CostPS,RC_Lane,B106,RC_Band,E106)*(1-SUMIFS(RC_Disc,RC_Lane,B106,RC_Band,E106))),IF(U106="Other","",IF(INDEX(RS_Rate,MATCH(B106,RS_Lane,0))="","",INDEX(RS_Rate,MATCH(B106,RS_Lane,0))))))</f>
        <v/>
      </c>
    </row>
    <row r="107">
      <c r="A107" s="95" t="inlineStr">
        <is>
          <t>B-103</t>
        </is>
      </c>
      <c r="B107" s="112" t="inlineStr">
        <is>
          <t>L01</t>
        </is>
      </c>
      <c r="C107" s="101" t="inlineStr">
        <is>
          <t>Saudi Arabia</t>
        </is>
      </c>
      <c r="D107" s="101" t="inlineStr">
        <is>
          <t>Jeddah</t>
        </is>
      </c>
      <c r="E107" s="101" t="inlineStr">
        <is>
          <t>B1  0 to 30 kg</t>
        </is>
      </c>
      <c r="F107" s="123" t="n">
        <v>7.2</v>
      </c>
      <c r="G107" s="86">
        <f>F107*0.006477</f>
        <v/>
      </c>
      <c r="H107" s="123">
        <f>F107*1.079436</f>
        <v/>
      </c>
      <c r="I107" s="122">
        <f>MAX(1,ROUNDUP(G107/0.096,0))</f>
        <v/>
      </c>
      <c r="J107" s="84" t="n">
        <v>46512</v>
      </c>
      <c r="K107" s="87">
        <f>J107-WEEKDAY(J107,2)+1</f>
        <v/>
      </c>
      <c r="L107" s="84">
        <f>J107</f>
        <v/>
      </c>
      <c r="M107" s="52">
        <f>INDEX(LR_Target,MATCH(B107,LR_Lane,0))</f>
        <v/>
      </c>
      <c r="N107" s="84">
        <f>WORKDAY.INTL(L107,M107,INDEX(LR_Code,MATCH(B107,LR_Lane,0)),INDEX(DH_Table,0,MATCH(B107&amp;"*",DH_Head,0)))</f>
        <v/>
      </c>
      <c r="O107" s="65">
        <f>IF(W107&lt;&gt;"",W107,IF(U107="Helmond",IF(COUNTIFS(RC_Lane,B107,RC_Band,E107,RC_Transit,"&lt;&gt;")=0,"",SUMIFS(RC_Transit,RC_Lane,B107,RC_Band,E107)),IF(U107="Other","",IF(INDEX(RS_Transit,MATCH(B107,RS_Lane,0))="","",INDEX(RS_Transit,MATCH(B107,RS_Lane,0))))))</f>
        <v/>
      </c>
      <c r="P107" s="140" t="n"/>
      <c r="Q107" s="84">
        <f>IF(P107&lt;&gt;"",P107,IF(O107="","",WORKDAY.INTL(L107,ROUNDUP(O107,0),INDEX(LR_Code,MATCH(B107,LR_Lane,0)),INDEX(DH_Table,0,MATCH(B107&amp;"*",DH_Head,0)))))</f>
        <v/>
      </c>
      <c r="R107" s="100">
        <f>IF(Q107="","",IF(Q107&lt;=N107,"Yes","No"))</f>
        <v/>
      </c>
      <c r="S107" s="52">
        <f>IF(Q107="","",IF(Q107&lt;=N107,0,NETWORKDAYS.INTL(N107,Q107,INDEX(LR_Code,MATCH(B107,LR_Lane,0)),INDEX(DH_Table,0,MATCH(B107&amp;"*",DH_Head,0)))-1))</f>
        <v/>
      </c>
      <c r="T107" s="127" t="n"/>
      <c r="U107" s="112">
        <f>IF(V107&lt;&gt;"",V107,IF(IFERROR(INDEX(RS_Flag,MATCH(B107,RS_Lane,0)),"")="Yes",IF(IFERROR(INDEX(RS_Loc,MATCH(B107,RS_Lane,0)),"")="","Regional stock",IFERROR(INDEX(RS_Loc,MATCH(B107,RS_Lane,0)),"")),"Helmond"))</f>
        <v/>
      </c>
      <c r="V107" s="141" t="n"/>
      <c r="W107" s="142" t="n"/>
      <c r="X107" s="143" t="n"/>
      <c r="Y107" s="116">
        <f>IF(X107&lt;&gt;"",X107,IF(U107="Helmond",IF(COUNTIFS(RC_Lane,B107,RC_Band,E107,RC_CostPS,"&gt;0")=0,"",SUMIFS(RC_CostPS,RC_Lane,B107,RC_Band,E107)*(1-SUMIFS(RC_Disc,RC_Lane,B107,RC_Band,E107))),IF(U107="Other","",IF(INDEX(RS_Rate,MATCH(B107,RS_Lane,0))="","",INDEX(RS_Rate,MATCH(B107,RS_Lane,0))))))</f>
        <v/>
      </c>
    </row>
    <row r="108">
      <c r="A108" s="95" t="inlineStr">
        <is>
          <t>B-104</t>
        </is>
      </c>
      <c r="B108" s="112" t="inlineStr">
        <is>
          <t>L01</t>
        </is>
      </c>
      <c r="C108" s="101" t="inlineStr">
        <is>
          <t>Saudi Arabia</t>
        </is>
      </c>
      <c r="D108" s="101" t="inlineStr">
        <is>
          <t>Jeddah</t>
        </is>
      </c>
      <c r="E108" s="101" t="inlineStr">
        <is>
          <t>B3  100 to 500 kg</t>
        </is>
      </c>
      <c r="F108" s="123" t="n">
        <v>380.7</v>
      </c>
      <c r="G108" s="86">
        <f>F108*0.006477</f>
        <v/>
      </c>
      <c r="H108" s="123">
        <f>F108*1.079436</f>
        <v/>
      </c>
      <c r="I108" s="122">
        <f>MAX(1,ROUNDUP(G108/0.096,0))</f>
        <v/>
      </c>
      <c r="J108" s="84" t="n">
        <v>46514</v>
      </c>
      <c r="K108" s="87">
        <f>J108-WEEKDAY(J108,2)+1</f>
        <v/>
      </c>
      <c r="L108" s="84">
        <f>J108</f>
        <v/>
      </c>
      <c r="M108" s="52">
        <f>INDEX(LR_Target,MATCH(B108,LR_Lane,0))</f>
        <v/>
      </c>
      <c r="N108" s="84">
        <f>WORKDAY.INTL(L108,M108,INDEX(LR_Code,MATCH(B108,LR_Lane,0)),INDEX(DH_Table,0,MATCH(B108&amp;"*",DH_Head,0)))</f>
        <v/>
      </c>
      <c r="O108" s="65">
        <f>IF(W108&lt;&gt;"",W108,IF(U108="Helmond",IF(COUNTIFS(RC_Lane,B108,RC_Band,E108,RC_Transit,"&lt;&gt;")=0,"",SUMIFS(RC_Transit,RC_Lane,B108,RC_Band,E108)),IF(U108="Other","",IF(INDEX(RS_Transit,MATCH(B108,RS_Lane,0))="","",INDEX(RS_Transit,MATCH(B108,RS_Lane,0))))))</f>
        <v/>
      </c>
      <c r="P108" s="140" t="n"/>
      <c r="Q108" s="84">
        <f>IF(P108&lt;&gt;"",P108,IF(O108="","",WORKDAY.INTL(L108,ROUNDUP(O108,0),INDEX(LR_Code,MATCH(B108,LR_Lane,0)),INDEX(DH_Table,0,MATCH(B108&amp;"*",DH_Head,0)))))</f>
        <v/>
      </c>
      <c r="R108" s="100">
        <f>IF(Q108="","",IF(Q108&lt;=N108,"Yes","No"))</f>
        <v/>
      </c>
      <c r="S108" s="52">
        <f>IF(Q108="","",IF(Q108&lt;=N108,0,NETWORKDAYS.INTL(N108,Q108,INDEX(LR_Code,MATCH(B108,LR_Lane,0)),INDEX(DH_Table,0,MATCH(B108&amp;"*",DH_Head,0)))-1))</f>
        <v/>
      </c>
      <c r="T108" s="127" t="n"/>
      <c r="U108" s="112">
        <f>IF(V108&lt;&gt;"",V108,IF(IFERROR(INDEX(RS_Flag,MATCH(B108,RS_Lane,0)),"")="Yes",IF(IFERROR(INDEX(RS_Loc,MATCH(B108,RS_Lane,0)),"")="","Regional stock",IFERROR(INDEX(RS_Loc,MATCH(B108,RS_Lane,0)),"")),"Helmond"))</f>
        <v/>
      </c>
      <c r="V108" s="141" t="n"/>
      <c r="W108" s="142" t="n"/>
      <c r="X108" s="143" t="n"/>
      <c r="Y108" s="116">
        <f>IF(X108&lt;&gt;"",X108,IF(U108="Helmond",IF(COUNTIFS(RC_Lane,B108,RC_Band,E108,RC_CostPS,"&gt;0")=0,"",SUMIFS(RC_CostPS,RC_Lane,B108,RC_Band,E108)*(1-SUMIFS(RC_Disc,RC_Lane,B108,RC_Band,E108))),IF(U108="Other","",IF(INDEX(RS_Rate,MATCH(B108,RS_Lane,0))="","",INDEX(RS_Rate,MATCH(B108,RS_Lane,0))))))</f>
        <v/>
      </c>
    </row>
    <row r="109">
      <c r="A109" s="95" t="inlineStr">
        <is>
          <t>B-105</t>
        </is>
      </c>
      <c r="B109" s="112" t="inlineStr">
        <is>
          <t>L01</t>
        </is>
      </c>
      <c r="C109" s="101" t="inlineStr">
        <is>
          <t>Saudi Arabia</t>
        </is>
      </c>
      <c r="D109" s="101" t="inlineStr">
        <is>
          <t>Jeddah</t>
        </is>
      </c>
      <c r="E109" s="101" t="inlineStr">
        <is>
          <t>B1  0 to 30 kg</t>
        </is>
      </c>
      <c r="F109" s="123" t="n">
        <v>5.7</v>
      </c>
      <c r="G109" s="86">
        <f>F109*0.006477</f>
        <v/>
      </c>
      <c r="H109" s="123">
        <f>F109*1.079436</f>
        <v/>
      </c>
      <c r="I109" s="122">
        <f>MAX(1,ROUNDUP(G109/0.096,0))</f>
        <v/>
      </c>
      <c r="J109" s="84" t="n">
        <v>46520</v>
      </c>
      <c r="K109" s="87">
        <f>J109-WEEKDAY(J109,2)+1</f>
        <v/>
      </c>
      <c r="L109" s="84">
        <f>J109</f>
        <v/>
      </c>
      <c r="M109" s="52">
        <f>INDEX(LR_Target,MATCH(B109,LR_Lane,0))</f>
        <v/>
      </c>
      <c r="N109" s="84">
        <f>WORKDAY.INTL(L109,M109,INDEX(LR_Code,MATCH(B109,LR_Lane,0)),INDEX(DH_Table,0,MATCH(B109&amp;"*",DH_Head,0)))</f>
        <v/>
      </c>
      <c r="O109" s="65">
        <f>IF(W109&lt;&gt;"",W109,IF(U109="Helmond",IF(COUNTIFS(RC_Lane,B109,RC_Band,E109,RC_Transit,"&lt;&gt;")=0,"",SUMIFS(RC_Transit,RC_Lane,B109,RC_Band,E109)),IF(U109="Other","",IF(INDEX(RS_Transit,MATCH(B109,RS_Lane,0))="","",INDEX(RS_Transit,MATCH(B109,RS_Lane,0))))))</f>
        <v/>
      </c>
      <c r="P109" s="140" t="n"/>
      <c r="Q109" s="84">
        <f>IF(P109&lt;&gt;"",P109,IF(O109="","",WORKDAY.INTL(L109,ROUNDUP(O109,0),INDEX(LR_Code,MATCH(B109,LR_Lane,0)),INDEX(DH_Table,0,MATCH(B109&amp;"*",DH_Head,0)))))</f>
        <v/>
      </c>
      <c r="R109" s="100">
        <f>IF(Q109="","",IF(Q109&lt;=N109,"Yes","No"))</f>
        <v/>
      </c>
      <c r="S109" s="52">
        <f>IF(Q109="","",IF(Q109&lt;=N109,0,NETWORKDAYS.INTL(N109,Q109,INDEX(LR_Code,MATCH(B109,LR_Lane,0)),INDEX(DH_Table,0,MATCH(B109&amp;"*",DH_Head,0)))-1))</f>
        <v/>
      </c>
      <c r="T109" s="127" t="n"/>
      <c r="U109" s="112">
        <f>IF(V109&lt;&gt;"",V109,IF(IFERROR(INDEX(RS_Flag,MATCH(B109,RS_Lane,0)),"")="Yes",IF(IFERROR(INDEX(RS_Loc,MATCH(B109,RS_Lane,0)),"")="","Regional stock",IFERROR(INDEX(RS_Loc,MATCH(B109,RS_Lane,0)),"")),"Helmond"))</f>
        <v/>
      </c>
      <c r="V109" s="141" t="n"/>
      <c r="W109" s="142" t="n"/>
      <c r="X109" s="143" t="n"/>
      <c r="Y109" s="116">
        <f>IF(X109&lt;&gt;"",X109,IF(U109="Helmond",IF(COUNTIFS(RC_Lane,B109,RC_Band,E109,RC_CostPS,"&gt;0")=0,"",SUMIFS(RC_CostPS,RC_Lane,B109,RC_Band,E109)*(1-SUMIFS(RC_Disc,RC_Lane,B109,RC_Band,E109))),IF(U109="Other","",IF(INDEX(RS_Rate,MATCH(B109,RS_Lane,0))="","",INDEX(RS_Rate,MATCH(B109,RS_Lane,0))))))</f>
        <v/>
      </c>
    </row>
    <row r="110">
      <c r="A110" s="95" t="inlineStr">
        <is>
          <t>B-106</t>
        </is>
      </c>
      <c r="B110" s="112" t="inlineStr">
        <is>
          <t>L02</t>
        </is>
      </c>
      <c r="C110" s="101" t="inlineStr">
        <is>
          <t>United Arab Emirates</t>
        </is>
      </c>
      <c r="D110" s="101" t="inlineStr">
        <is>
          <t>Dubai</t>
        </is>
      </c>
      <c r="E110" s="101" t="inlineStr">
        <is>
          <t>B1  0 to 30 kg</t>
        </is>
      </c>
      <c r="F110" s="123" t="n">
        <v>4.2</v>
      </c>
      <c r="G110" s="86">
        <f>F110*0.006477</f>
        <v/>
      </c>
      <c r="H110" s="123">
        <f>F110*1.079436</f>
        <v/>
      </c>
      <c r="I110" s="122">
        <f>MAX(1,ROUNDUP(G110/0.096,0))</f>
        <v/>
      </c>
      <c r="J110" s="84" t="n">
        <v>46520</v>
      </c>
      <c r="K110" s="87">
        <f>J110-WEEKDAY(J110,2)+1</f>
        <v/>
      </c>
      <c r="L110" s="84">
        <f>J110</f>
        <v/>
      </c>
      <c r="M110" s="52">
        <f>INDEX(LR_Target,MATCH(B110,LR_Lane,0))</f>
        <v/>
      </c>
      <c r="N110" s="84">
        <f>WORKDAY.INTL(L110,M110,INDEX(LR_Code,MATCH(B110,LR_Lane,0)),INDEX(DH_Table,0,MATCH(B110&amp;"*",DH_Head,0)))</f>
        <v/>
      </c>
      <c r="O110" s="65">
        <f>IF(W110&lt;&gt;"",W110,IF(U110="Helmond",IF(COUNTIFS(RC_Lane,B110,RC_Band,E110,RC_Transit,"&lt;&gt;")=0,"",SUMIFS(RC_Transit,RC_Lane,B110,RC_Band,E110)),IF(U110="Other","",IF(INDEX(RS_Transit,MATCH(B110,RS_Lane,0))="","",INDEX(RS_Transit,MATCH(B110,RS_Lane,0))))))</f>
        <v/>
      </c>
      <c r="P110" s="140" t="n"/>
      <c r="Q110" s="84">
        <f>IF(P110&lt;&gt;"",P110,IF(O110="","",WORKDAY.INTL(L110,ROUNDUP(O110,0),INDEX(LR_Code,MATCH(B110,LR_Lane,0)),INDEX(DH_Table,0,MATCH(B110&amp;"*",DH_Head,0)))))</f>
        <v/>
      </c>
      <c r="R110" s="100">
        <f>IF(Q110="","",IF(Q110&lt;=N110,"Yes","No"))</f>
        <v/>
      </c>
      <c r="S110" s="52">
        <f>IF(Q110="","",IF(Q110&lt;=N110,0,NETWORKDAYS.INTL(N110,Q110,INDEX(LR_Code,MATCH(B110,LR_Lane,0)),INDEX(DH_Table,0,MATCH(B110&amp;"*",DH_Head,0)))-1))</f>
        <v/>
      </c>
      <c r="T110" s="127" t="n"/>
      <c r="U110" s="112">
        <f>IF(V110&lt;&gt;"",V110,IF(IFERROR(INDEX(RS_Flag,MATCH(B110,RS_Lane,0)),"")="Yes",IF(IFERROR(INDEX(RS_Loc,MATCH(B110,RS_Lane,0)),"")="","Regional stock",IFERROR(INDEX(RS_Loc,MATCH(B110,RS_Lane,0)),"")),"Helmond"))</f>
        <v/>
      </c>
      <c r="V110" s="141" t="n"/>
      <c r="W110" s="142" t="n"/>
      <c r="X110" s="143" t="n"/>
      <c r="Y110" s="116">
        <f>IF(X110&lt;&gt;"",X110,IF(U110="Helmond",IF(COUNTIFS(RC_Lane,B110,RC_Band,E110,RC_CostPS,"&gt;0")=0,"",SUMIFS(RC_CostPS,RC_Lane,B110,RC_Band,E110)*(1-SUMIFS(RC_Disc,RC_Lane,B110,RC_Band,E110))),IF(U110="Other","",IF(INDEX(RS_Rate,MATCH(B110,RS_Lane,0))="","",INDEX(RS_Rate,MATCH(B110,RS_Lane,0))))))</f>
        <v/>
      </c>
    </row>
    <row r="111">
      <c r="A111" s="95" t="inlineStr">
        <is>
          <t>B-107</t>
        </is>
      </c>
      <c r="B111" s="112" t="inlineStr">
        <is>
          <t>L01</t>
        </is>
      </c>
      <c r="C111" s="101" t="inlineStr">
        <is>
          <t>Saudi Arabia</t>
        </is>
      </c>
      <c r="D111" s="101" t="inlineStr">
        <is>
          <t>Riyadh</t>
        </is>
      </c>
      <c r="E111" s="101" t="inlineStr">
        <is>
          <t>B3  100 to 500 kg</t>
        </is>
      </c>
      <c r="F111" s="123" t="n">
        <v>248</v>
      </c>
      <c r="G111" s="86">
        <f>F111*0.006477</f>
        <v/>
      </c>
      <c r="H111" s="123">
        <f>F111*1.079436</f>
        <v/>
      </c>
      <c r="I111" s="122">
        <f>MAX(1,ROUNDUP(G111/0.096,0))</f>
        <v/>
      </c>
      <c r="J111" s="84" t="n">
        <v>46521</v>
      </c>
      <c r="K111" s="87">
        <f>J111-WEEKDAY(J111,2)+1</f>
        <v/>
      </c>
      <c r="L111" s="84">
        <f>J111</f>
        <v/>
      </c>
      <c r="M111" s="52">
        <f>INDEX(LR_Target,MATCH(B111,LR_Lane,0))</f>
        <v/>
      </c>
      <c r="N111" s="84">
        <f>WORKDAY.INTL(L111,M111,INDEX(LR_Code,MATCH(B111,LR_Lane,0)),INDEX(DH_Table,0,MATCH(B111&amp;"*",DH_Head,0)))</f>
        <v/>
      </c>
      <c r="O111" s="65">
        <f>IF(W111&lt;&gt;"",W111,IF(U111="Helmond",IF(COUNTIFS(RC_Lane,B111,RC_Band,E111,RC_Transit,"&lt;&gt;")=0,"",SUMIFS(RC_Transit,RC_Lane,B111,RC_Band,E111)),IF(U111="Other","",IF(INDEX(RS_Transit,MATCH(B111,RS_Lane,0))="","",INDEX(RS_Transit,MATCH(B111,RS_Lane,0))))))</f>
        <v/>
      </c>
      <c r="P111" s="140" t="n"/>
      <c r="Q111" s="84">
        <f>IF(P111&lt;&gt;"",P111,IF(O111="","",WORKDAY.INTL(L111,ROUNDUP(O111,0),INDEX(LR_Code,MATCH(B111,LR_Lane,0)),INDEX(DH_Table,0,MATCH(B111&amp;"*",DH_Head,0)))))</f>
        <v/>
      </c>
      <c r="R111" s="100">
        <f>IF(Q111="","",IF(Q111&lt;=N111,"Yes","No"))</f>
        <v/>
      </c>
      <c r="S111" s="52">
        <f>IF(Q111="","",IF(Q111&lt;=N111,0,NETWORKDAYS.INTL(N111,Q111,INDEX(LR_Code,MATCH(B111,LR_Lane,0)),INDEX(DH_Table,0,MATCH(B111&amp;"*",DH_Head,0)))-1))</f>
        <v/>
      </c>
      <c r="T111" s="127" t="n"/>
      <c r="U111" s="112">
        <f>IF(V111&lt;&gt;"",V111,IF(IFERROR(INDEX(RS_Flag,MATCH(B111,RS_Lane,0)),"")="Yes",IF(IFERROR(INDEX(RS_Loc,MATCH(B111,RS_Lane,0)),"")="","Regional stock",IFERROR(INDEX(RS_Loc,MATCH(B111,RS_Lane,0)),"")),"Helmond"))</f>
        <v/>
      </c>
      <c r="V111" s="141" t="n"/>
      <c r="W111" s="142" t="n"/>
      <c r="X111" s="143" t="n"/>
      <c r="Y111" s="116">
        <f>IF(X111&lt;&gt;"",X111,IF(U111="Helmond",IF(COUNTIFS(RC_Lane,B111,RC_Band,E111,RC_CostPS,"&gt;0")=0,"",SUMIFS(RC_CostPS,RC_Lane,B111,RC_Band,E111)*(1-SUMIFS(RC_Disc,RC_Lane,B111,RC_Band,E111))),IF(U111="Other","",IF(INDEX(RS_Rate,MATCH(B111,RS_Lane,0))="","",INDEX(RS_Rate,MATCH(B111,RS_Lane,0))))))</f>
        <v/>
      </c>
    </row>
    <row r="112">
      <c r="A112" s="95" t="inlineStr">
        <is>
          <t>B-108</t>
        </is>
      </c>
      <c r="B112" s="112" t="inlineStr">
        <is>
          <t>L02</t>
        </is>
      </c>
      <c r="C112" s="101" t="inlineStr">
        <is>
          <t>United Arab Emirates</t>
        </is>
      </c>
      <c r="D112" s="101" t="inlineStr">
        <is>
          <t>Dubai</t>
        </is>
      </c>
      <c r="E112" s="101" t="inlineStr">
        <is>
          <t>B1  0 to 30 kg</t>
        </is>
      </c>
      <c r="F112" s="123" t="n">
        <v>7.5</v>
      </c>
      <c r="G112" s="86">
        <f>F112*0.006477</f>
        <v/>
      </c>
      <c r="H112" s="123">
        <f>F112*1.079436</f>
        <v/>
      </c>
      <c r="I112" s="122">
        <f>MAX(1,ROUNDUP(G112/0.096,0))</f>
        <v/>
      </c>
      <c r="J112" s="84" t="n">
        <v>46521</v>
      </c>
      <c r="K112" s="87">
        <f>J112-WEEKDAY(J112,2)+1</f>
        <v/>
      </c>
      <c r="L112" s="84">
        <f>J112</f>
        <v/>
      </c>
      <c r="M112" s="52">
        <f>INDEX(LR_Target,MATCH(B112,LR_Lane,0))</f>
        <v/>
      </c>
      <c r="N112" s="84">
        <f>WORKDAY.INTL(L112,M112,INDEX(LR_Code,MATCH(B112,LR_Lane,0)),INDEX(DH_Table,0,MATCH(B112&amp;"*",DH_Head,0)))</f>
        <v/>
      </c>
      <c r="O112" s="65">
        <f>IF(W112&lt;&gt;"",W112,IF(U112="Helmond",IF(COUNTIFS(RC_Lane,B112,RC_Band,E112,RC_Transit,"&lt;&gt;")=0,"",SUMIFS(RC_Transit,RC_Lane,B112,RC_Band,E112)),IF(U112="Other","",IF(INDEX(RS_Transit,MATCH(B112,RS_Lane,0))="","",INDEX(RS_Transit,MATCH(B112,RS_Lane,0))))))</f>
        <v/>
      </c>
      <c r="P112" s="140" t="n"/>
      <c r="Q112" s="84">
        <f>IF(P112&lt;&gt;"",P112,IF(O112="","",WORKDAY.INTL(L112,ROUNDUP(O112,0),INDEX(LR_Code,MATCH(B112,LR_Lane,0)),INDEX(DH_Table,0,MATCH(B112&amp;"*",DH_Head,0)))))</f>
        <v/>
      </c>
      <c r="R112" s="100">
        <f>IF(Q112="","",IF(Q112&lt;=N112,"Yes","No"))</f>
        <v/>
      </c>
      <c r="S112" s="52">
        <f>IF(Q112="","",IF(Q112&lt;=N112,0,NETWORKDAYS.INTL(N112,Q112,INDEX(LR_Code,MATCH(B112,LR_Lane,0)),INDEX(DH_Table,0,MATCH(B112&amp;"*",DH_Head,0)))-1))</f>
        <v/>
      </c>
      <c r="T112" s="127" t="n"/>
      <c r="U112" s="112">
        <f>IF(V112&lt;&gt;"",V112,IF(IFERROR(INDEX(RS_Flag,MATCH(B112,RS_Lane,0)),"")="Yes",IF(IFERROR(INDEX(RS_Loc,MATCH(B112,RS_Lane,0)),"")="","Regional stock",IFERROR(INDEX(RS_Loc,MATCH(B112,RS_Lane,0)),"")),"Helmond"))</f>
        <v/>
      </c>
      <c r="V112" s="141" t="n"/>
      <c r="W112" s="142" t="n"/>
      <c r="X112" s="143" t="n"/>
      <c r="Y112" s="116">
        <f>IF(X112&lt;&gt;"",X112,IF(U112="Helmond",IF(COUNTIFS(RC_Lane,B112,RC_Band,E112,RC_CostPS,"&gt;0")=0,"",SUMIFS(RC_CostPS,RC_Lane,B112,RC_Band,E112)*(1-SUMIFS(RC_Disc,RC_Lane,B112,RC_Band,E112))),IF(U112="Other","",IF(INDEX(RS_Rate,MATCH(B112,RS_Lane,0))="","",INDEX(RS_Rate,MATCH(B112,RS_Lane,0))))))</f>
        <v/>
      </c>
    </row>
    <row r="113">
      <c r="A113" s="95" t="inlineStr">
        <is>
          <t>B-109</t>
        </is>
      </c>
      <c r="B113" s="112" t="inlineStr">
        <is>
          <t>L02</t>
        </is>
      </c>
      <c r="C113" s="101" t="inlineStr">
        <is>
          <t>United Arab Emirates</t>
        </is>
      </c>
      <c r="D113" s="101" t="inlineStr">
        <is>
          <t>Dubai</t>
        </is>
      </c>
      <c r="E113" s="101" t="inlineStr">
        <is>
          <t>B1  0 to 30 kg</t>
        </is>
      </c>
      <c r="F113" s="123" t="n">
        <v>7.6</v>
      </c>
      <c r="G113" s="86">
        <f>F113*0.006477</f>
        <v/>
      </c>
      <c r="H113" s="123">
        <f>F113*1.079436</f>
        <v/>
      </c>
      <c r="I113" s="122">
        <f>MAX(1,ROUNDUP(G113/0.096,0))</f>
        <v/>
      </c>
      <c r="J113" s="84" t="n">
        <v>46521</v>
      </c>
      <c r="K113" s="87">
        <f>J113-WEEKDAY(J113,2)+1</f>
        <v/>
      </c>
      <c r="L113" s="84">
        <f>J113</f>
        <v/>
      </c>
      <c r="M113" s="52">
        <f>INDEX(LR_Target,MATCH(B113,LR_Lane,0))</f>
        <v/>
      </c>
      <c r="N113" s="84">
        <f>WORKDAY.INTL(L113,M113,INDEX(LR_Code,MATCH(B113,LR_Lane,0)),INDEX(DH_Table,0,MATCH(B113&amp;"*",DH_Head,0)))</f>
        <v/>
      </c>
      <c r="O113" s="65">
        <f>IF(W113&lt;&gt;"",W113,IF(U113="Helmond",IF(COUNTIFS(RC_Lane,B113,RC_Band,E113,RC_Transit,"&lt;&gt;")=0,"",SUMIFS(RC_Transit,RC_Lane,B113,RC_Band,E113)),IF(U113="Other","",IF(INDEX(RS_Transit,MATCH(B113,RS_Lane,0))="","",INDEX(RS_Transit,MATCH(B113,RS_Lane,0))))))</f>
        <v/>
      </c>
      <c r="P113" s="140" t="n"/>
      <c r="Q113" s="84">
        <f>IF(P113&lt;&gt;"",P113,IF(O113="","",WORKDAY.INTL(L113,ROUNDUP(O113,0),INDEX(LR_Code,MATCH(B113,LR_Lane,0)),INDEX(DH_Table,0,MATCH(B113&amp;"*",DH_Head,0)))))</f>
        <v/>
      </c>
      <c r="R113" s="100">
        <f>IF(Q113="","",IF(Q113&lt;=N113,"Yes","No"))</f>
        <v/>
      </c>
      <c r="S113" s="52">
        <f>IF(Q113="","",IF(Q113&lt;=N113,0,NETWORKDAYS.INTL(N113,Q113,INDEX(LR_Code,MATCH(B113,LR_Lane,0)),INDEX(DH_Table,0,MATCH(B113&amp;"*",DH_Head,0)))-1))</f>
        <v/>
      </c>
      <c r="T113" s="127" t="n"/>
      <c r="U113" s="112">
        <f>IF(V113&lt;&gt;"",V113,IF(IFERROR(INDEX(RS_Flag,MATCH(B113,RS_Lane,0)),"")="Yes",IF(IFERROR(INDEX(RS_Loc,MATCH(B113,RS_Lane,0)),"")="","Regional stock",IFERROR(INDEX(RS_Loc,MATCH(B113,RS_Lane,0)),"")),"Helmond"))</f>
        <v/>
      </c>
      <c r="V113" s="141" t="n"/>
      <c r="W113" s="142" t="n"/>
      <c r="X113" s="143" t="n"/>
      <c r="Y113" s="116">
        <f>IF(X113&lt;&gt;"",X113,IF(U113="Helmond",IF(COUNTIFS(RC_Lane,B113,RC_Band,E113,RC_CostPS,"&gt;0")=0,"",SUMIFS(RC_CostPS,RC_Lane,B113,RC_Band,E113)*(1-SUMIFS(RC_Disc,RC_Lane,B113,RC_Band,E113))),IF(U113="Other","",IF(INDEX(RS_Rate,MATCH(B113,RS_Lane,0))="","",INDEX(RS_Rate,MATCH(B113,RS_Lane,0))))))</f>
        <v/>
      </c>
    </row>
    <row r="114">
      <c r="A114" s="95" t="inlineStr">
        <is>
          <t>B-110</t>
        </is>
      </c>
      <c r="B114" s="112" t="inlineStr">
        <is>
          <t>L02</t>
        </is>
      </c>
      <c r="C114" s="101" t="inlineStr">
        <is>
          <t>United Arab Emirates</t>
        </is>
      </c>
      <c r="D114" s="101" t="inlineStr">
        <is>
          <t>Dubai</t>
        </is>
      </c>
      <c r="E114" s="101" t="inlineStr">
        <is>
          <t>B1  0 to 30 kg</t>
        </is>
      </c>
      <c r="F114" s="123" t="n">
        <v>8.4</v>
      </c>
      <c r="G114" s="86">
        <f>F114*0.006477</f>
        <v/>
      </c>
      <c r="H114" s="123">
        <f>F114*1.079436</f>
        <v/>
      </c>
      <c r="I114" s="122">
        <f>MAX(1,ROUNDUP(G114/0.096,0))</f>
        <v/>
      </c>
      <c r="J114" s="84" t="n">
        <v>46521</v>
      </c>
      <c r="K114" s="87">
        <f>J114-WEEKDAY(J114,2)+1</f>
        <v/>
      </c>
      <c r="L114" s="84">
        <f>J114</f>
        <v/>
      </c>
      <c r="M114" s="52">
        <f>INDEX(LR_Target,MATCH(B114,LR_Lane,0))</f>
        <v/>
      </c>
      <c r="N114" s="84">
        <f>WORKDAY.INTL(L114,M114,INDEX(LR_Code,MATCH(B114,LR_Lane,0)),INDEX(DH_Table,0,MATCH(B114&amp;"*",DH_Head,0)))</f>
        <v/>
      </c>
      <c r="O114" s="65">
        <f>IF(W114&lt;&gt;"",W114,IF(U114="Helmond",IF(COUNTIFS(RC_Lane,B114,RC_Band,E114,RC_Transit,"&lt;&gt;")=0,"",SUMIFS(RC_Transit,RC_Lane,B114,RC_Band,E114)),IF(U114="Other","",IF(INDEX(RS_Transit,MATCH(B114,RS_Lane,0))="","",INDEX(RS_Transit,MATCH(B114,RS_Lane,0))))))</f>
        <v/>
      </c>
      <c r="P114" s="140" t="n"/>
      <c r="Q114" s="84">
        <f>IF(P114&lt;&gt;"",P114,IF(O114="","",WORKDAY.INTL(L114,ROUNDUP(O114,0),INDEX(LR_Code,MATCH(B114,LR_Lane,0)),INDEX(DH_Table,0,MATCH(B114&amp;"*",DH_Head,0)))))</f>
        <v/>
      </c>
      <c r="R114" s="100">
        <f>IF(Q114="","",IF(Q114&lt;=N114,"Yes","No"))</f>
        <v/>
      </c>
      <c r="S114" s="52">
        <f>IF(Q114="","",IF(Q114&lt;=N114,0,NETWORKDAYS.INTL(N114,Q114,INDEX(LR_Code,MATCH(B114,LR_Lane,0)),INDEX(DH_Table,0,MATCH(B114&amp;"*",DH_Head,0)))-1))</f>
        <v/>
      </c>
      <c r="T114" s="127" t="n"/>
      <c r="U114" s="112">
        <f>IF(V114&lt;&gt;"",V114,IF(IFERROR(INDEX(RS_Flag,MATCH(B114,RS_Lane,0)),"")="Yes",IF(IFERROR(INDEX(RS_Loc,MATCH(B114,RS_Lane,0)),"")="","Regional stock",IFERROR(INDEX(RS_Loc,MATCH(B114,RS_Lane,0)),"")),"Helmond"))</f>
        <v/>
      </c>
      <c r="V114" s="141" t="n"/>
      <c r="W114" s="142" t="n"/>
      <c r="X114" s="143" t="n"/>
      <c r="Y114" s="116">
        <f>IF(X114&lt;&gt;"",X114,IF(U114="Helmond",IF(COUNTIFS(RC_Lane,B114,RC_Band,E114,RC_CostPS,"&gt;0")=0,"",SUMIFS(RC_CostPS,RC_Lane,B114,RC_Band,E114)*(1-SUMIFS(RC_Disc,RC_Lane,B114,RC_Band,E114))),IF(U114="Other","",IF(INDEX(RS_Rate,MATCH(B114,RS_Lane,0))="","",INDEX(RS_Rate,MATCH(B114,RS_Lane,0))))))</f>
        <v/>
      </c>
    </row>
    <row r="115">
      <c r="A115" s="95" t="inlineStr">
        <is>
          <t>B-111</t>
        </is>
      </c>
      <c r="B115" s="112" t="inlineStr">
        <is>
          <t>L05</t>
        </is>
      </c>
      <c r="C115" s="101" t="inlineStr">
        <is>
          <t>Türkiye</t>
        </is>
      </c>
      <c r="D115" s="101" t="inlineStr">
        <is>
          <t>Istanbul</t>
        </is>
      </c>
      <c r="E115" s="101" t="inlineStr">
        <is>
          <t>B1  0 to 30 kg</t>
        </is>
      </c>
      <c r="F115" s="123" t="n">
        <v>5.5</v>
      </c>
      <c r="G115" s="86">
        <f>F115*0.006477</f>
        <v/>
      </c>
      <c r="H115" s="123">
        <f>F115*1.079436</f>
        <v/>
      </c>
      <c r="I115" s="122">
        <f>MAX(1,ROUNDUP(G115/0.096,0))</f>
        <v/>
      </c>
      <c r="J115" s="84" t="n">
        <v>46521</v>
      </c>
      <c r="K115" s="87">
        <f>J115-WEEKDAY(J115,2)+1</f>
        <v/>
      </c>
      <c r="L115" s="84">
        <f>J115</f>
        <v/>
      </c>
      <c r="M115" s="52">
        <f>INDEX(LR_Target,MATCH(B115,LR_Lane,0))</f>
        <v/>
      </c>
      <c r="N115" s="84">
        <f>WORKDAY.INTL(L115,M115,INDEX(LR_Code,MATCH(B115,LR_Lane,0)),INDEX(DH_Table,0,MATCH(B115&amp;"*",DH_Head,0)))</f>
        <v/>
      </c>
      <c r="O115" s="65">
        <f>IF(W115&lt;&gt;"",W115,IF(U115="Helmond",IF(COUNTIFS(RC_Lane,B115,RC_Band,E115,RC_Transit,"&lt;&gt;")=0,"",SUMIFS(RC_Transit,RC_Lane,B115,RC_Band,E115)),IF(U115="Other","",IF(INDEX(RS_Transit,MATCH(B115,RS_Lane,0))="","",INDEX(RS_Transit,MATCH(B115,RS_Lane,0))))))</f>
        <v/>
      </c>
      <c r="P115" s="140" t="n"/>
      <c r="Q115" s="84">
        <f>IF(P115&lt;&gt;"",P115,IF(O115="","",WORKDAY.INTL(L115,ROUNDUP(O115,0),INDEX(LR_Code,MATCH(B115,LR_Lane,0)),INDEX(DH_Table,0,MATCH(B115&amp;"*",DH_Head,0)))))</f>
        <v/>
      </c>
      <c r="R115" s="100">
        <f>IF(Q115="","",IF(Q115&lt;=N115,"Yes","No"))</f>
        <v/>
      </c>
      <c r="S115" s="52">
        <f>IF(Q115="","",IF(Q115&lt;=N115,0,NETWORKDAYS.INTL(N115,Q115,INDEX(LR_Code,MATCH(B115,LR_Lane,0)),INDEX(DH_Table,0,MATCH(B115&amp;"*",DH_Head,0)))-1))</f>
        <v/>
      </c>
      <c r="T115" s="127" t="n"/>
      <c r="U115" s="112">
        <f>IF(V115&lt;&gt;"",V115,IF(IFERROR(INDEX(RS_Flag,MATCH(B115,RS_Lane,0)),"")="Yes",IF(IFERROR(INDEX(RS_Loc,MATCH(B115,RS_Lane,0)),"")="","Regional stock",IFERROR(INDEX(RS_Loc,MATCH(B115,RS_Lane,0)),"")),"Helmond"))</f>
        <v/>
      </c>
      <c r="V115" s="141" t="n"/>
      <c r="W115" s="142" t="n"/>
      <c r="X115" s="143" t="n"/>
      <c r="Y115" s="116">
        <f>IF(X115&lt;&gt;"",X115,IF(U115="Helmond",IF(COUNTIFS(RC_Lane,B115,RC_Band,E115,RC_CostPS,"&gt;0")=0,"",SUMIFS(RC_CostPS,RC_Lane,B115,RC_Band,E115)*(1-SUMIFS(RC_Disc,RC_Lane,B115,RC_Band,E115))),IF(U115="Other","",IF(INDEX(RS_Rate,MATCH(B115,RS_Lane,0))="","",INDEX(RS_Rate,MATCH(B115,RS_Lane,0))))))</f>
        <v/>
      </c>
    </row>
    <row r="116">
      <c r="A116" s="95" t="inlineStr">
        <is>
          <t>B-112</t>
        </is>
      </c>
      <c r="B116" s="112" t="inlineStr">
        <is>
          <t>L01</t>
        </is>
      </c>
      <c r="C116" s="101" t="inlineStr">
        <is>
          <t>Saudi Arabia</t>
        </is>
      </c>
      <c r="D116" s="101" t="inlineStr">
        <is>
          <t>Jeddah</t>
        </is>
      </c>
      <c r="E116" s="101" t="inlineStr">
        <is>
          <t>B1  0 to 30 kg</t>
        </is>
      </c>
      <c r="F116" s="123" t="n">
        <v>5.9</v>
      </c>
      <c r="G116" s="86">
        <f>F116*0.006477</f>
        <v/>
      </c>
      <c r="H116" s="123">
        <f>F116*1.079436</f>
        <v/>
      </c>
      <c r="I116" s="122">
        <f>MAX(1,ROUNDUP(G116/0.096,0))</f>
        <v/>
      </c>
      <c r="J116" s="84" t="n">
        <v>46525</v>
      </c>
      <c r="K116" s="87">
        <f>J116-WEEKDAY(J116,2)+1</f>
        <v/>
      </c>
      <c r="L116" s="84">
        <f>J116</f>
        <v/>
      </c>
      <c r="M116" s="52">
        <f>INDEX(LR_Target,MATCH(B116,LR_Lane,0))</f>
        <v/>
      </c>
      <c r="N116" s="84">
        <f>WORKDAY.INTL(L116,M116,INDEX(LR_Code,MATCH(B116,LR_Lane,0)),INDEX(DH_Table,0,MATCH(B116&amp;"*",DH_Head,0)))</f>
        <v/>
      </c>
      <c r="O116" s="65">
        <f>IF(W116&lt;&gt;"",W116,IF(U116="Helmond",IF(COUNTIFS(RC_Lane,B116,RC_Band,E116,RC_Transit,"&lt;&gt;")=0,"",SUMIFS(RC_Transit,RC_Lane,B116,RC_Band,E116)),IF(U116="Other","",IF(INDEX(RS_Transit,MATCH(B116,RS_Lane,0))="","",INDEX(RS_Transit,MATCH(B116,RS_Lane,0))))))</f>
        <v/>
      </c>
      <c r="P116" s="140" t="n"/>
      <c r="Q116" s="84">
        <f>IF(P116&lt;&gt;"",P116,IF(O116="","",WORKDAY.INTL(L116,ROUNDUP(O116,0),INDEX(LR_Code,MATCH(B116,LR_Lane,0)),INDEX(DH_Table,0,MATCH(B116&amp;"*",DH_Head,0)))))</f>
        <v/>
      </c>
      <c r="R116" s="100">
        <f>IF(Q116="","",IF(Q116&lt;=N116,"Yes","No"))</f>
        <v/>
      </c>
      <c r="S116" s="52">
        <f>IF(Q116="","",IF(Q116&lt;=N116,0,NETWORKDAYS.INTL(N116,Q116,INDEX(LR_Code,MATCH(B116,LR_Lane,0)),INDEX(DH_Table,0,MATCH(B116&amp;"*",DH_Head,0)))-1))</f>
        <v/>
      </c>
      <c r="T116" s="127" t="n"/>
      <c r="U116" s="112">
        <f>IF(V116&lt;&gt;"",V116,IF(IFERROR(INDEX(RS_Flag,MATCH(B116,RS_Lane,0)),"")="Yes",IF(IFERROR(INDEX(RS_Loc,MATCH(B116,RS_Lane,0)),"")="","Regional stock",IFERROR(INDEX(RS_Loc,MATCH(B116,RS_Lane,0)),"")),"Helmond"))</f>
        <v/>
      </c>
      <c r="V116" s="141" t="n"/>
      <c r="W116" s="142" t="n"/>
      <c r="X116" s="143" t="n"/>
      <c r="Y116" s="116">
        <f>IF(X116&lt;&gt;"",X116,IF(U116="Helmond",IF(COUNTIFS(RC_Lane,B116,RC_Band,E116,RC_CostPS,"&gt;0")=0,"",SUMIFS(RC_CostPS,RC_Lane,B116,RC_Band,E116)*(1-SUMIFS(RC_Disc,RC_Lane,B116,RC_Band,E116))),IF(U116="Other","",IF(INDEX(RS_Rate,MATCH(B116,RS_Lane,0))="","",INDEX(RS_Rate,MATCH(B116,RS_Lane,0))))))</f>
        <v/>
      </c>
    </row>
    <row r="117">
      <c r="A117" s="95" t="inlineStr">
        <is>
          <t>B-113</t>
        </is>
      </c>
      <c r="B117" s="112" t="inlineStr">
        <is>
          <t>L04</t>
        </is>
      </c>
      <c r="C117" s="101" t="inlineStr">
        <is>
          <t>Qatar</t>
        </is>
      </c>
      <c r="D117" s="101" t="inlineStr">
        <is>
          <t>Doha</t>
        </is>
      </c>
      <c r="E117" s="101" t="inlineStr">
        <is>
          <t>B2  30 to 100 kg</t>
        </is>
      </c>
      <c r="F117" s="123" t="n">
        <v>48.3</v>
      </c>
      <c r="G117" s="86">
        <f>F117*0.006477</f>
        <v/>
      </c>
      <c r="H117" s="123">
        <f>F117*1.079436</f>
        <v/>
      </c>
      <c r="I117" s="122">
        <f>MAX(1,ROUNDUP(G117/0.096,0))</f>
        <v/>
      </c>
      <c r="J117" s="84" t="n">
        <v>46525</v>
      </c>
      <c r="K117" s="87">
        <f>J117-WEEKDAY(J117,2)+1</f>
        <v/>
      </c>
      <c r="L117" s="84">
        <f>J117</f>
        <v/>
      </c>
      <c r="M117" s="52">
        <f>INDEX(LR_Target,MATCH(B117,LR_Lane,0))</f>
        <v/>
      </c>
      <c r="N117" s="84">
        <f>WORKDAY.INTL(L117,M117,INDEX(LR_Code,MATCH(B117,LR_Lane,0)),INDEX(DH_Table,0,MATCH(B117&amp;"*",DH_Head,0)))</f>
        <v/>
      </c>
      <c r="O117" s="65">
        <f>IF(W117&lt;&gt;"",W117,IF(U117="Helmond",IF(COUNTIFS(RC_Lane,B117,RC_Band,E117,RC_Transit,"&lt;&gt;")=0,"",SUMIFS(RC_Transit,RC_Lane,B117,RC_Band,E117)),IF(U117="Other","",IF(INDEX(RS_Transit,MATCH(B117,RS_Lane,0))="","",INDEX(RS_Transit,MATCH(B117,RS_Lane,0))))))</f>
        <v/>
      </c>
      <c r="P117" s="140" t="n"/>
      <c r="Q117" s="84">
        <f>IF(P117&lt;&gt;"",P117,IF(O117="","",WORKDAY.INTL(L117,ROUNDUP(O117,0),INDEX(LR_Code,MATCH(B117,LR_Lane,0)),INDEX(DH_Table,0,MATCH(B117&amp;"*",DH_Head,0)))))</f>
        <v/>
      </c>
      <c r="R117" s="100">
        <f>IF(Q117="","",IF(Q117&lt;=N117,"Yes","No"))</f>
        <v/>
      </c>
      <c r="S117" s="52">
        <f>IF(Q117="","",IF(Q117&lt;=N117,0,NETWORKDAYS.INTL(N117,Q117,INDEX(LR_Code,MATCH(B117,LR_Lane,0)),INDEX(DH_Table,0,MATCH(B117&amp;"*",DH_Head,0)))-1))</f>
        <v/>
      </c>
      <c r="T117" s="127" t="n"/>
      <c r="U117" s="112">
        <f>IF(V117&lt;&gt;"",V117,IF(IFERROR(INDEX(RS_Flag,MATCH(B117,RS_Lane,0)),"")="Yes",IF(IFERROR(INDEX(RS_Loc,MATCH(B117,RS_Lane,0)),"")="","Regional stock",IFERROR(INDEX(RS_Loc,MATCH(B117,RS_Lane,0)),"")),"Helmond"))</f>
        <v/>
      </c>
      <c r="V117" s="141" t="n"/>
      <c r="W117" s="142" t="n"/>
      <c r="X117" s="143" t="n"/>
      <c r="Y117" s="116">
        <f>IF(X117&lt;&gt;"",X117,IF(U117="Helmond",IF(COUNTIFS(RC_Lane,B117,RC_Band,E117,RC_CostPS,"&gt;0")=0,"",SUMIFS(RC_CostPS,RC_Lane,B117,RC_Band,E117)*(1-SUMIFS(RC_Disc,RC_Lane,B117,RC_Band,E117))),IF(U117="Other","",IF(INDEX(RS_Rate,MATCH(B117,RS_Lane,0))="","",INDEX(RS_Rate,MATCH(B117,RS_Lane,0))))))</f>
        <v/>
      </c>
    </row>
    <row r="118">
      <c r="A118" s="95" t="inlineStr">
        <is>
          <t>B-114</t>
        </is>
      </c>
      <c r="B118" s="112" t="inlineStr">
        <is>
          <t>L06</t>
        </is>
      </c>
      <c r="C118" s="101" t="inlineStr">
        <is>
          <t>Morocco</t>
        </is>
      </c>
      <c r="D118" s="101" t="inlineStr">
        <is>
          <t>Casablanca area</t>
        </is>
      </c>
      <c r="E118" s="101" t="inlineStr">
        <is>
          <t>B2  30 to 100 kg</t>
        </is>
      </c>
      <c r="F118" s="123" t="n">
        <v>59.8</v>
      </c>
      <c r="G118" s="86">
        <f>F118*0.006477</f>
        <v/>
      </c>
      <c r="H118" s="123">
        <f>F118*1.079436</f>
        <v/>
      </c>
      <c r="I118" s="122">
        <f>MAX(1,ROUNDUP(G118/0.096,0))</f>
        <v/>
      </c>
      <c r="J118" s="84" t="n">
        <v>46525</v>
      </c>
      <c r="K118" s="87">
        <f>J118-WEEKDAY(J118,2)+1</f>
        <v/>
      </c>
      <c r="L118" s="84">
        <f>J118</f>
        <v/>
      </c>
      <c r="M118" s="52">
        <f>INDEX(LR_Target,MATCH(B118,LR_Lane,0))</f>
        <v/>
      </c>
      <c r="N118" s="84">
        <f>WORKDAY.INTL(L118,M118,INDEX(LR_Code,MATCH(B118,LR_Lane,0)),INDEX(DH_Table,0,MATCH(B118&amp;"*",DH_Head,0)))</f>
        <v/>
      </c>
      <c r="O118" s="65">
        <f>IF(W118&lt;&gt;"",W118,IF(U118="Helmond",IF(COUNTIFS(RC_Lane,B118,RC_Band,E118,RC_Transit,"&lt;&gt;")=0,"",SUMIFS(RC_Transit,RC_Lane,B118,RC_Band,E118)),IF(U118="Other","",IF(INDEX(RS_Transit,MATCH(B118,RS_Lane,0))="","",INDEX(RS_Transit,MATCH(B118,RS_Lane,0))))))</f>
        <v/>
      </c>
      <c r="P118" s="140" t="n"/>
      <c r="Q118" s="84">
        <f>IF(P118&lt;&gt;"",P118,IF(O118="","",WORKDAY.INTL(L118,ROUNDUP(O118,0),INDEX(LR_Code,MATCH(B118,LR_Lane,0)),INDEX(DH_Table,0,MATCH(B118&amp;"*",DH_Head,0)))))</f>
        <v/>
      </c>
      <c r="R118" s="100">
        <f>IF(Q118="","",IF(Q118&lt;=N118,"Yes","No"))</f>
        <v/>
      </c>
      <c r="S118" s="52">
        <f>IF(Q118="","",IF(Q118&lt;=N118,0,NETWORKDAYS.INTL(N118,Q118,INDEX(LR_Code,MATCH(B118,LR_Lane,0)),INDEX(DH_Table,0,MATCH(B118&amp;"*",DH_Head,0)))-1))</f>
        <v/>
      </c>
      <c r="T118" s="127" t="n"/>
      <c r="U118" s="112">
        <f>IF(V118&lt;&gt;"",V118,IF(IFERROR(INDEX(RS_Flag,MATCH(B118,RS_Lane,0)),"")="Yes",IF(IFERROR(INDEX(RS_Loc,MATCH(B118,RS_Lane,0)),"")="","Regional stock",IFERROR(INDEX(RS_Loc,MATCH(B118,RS_Lane,0)),"")),"Helmond"))</f>
        <v/>
      </c>
      <c r="V118" s="141" t="n"/>
      <c r="W118" s="142" t="n"/>
      <c r="X118" s="143" t="n"/>
      <c r="Y118" s="116">
        <f>IF(X118&lt;&gt;"",X118,IF(U118="Helmond",IF(COUNTIFS(RC_Lane,B118,RC_Band,E118,RC_CostPS,"&gt;0")=0,"",SUMIFS(RC_CostPS,RC_Lane,B118,RC_Band,E118)*(1-SUMIFS(RC_Disc,RC_Lane,B118,RC_Band,E118))),IF(U118="Other","",IF(INDEX(RS_Rate,MATCH(B118,RS_Lane,0))="","",INDEX(RS_Rate,MATCH(B118,RS_Lane,0))))))</f>
        <v/>
      </c>
    </row>
    <row r="119">
      <c r="A119" s="95" t="inlineStr">
        <is>
          <t>B-115</t>
        </is>
      </c>
      <c r="B119" s="112" t="inlineStr">
        <is>
          <t>L01</t>
        </is>
      </c>
      <c r="C119" s="101" t="inlineStr">
        <is>
          <t>Saudi Arabia</t>
        </is>
      </c>
      <c r="D119" s="101" t="inlineStr">
        <is>
          <t>Jeddah</t>
        </is>
      </c>
      <c r="E119" s="101" t="inlineStr">
        <is>
          <t>B1  0 to 30 kg</t>
        </is>
      </c>
      <c r="F119" s="123" t="n">
        <v>5.3</v>
      </c>
      <c r="G119" s="86">
        <f>F119*0.006477</f>
        <v/>
      </c>
      <c r="H119" s="123">
        <f>F119*1.079436</f>
        <v/>
      </c>
      <c r="I119" s="122">
        <f>MAX(1,ROUNDUP(G119/0.096,0))</f>
        <v/>
      </c>
      <c r="J119" s="84" t="n">
        <v>46527</v>
      </c>
      <c r="K119" s="87">
        <f>J119-WEEKDAY(J119,2)+1</f>
        <v/>
      </c>
      <c r="L119" s="84">
        <f>J119</f>
        <v/>
      </c>
      <c r="M119" s="52">
        <f>INDEX(LR_Target,MATCH(B119,LR_Lane,0))</f>
        <v/>
      </c>
      <c r="N119" s="84">
        <f>WORKDAY.INTL(L119,M119,INDEX(LR_Code,MATCH(B119,LR_Lane,0)),INDEX(DH_Table,0,MATCH(B119&amp;"*",DH_Head,0)))</f>
        <v/>
      </c>
      <c r="O119" s="65">
        <f>IF(W119&lt;&gt;"",W119,IF(U119="Helmond",IF(COUNTIFS(RC_Lane,B119,RC_Band,E119,RC_Transit,"&lt;&gt;")=0,"",SUMIFS(RC_Transit,RC_Lane,B119,RC_Band,E119)),IF(U119="Other","",IF(INDEX(RS_Transit,MATCH(B119,RS_Lane,0))="","",INDEX(RS_Transit,MATCH(B119,RS_Lane,0))))))</f>
        <v/>
      </c>
      <c r="P119" s="140" t="n"/>
      <c r="Q119" s="84">
        <f>IF(P119&lt;&gt;"",P119,IF(O119="","",WORKDAY.INTL(L119,ROUNDUP(O119,0),INDEX(LR_Code,MATCH(B119,LR_Lane,0)),INDEX(DH_Table,0,MATCH(B119&amp;"*",DH_Head,0)))))</f>
        <v/>
      </c>
      <c r="R119" s="100">
        <f>IF(Q119="","",IF(Q119&lt;=N119,"Yes","No"))</f>
        <v/>
      </c>
      <c r="S119" s="52">
        <f>IF(Q119="","",IF(Q119&lt;=N119,0,NETWORKDAYS.INTL(N119,Q119,INDEX(LR_Code,MATCH(B119,LR_Lane,0)),INDEX(DH_Table,0,MATCH(B119&amp;"*",DH_Head,0)))-1))</f>
        <v/>
      </c>
      <c r="T119" s="127" t="n"/>
      <c r="U119" s="112">
        <f>IF(V119&lt;&gt;"",V119,IF(IFERROR(INDEX(RS_Flag,MATCH(B119,RS_Lane,0)),"")="Yes",IF(IFERROR(INDEX(RS_Loc,MATCH(B119,RS_Lane,0)),"")="","Regional stock",IFERROR(INDEX(RS_Loc,MATCH(B119,RS_Lane,0)),"")),"Helmond"))</f>
        <v/>
      </c>
      <c r="V119" s="141" t="n"/>
      <c r="W119" s="142" t="n"/>
      <c r="X119" s="143" t="n"/>
      <c r="Y119" s="116">
        <f>IF(X119&lt;&gt;"",X119,IF(U119="Helmond",IF(COUNTIFS(RC_Lane,B119,RC_Band,E119,RC_CostPS,"&gt;0")=0,"",SUMIFS(RC_CostPS,RC_Lane,B119,RC_Band,E119)*(1-SUMIFS(RC_Disc,RC_Lane,B119,RC_Band,E119))),IF(U119="Other","",IF(INDEX(RS_Rate,MATCH(B119,RS_Lane,0))="","",INDEX(RS_Rate,MATCH(B119,RS_Lane,0))))))</f>
        <v/>
      </c>
    </row>
    <row r="120">
      <c r="A120" s="95" t="inlineStr">
        <is>
          <t>B-116</t>
        </is>
      </c>
      <c r="B120" s="112" t="inlineStr">
        <is>
          <t>L02</t>
        </is>
      </c>
      <c r="C120" s="101" t="inlineStr">
        <is>
          <t>United Arab Emirates</t>
        </is>
      </c>
      <c r="D120" s="101" t="inlineStr">
        <is>
          <t>Dubai</t>
        </is>
      </c>
      <c r="E120" s="101" t="inlineStr">
        <is>
          <t>B1  0 to 30 kg</t>
        </is>
      </c>
      <c r="F120" s="123" t="n">
        <v>3.5</v>
      </c>
      <c r="G120" s="86">
        <f>F120*0.006477</f>
        <v/>
      </c>
      <c r="H120" s="123">
        <f>F120*1.079436</f>
        <v/>
      </c>
      <c r="I120" s="122">
        <f>MAX(1,ROUNDUP(G120/0.096,0))</f>
        <v/>
      </c>
      <c r="J120" s="84" t="n">
        <v>46528</v>
      </c>
      <c r="K120" s="87">
        <f>J120-WEEKDAY(J120,2)+1</f>
        <v/>
      </c>
      <c r="L120" s="84">
        <f>J120</f>
        <v/>
      </c>
      <c r="M120" s="52">
        <f>INDEX(LR_Target,MATCH(B120,LR_Lane,0))</f>
        <v/>
      </c>
      <c r="N120" s="84">
        <f>WORKDAY.INTL(L120,M120,INDEX(LR_Code,MATCH(B120,LR_Lane,0)),INDEX(DH_Table,0,MATCH(B120&amp;"*",DH_Head,0)))</f>
        <v/>
      </c>
      <c r="O120" s="65">
        <f>IF(W120&lt;&gt;"",W120,IF(U120="Helmond",IF(COUNTIFS(RC_Lane,B120,RC_Band,E120,RC_Transit,"&lt;&gt;")=0,"",SUMIFS(RC_Transit,RC_Lane,B120,RC_Band,E120)),IF(U120="Other","",IF(INDEX(RS_Transit,MATCH(B120,RS_Lane,0))="","",INDEX(RS_Transit,MATCH(B120,RS_Lane,0))))))</f>
        <v/>
      </c>
      <c r="P120" s="140" t="n"/>
      <c r="Q120" s="84">
        <f>IF(P120&lt;&gt;"",P120,IF(O120="","",WORKDAY.INTL(L120,ROUNDUP(O120,0),INDEX(LR_Code,MATCH(B120,LR_Lane,0)),INDEX(DH_Table,0,MATCH(B120&amp;"*",DH_Head,0)))))</f>
        <v/>
      </c>
      <c r="R120" s="100">
        <f>IF(Q120="","",IF(Q120&lt;=N120,"Yes","No"))</f>
        <v/>
      </c>
      <c r="S120" s="52">
        <f>IF(Q120="","",IF(Q120&lt;=N120,0,NETWORKDAYS.INTL(N120,Q120,INDEX(LR_Code,MATCH(B120,LR_Lane,0)),INDEX(DH_Table,0,MATCH(B120&amp;"*",DH_Head,0)))-1))</f>
        <v/>
      </c>
      <c r="T120" s="127" t="n"/>
      <c r="U120" s="112">
        <f>IF(V120&lt;&gt;"",V120,IF(IFERROR(INDEX(RS_Flag,MATCH(B120,RS_Lane,0)),"")="Yes",IF(IFERROR(INDEX(RS_Loc,MATCH(B120,RS_Lane,0)),"")="","Regional stock",IFERROR(INDEX(RS_Loc,MATCH(B120,RS_Lane,0)),"")),"Helmond"))</f>
        <v/>
      </c>
      <c r="V120" s="141" t="n"/>
      <c r="W120" s="142" t="n"/>
      <c r="X120" s="143" t="n"/>
      <c r="Y120" s="116">
        <f>IF(X120&lt;&gt;"",X120,IF(U120="Helmond",IF(COUNTIFS(RC_Lane,B120,RC_Band,E120,RC_CostPS,"&gt;0")=0,"",SUMIFS(RC_CostPS,RC_Lane,B120,RC_Band,E120)*(1-SUMIFS(RC_Disc,RC_Lane,B120,RC_Band,E120))),IF(U120="Other","",IF(INDEX(RS_Rate,MATCH(B120,RS_Lane,0))="","",INDEX(RS_Rate,MATCH(B120,RS_Lane,0))))))</f>
        <v/>
      </c>
    </row>
    <row r="121">
      <c r="A121" s="95" t="inlineStr">
        <is>
          <t>B-117</t>
        </is>
      </c>
      <c r="B121" s="112" t="inlineStr">
        <is>
          <t>L04</t>
        </is>
      </c>
      <c r="C121" s="101" t="inlineStr">
        <is>
          <t>Qatar</t>
        </is>
      </c>
      <c r="D121" s="101" t="inlineStr">
        <is>
          <t>Doha</t>
        </is>
      </c>
      <c r="E121" s="101" t="inlineStr">
        <is>
          <t>B2  30 to 100 kg</t>
        </is>
      </c>
      <c r="F121" s="123" t="n">
        <v>55.3</v>
      </c>
      <c r="G121" s="86">
        <f>F121*0.006477</f>
        <v/>
      </c>
      <c r="H121" s="123">
        <f>F121*1.079436</f>
        <v/>
      </c>
      <c r="I121" s="122">
        <f>MAX(1,ROUNDUP(G121/0.096,0))</f>
        <v/>
      </c>
      <c r="J121" s="84" t="n">
        <v>46528</v>
      </c>
      <c r="K121" s="87">
        <f>J121-WEEKDAY(J121,2)+1</f>
        <v/>
      </c>
      <c r="L121" s="84">
        <f>J121</f>
        <v/>
      </c>
      <c r="M121" s="52">
        <f>INDEX(LR_Target,MATCH(B121,LR_Lane,0))</f>
        <v/>
      </c>
      <c r="N121" s="84">
        <f>WORKDAY.INTL(L121,M121,INDEX(LR_Code,MATCH(B121,LR_Lane,0)),INDEX(DH_Table,0,MATCH(B121&amp;"*",DH_Head,0)))</f>
        <v/>
      </c>
      <c r="O121" s="65">
        <f>IF(W121&lt;&gt;"",W121,IF(U121="Helmond",IF(COUNTIFS(RC_Lane,B121,RC_Band,E121,RC_Transit,"&lt;&gt;")=0,"",SUMIFS(RC_Transit,RC_Lane,B121,RC_Band,E121)),IF(U121="Other","",IF(INDEX(RS_Transit,MATCH(B121,RS_Lane,0))="","",INDEX(RS_Transit,MATCH(B121,RS_Lane,0))))))</f>
        <v/>
      </c>
      <c r="P121" s="140" t="n"/>
      <c r="Q121" s="84">
        <f>IF(P121&lt;&gt;"",P121,IF(O121="","",WORKDAY.INTL(L121,ROUNDUP(O121,0),INDEX(LR_Code,MATCH(B121,LR_Lane,0)),INDEX(DH_Table,0,MATCH(B121&amp;"*",DH_Head,0)))))</f>
        <v/>
      </c>
      <c r="R121" s="100">
        <f>IF(Q121="","",IF(Q121&lt;=N121,"Yes","No"))</f>
        <v/>
      </c>
      <c r="S121" s="52">
        <f>IF(Q121="","",IF(Q121&lt;=N121,0,NETWORKDAYS.INTL(N121,Q121,INDEX(LR_Code,MATCH(B121,LR_Lane,0)),INDEX(DH_Table,0,MATCH(B121&amp;"*",DH_Head,0)))-1))</f>
        <v/>
      </c>
      <c r="T121" s="127" t="n"/>
      <c r="U121" s="112">
        <f>IF(V121&lt;&gt;"",V121,IF(IFERROR(INDEX(RS_Flag,MATCH(B121,RS_Lane,0)),"")="Yes",IF(IFERROR(INDEX(RS_Loc,MATCH(B121,RS_Lane,0)),"")="","Regional stock",IFERROR(INDEX(RS_Loc,MATCH(B121,RS_Lane,0)),"")),"Helmond"))</f>
        <v/>
      </c>
      <c r="V121" s="141" t="n"/>
      <c r="W121" s="142" t="n"/>
      <c r="X121" s="143" t="n"/>
      <c r="Y121" s="116">
        <f>IF(X121&lt;&gt;"",X121,IF(U121="Helmond",IF(COUNTIFS(RC_Lane,B121,RC_Band,E121,RC_CostPS,"&gt;0")=0,"",SUMIFS(RC_CostPS,RC_Lane,B121,RC_Band,E121)*(1-SUMIFS(RC_Disc,RC_Lane,B121,RC_Band,E121))),IF(U121="Other","",IF(INDEX(RS_Rate,MATCH(B121,RS_Lane,0))="","",INDEX(RS_Rate,MATCH(B121,RS_Lane,0))))))</f>
        <v/>
      </c>
    </row>
    <row r="122">
      <c r="A122" s="95" t="inlineStr">
        <is>
          <t>B-118</t>
        </is>
      </c>
      <c r="B122" s="112" t="inlineStr">
        <is>
          <t>L01</t>
        </is>
      </c>
      <c r="C122" s="101" t="inlineStr">
        <is>
          <t>Saudi Arabia</t>
        </is>
      </c>
      <c r="D122" s="101" t="inlineStr">
        <is>
          <t>Riyadh</t>
        </is>
      </c>
      <c r="E122" s="101" t="inlineStr">
        <is>
          <t>B1  0 to 30 kg</t>
        </is>
      </c>
      <c r="F122" s="123" t="n">
        <v>12.5</v>
      </c>
      <c r="G122" s="86">
        <f>F122*0.006477</f>
        <v/>
      </c>
      <c r="H122" s="123">
        <f>F122*1.079436</f>
        <v/>
      </c>
      <c r="I122" s="122">
        <f>MAX(1,ROUNDUP(G122/0.096,0))</f>
        <v/>
      </c>
      <c r="J122" s="84" t="n">
        <v>46531</v>
      </c>
      <c r="K122" s="87">
        <f>J122-WEEKDAY(J122,2)+1</f>
        <v/>
      </c>
      <c r="L122" s="84">
        <f>J122</f>
        <v/>
      </c>
      <c r="M122" s="52">
        <f>INDEX(LR_Target,MATCH(B122,LR_Lane,0))</f>
        <v/>
      </c>
      <c r="N122" s="84">
        <f>WORKDAY.INTL(L122,M122,INDEX(LR_Code,MATCH(B122,LR_Lane,0)),INDEX(DH_Table,0,MATCH(B122&amp;"*",DH_Head,0)))</f>
        <v/>
      </c>
      <c r="O122" s="65">
        <f>IF(W122&lt;&gt;"",W122,IF(U122="Helmond",IF(COUNTIFS(RC_Lane,B122,RC_Band,E122,RC_Transit,"&lt;&gt;")=0,"",SUMIFS(RC_Transit,RC_Lane,B122,RC_Band,E122)),IF(U122="Other","",IF(INDEX(RS_Transit,MATCH(B122,RS_Lane,0))="","",INDEX(RS_Transit,MATCH(B122,RS_Lane,0))))))</f>
        <v/>
      </c>
      <c r="P122" s="140" t="n"/>
      <c r="Q122" s="84">
        <f>IF(P122&lt;&gt;"",P122,IF(O122="","",WORKDAY.INTL(L122,ROUNDUP(O122,0),INDEX(LR_Code,MATCH(B122,LR_Lane,0)),INDEX(DH_Table,0,MATCH(B122&amp;"*",DH_Head,0)))))</f>
        <v/>
      </c>
      <c r="R122" s="100">
        <f>IF(Q122="","",IF(Q122&lt;=N122,"Yes","No"))</f>
        <v/>
      </c>
      <c r="S122" s="52">
        <f>IF(Q122="","",IF(Q122&lt;=N122,0,NETWORKDAYS.INTL(N122,Q122,INDEX(LR_Code,MATCH(B122,LR_Lane,0)),INDEX(DH_Table,0,MATCH(B122&amp;"*",DH_Head,0)))-1))</f>
        <v/>
      </c>
      <c r="T122" s="127" t="n"/>
      <c r="U122" s="112">
        <f>IF(V122&lt;&gt;"",V122,IF(IFERROR(INDEX(RS_Flag,MATCH(B122,RS_Lane,0)),"")="Yes",IF(IFERROR(INDEX(RS_Loc,MATCH(B122,RS_Lane,0)),"")="","Regional stock",IFERROR(INDEX(RS_Loc,MATCH(B122,RS_Lane,0)),"")),"Helmond"))</f>
        <v/>
      </c>
      <c r="V122" s="141" t="n"/>
      <c r="W122" s="142" t="n"/>
      <c r="X122" s="143" t="n"/>
      <c r="Y122" s="116">
        <f>IF(X122&lt;&gt;"",X122,IF(U122="Helmond",IF(COUNTIFS(RC_Lane,B122,RC_Band,E122,RC_CostPS,"&gt;0")=0,"",SUMIFS(RC_CostPS,RC_Lane,B122,RC_Band,E122)*(1-SUMIFS(RC_Disc,RC_Lane,B122,RC_Band,E122))),IF(U122="Other","",IF(INDEX(RS_Rate,MATCH(B122,RS_Lane,0))="","",INDEX(RS_Rate,MATCH(B122,RS_Lane,0))))))</f>
        <v/>
      </c>
    </row>
    <row r="123">
      <c r="A123" s="95" t="inlineStr">
        <is>
          <t>B-119</t>
        </is>
      </c>
      <c r="B123" s="112" t="inlineStr">
        <is>
          <t>L03</t>
        </is>
      </c>
      <c r="C123" s="101" t="inlineStr">
        <is>
          <t>Kuwait</t>
        </is>
      </c>
      <c r="D123" s="101" t="inlineStr">
        <is>
          <t>Kuwait City</t>
        </is>
      </c>
      <c r="E123" s="101" t="inlineStr">
        <is>
          <t>B3  100 to 500 kg</t>
        </is>
      </c>
      <c r="F123" s="123" t="n">
        <v>420.3</v>
      </c>
      <c r="G123" s="86">
        <f>F123*0.006477</f>
        <v/>
      </c>
      <c r="H123" s="123">
        <f>F123*1.079436</f>
        <v/>
      </c>
      <c r="I123" s="122">
        <f>MAX(1,ROUNDUP(G123/0.096,0))</f>
        <v/>
      </c>
      <c r="J123" s="84" t="n">
        <v>46532</v>
      </c>
      <c r="K123" s="87">
        <f>J123-WEEKDAY(J123,2)+1</f>
        <v/>
      </c>
      <c r="L123" s="84">
        <f>J123</f>
        <v/>
      </c>
      <c r="M123" s="52">
        <f>INDEX(LR_Target,MATCH(B123,LR_Lane,0))</f>
        <v/>
      </c>
      <c r="N123" s="84">
        <f>WORKDAY.INTL(L123,M123,INDEX(LR_Code,MATCH(B123,LR_Lane,0)),INDEX(DH_Table,0,MATCH(B123&amp;"*",DH_Head,0)))</f>
        <v/>
      </c>
      <c r="O123" s="65">
        <f>IF(W123&lt;&gt;"",W123,IF(U123="Helmond",IF(COUNTIFS(RC_Lane,B123,RC_Band,E123,RC_Transit,"&lt;&gt;")=0,"",SUMIFS(RC_Transit,RC_Lane,B123,RC_Band,E123)),IF(U123="Other","",IF(INDEX(RS_Transit,MATCH(B123,RS_Lane,0))="","",INDEX(RS_Transit,MATCH(B123,RS_Lane,0))))))</f>
        <v/>
      </c>
      <c r="P123" s="140" t="n"/>
      <c r="Q123" s="84">
        <f>IF(P123&lt;&gt;"",P123,IF(O123="","",WORKDAY.INTL(L123,ROUNDUP(O123,0),INDEX(LR_Code,MATCH(B123,LR_Lane,0)),INDEX(DH_Table,0,MATCH(B123&amp;"*",DH_Head,0)))))</f>
        <v/>
      </c>
      <c r="R123" s="100">
        <f>IF(Q123="","",IF(Q123&lt;=N123,"Yes","No"))</f>
        <v/>
      </c>
      <c r="S123" s="52">
        <f>IF(Q123="","",IF(Q123&lt;=N123,0,NETWORKDAYS.INTL(N123,Q123,INDEX(LR_Code,MATCH(B123,LR_Lane,0)),INDEX(DH_Table,0,MATCH(B123&amp;"*",DH_Head,0)))-1))</f>
        <v/>
      </c>
      <c r="T123" s="127" t="n"/>
      <c r="U123" s="112">
        <f>IF(V123&lt;&gt;"",V123,IF(IFERROR(INDEX(RS_Flag,MATCH(B123,RS_Lane,0)),"")="Yes",IF(IFERROR(INDEX(RS_Loc,MATCH(B123,RS_Lane,0)),"")="","Regional stock",IFERROR(INDEX(RS_Loc,MATCH(B123,RS_Lane,0)),"")),"Helmond"))</f>
        <v/>
      </c>
      <c r="V123" s="141" t="n"/>
      <c r="W123" s="142" t="n"/>
      <c r="X123" s="143" t="n"/>
      <c r="Y123" s="116">
        <f>IF(X123&lt;&gt;"",X123,IF(U123="Helmond",IF(COUNTIFS(RC_Lane,B123,RC_Band,E123,RC_CostPS,"&gt;0")=0,"",SUMIFS(RC_CostPS,RC_Lane,B123,RC_Band,E123)*(1-SUMIFS(RC_Disc,RC_Lane,B123,RC_Band,E123))),IF(U123="Other","",IF(INDEX(RS_Rate,MATCH(B123,RS_Lane,0))="","",INDEX(RS_Rate,MATCH(B123,RS_Lane,0))))))</f>
        <v/>
      </c>
    </row>
    <row r="124">
      <c r="A124" s="95" t="inlineStr">
        <is>
          <t>B-120</t>
        </is>
      </c>
      <c r="B124" s="112" t="inlineStr">
        <is>
          <t>L05</t>
        </is>
      </c>
      <c r="C124" s="101" t="inlineStr">
        <is>
          <t>Türkiye</t>
        </is>
      </c>
      <c r="D124" s="101" t="inlineStr">
        <is>
          <t>Istanbul</t>
        </is>
      </c>
      <c r="E124" s="101" t="inlineStr">
        <is>
          <t>B3  100 to 500 kg</t>
        </is>
      </c>
      <c r="F124" s="123" t="n">
        <v>290.6</v>
      </c>
      <c r="G124" s="86">
        <f>F124*0.006477</f>
        <v/>
      </c>
      <c r="H124" s="123">
        <f>F124*1.079436</f>
        <v/>
      </c>
      <c r="I124" s="122">
        <f>MAX(1,ROUNDUP(G124/0.096,0))</f>
        <v/>
      </c>
      <c r="J124" s="84" t="n">
        <v>46532</v>
      </c>
      <c r="K124" s="87">
        <f>J124-WEEKDAY(J124,2)+1</f>
        <v/>
      </c>
      <c r="L124" s="84">
        <f>J124</f>
        <v/>
      </c>
      <c r="M124" s="52">
        <f>INDEX(LR_Target,MATCH(B124,LR_Lane,0))</f>
        <v/>
      </c>
      <c r="N124" s="84">
        <f>WORKDAY.INTL(L124,M124,INDEX(LR_Code,MATCH(B124,LR_Lane,0)),INDEX(DH_Table,0,MATCH(B124&amp;"*",DH_Head,0)))</f>
        <v/>
      </c>
      <c r="O124" s="65">
        <f>IF(W124&lt;&gt;"",W124,IF(U124="Helmond",IF(COUNTIFS(RC_Lane,B124,RC_Band,E124,RC_Transit,"&lt;&gt;")=0,"",SUMIFS(RC_Transit,RC_Lane,B124,RC_Band,E124)),IF(U124="Other","",IF(INDEX(RS_Transit,MATCH(B124,RS_Lane,0))="","",INDEX(RS_Transit,MATCH(B124,RS_Lane,0))))))</f>
        <v/>
      </c>
      <c r="P124" s="140" t="n"/>
      <c r="Q124" s="84">
        <f>IF(P124&lt;&gt;"",P124,IF(O124="","",WORKDAY.INTL(L124,ROUNDUP(O124,0),INDEX(LR_Code,MATCH(B124,LR_Lane,0)),INDEX(DH_Table,0,MATCH(B124&amp;"*",DH_Head,0)))))</f>
        <v/>
      </c>
      <c r="R124" s="100">
        <f>IF(Q124="","",IF(Q124&lt;=N124,"Yes","No"))</f>
        <v/>
      </c>
      <c r="S124" s="52">
        <f>IF(Q124="","",IF(Q124&lt;=N124,0,NETWORKDAYS.INTL(N124,Q124,INDEX(LR_Code,MATCH(B124,LR_Lane,0)),INDEX(DH_Table,0,MATCH(B124&amp;"*",DH_Head,0)))-1))</f>
        <v/>
      </c>
      <c r="T124" s="127" t="n"/>
      <c r="U124" s="112">
        <f>IF(V124&lt;&gt;"",V124,IF(IFERROR(INDEX(RS_Flag,MATCH(B124,RS_Lane,0)),"")="Yes",IF(IFERROR(INDEX(RS_Loc,MATCH(B124,RS_Lane,0)),"")="","Regional stock",IFERROR(INDEX(RS_Loc,MATCH(B124,RS_Lane,0)),"")),"Helmond"))</f>
        <v/>
      </c>
      <c r="V124" s="141" t="n"/>
      <c r="W124" s="142" t="n"/>
      <c r="X124" s="143" t="n"/>
      <c r="Y124" s="116">
        <f>IF(X124&lt;&gt;"",X124,IF(U124="Helmond",IF(COUNTIFS(RC_Lane,B124,RC_Band,E124,RC_CostPS,"&gt;0")=0,"",SUMIFS(RC_CostPS,RC_Lane,B124,RC_Band,E124)*(1-SUMIFS(RC_Disc,RC_Lane,B124,RC_Band,E124))),IF(U124="Other","",IF(INDEX(RS_Rate,MATCH(B124,RS_Lane,0))="","",INDEX(RS_Rate,MATCH(B124,RS_Lane,0))))))</f>
        <v/>
      </c>
    </row>
    <row r="125">
      <c r="A125" s="95" t="inlineStr">
        <is>
          <t>B-121</t>
        </is>
      </c>
      <c r="B125" s="112" t="inlineStr">
        <is>
          <t>L01</t>
        </is>
      </c>
      <c r="C125" s="101" t="inlineStr">
        <is>
          <t>Saudi Arabia</t>
        </is>
      </c>
      <c r="D125" s="101" t="inlineStr">
        <is>
          <t>Riyadh</t>
        </is>
      </c>
      <c r="E125" s="101" t="inlineStr">
        <is>
          <t>B4  500 to 2,000 kg</t>
        </is>
      </c>
      <c r="F125" s="123" t="n">
        <v>796.6</v>
      </c>
      <c r="G125" s="86">
        <f>F125*0.006477</f>
        <v/>
      </c>
      <c r="H125" s="123">
        <f>F125*1.079436</f>
        <v/>
      </c>
      <c r="I125" s="122">
        <f>MAX(1,ROUNDUP(G125/0.096,0))</f>
        <v/>
      </c>
      <c r="J125" s="84" t="n">
        <v>46533</v>
      </c>
      <c r="K125" s="87">
        <f>J125-WEEKDAY(J125,2)+1</f>
        <v/>
      </c>
      <c r="L125" s="84">
        <f>J125</f>
        <v/>
      </c>
      <c r="M125" s="52">
        <f>INDEX(LR_Target,MATCH(B125,LR_Lane,0))</f>
        <v/>
      </c>
      <c r="N125" s="84">
        <f>WORKDAY.INTL(L125,M125,INDEX(LR_Code,MATCH(B125,LR_Lane,0)),INDEX(DH_Table,0,MATCH(B125&amp;"*",DH_Head,0)))</f>
        <v/>
      </c>
      <c r="O125" s="65">
        <f>IF(W125&lt;&gt;"",W125,IF(U125="Helmond",IF(COUNTIFS(RC_Lane,B125,RC_Band,E125,RC_Transit,"&lt;&gt;")=0,"",SUMIFS(RC_Transit,RC_Lane,B125,RC_Band,E125)),IF(U125="Other","",IF(INDEX(RS_Transit,MATCH(B125,RS_Lane,0))="","",INDEX(RS_Transit,MATCH(B125,RS_Lane,0))))))</f>
        <v/>
      </c>
      <c r="P125" s="140" t="n"/>
      <c r="Q125" s="84">
        <f>IF(P125&lt;&gt;"",P125,IF(O125="","",WORKDAY.INTL(L125,ROUNDUP(O125,0),INDEX(LR_Code,MATCH(B125,LR_Lane,0)),INDEX(DH_Table,0,MATCH(B125&amp;"*",DH_Head,0)))))</f>
        <v/>
      </c>
      <c r="R125" s="100">
        <f>IF(Q125="","",IF(Q125&lt;=N125,"Yes","No"))</f>
        <v/>
      </c>
      <c r="S125" s="52">
        <f>IF(Q125="","",IF(Q125&lt;=N125,0,NETWORKDAYS.INTL(N125,Q125,INDEX(LR_Code,MATCH(B125,LR_Lane,0)),INDEX(DH_Table,0,MATCH(B125&amp;"*",DH_Head,0)))-1))</f>
        <v/>
      </c>
      <c r="T125" s="127" t="n"/>
      <c r="U125" s="112">
        <f>IF(V125&lt;&gt;"",V125,IF(IFERROR(INDEX(RS_Flag,MATCH(B125,RS_Lane,0)),"")="Yes",IF(IFERROR(INDEX(RS_Loc,MATCH(B125,RS_Lane,0)),"")="","Regional stock",IFERROR(INDEX(RS_Loc,MATCH(B125,RS_Lane,0)),"")),"Helmond"))</f>
        <v/>
      </c>
      <c r="V125" s="141" t="n"/>
      <c r="W125" s="142" t="n"/>
      <c r="X125" s="143" t="n"/>
      <c r="Y125" s="116">
        <f>IF(X125&lt;&gt;"",X125,IF(U125="Helmond",IF(COUNTIFS(RC_Lane,B125,RC_Band,E125,RC_CostPS,"&gt;0")=0,"",SUMIFS(RC_CostPS,RC_Lane,B125,RC_Band,E125)*(1-SUMIFS(RC_Disc,RC_Lane,B125,RC_Band,E125))),IF(U125="Other","",IF(INDEX(RS_Rate,MATCH(B125,RS_Lane,0))="","",INDEX(RS_Rate,MATCH(B125,RS_Lane,0))))))</f>
        <v/>
      </c>
    </row>
    <row r="126">
      <c r="A126" s="95" t="inlineStr">
        <is>
          <t>B-122</t>
        </is>
      </c>
      <c r="B126" s="112" t="inlineStr">
        <is>
          <t>L03</t>
        </is>
      </c>
      <c r="C126" s="101" t="inlineStr">
        <is>
          <t>Kuwait</t>
        </is>
      </c>
      <c r="D126" s="101" t="inlineStr">
        <is>
          <t>Kuwait City</t>
        </is>
      </c>
      <c r="E126" s="101" t="inlineStr">
        <is>
          <t>B4  500 to 2,000 kg</t>
        </is>
      </c>
      <c r="F126" s="123" t="n">
        <v>614.1</v>
      </c>
      <c r="G126" s="86">
        <f>F126*0.006477</f>
        <v/>
      </c>
      <c r="H126" s="123">
        <f>F126*1.079436</f>
        <v/>
      </c>
      <c r="I126" s="122">
        <f>MAX(1,ROUNDUP(G126/0.096,0))</f>
        <v/>
      </c>
      <c r="J126" s="84" t="n">
        <v>46533</v>
      </c>
      <c r="K126" s="87">
        <f>J126-WEEKDAY(J126,2)+1</f>
        <v/>
      </c>
      <c r="L126" s="84">
        <f>J126</f>
        <v/>
      </c>
      <c r="M126" s="52">
        <f>INDEX(LR_Target,MATCH(B126,LR_Lane,0))</f>
        <v/>
      </c>
      <c r="N126" s="84">
        <f>WORKDAY.INTL(L126,M126,INDEX(LR_Code,MATCH(B126,LR_Lane,0)),INDEX(DH_Table,0,MATCH(B126&amp;"*",DH_Head,0)))</f>
        <v/>
      </c>
      <c r="O126" s="65">
        <f>IF(W126&lt;&gt;"",W126,IF(U126="Helmond",IF(COUNTIFS(RC_Lane,B126,RC_Band,E126,RC_Transit,"&lt;&gt;")=0,"",SUMIFS(RC_Transit,RC_Lane,B126,RC_Band,E126)),IF(U126="Other","",IF(INDEX(RS_Transit,MATCH(B126,RS_Lane,0))="","",INDEX(RS_Transit,MATCH(B126,RS_Lane,0))))))</f>
        <v/>
      </c>
      <c r="P126" s="140" t="n"/>
      <c r="Q126" s="84">
        <f>IF(P126&lt;&gt;"",P126,IF(O126="","",WORKDAY.INTL(L126,ROUNDUP(O126,0),INDEX(LR_Code,MATCH(B126,LR_Lane,0)),INDEX(DH_Table,0,MATCH(B126&amp;"*",DH_Head,0)))))</f>
        <v/>
      </c>
      <c r="R126" s="100">
        <f>IF(Q126="","",IF(Q126&lt;=N126,"Yes","No"))</f>
        <v/>
      </c>
      <c r="S126" s="52">
        <f>IF(Q126="","",IF(Q126&lt;=N126,0,NETWORKDAYS.INTL(N126,Q126,INDEX(LR_Code,MATCH(B126,LR_Lane,0)),INDEX(DH_Table,0,MATCH(B126&amp;"*",DH_Head,0)))-1))</f>
        <v/>
      </c>
      <c r="T126" s="127" t="n"/>
      <c r="U126" s="112">
        <f>IF(V126&lt;&gt;"",V126,IF(IFERROR(INDEX(RS_Flag,MATCH(B126,RS_Lane,0)),"")="Yes",IF(IFERROR(INDEX(RS_Loc,MATCH(B126,RS_Lane,0)),"")="","Regional stock",IFERROR(INDEX(RS_Loc,MATCH(B126,RS_Lane,0)),"")),"Helmond"))</f>
        <v/>
      </c>
      <c r="V126" s="141" t="n"/>
      <c r="W126" s="142" t="n"/>
      <c r="X126" s="143" t="n"/>
      <c r="Y126" s="116">
        <f>IF(X126&lt;&gt;"",X126,IF(U126="Helmond",IF(COUNTIFS(RC_Lane,B126,RC_Band,E126,RC_CostPS,"&gt;0")=0,"",SUMIFS(RC_CostPS,RC_Lane,B126,RC_Band,E126)*(1-SUMIFS(RC_Disc,RC_Lane,B126,RC_Band,E126))),IF(U126="Other","",IF(INDEX(RS_Rate,MATCH(B126,RS_Lane,0))="","",INDEX(RS_Rate,MATCH(B126,RS_Lane,0))))))</f>
        <v/>
      </c>
    </row>
    <row r="127">
      <c r="A127" s="95" t="inlineStr">
        <is>
          <t>B-123</t>
        </is>
      </c>
      <c r="B127" s="112" t="inlineStr">
        <is>
          <t>L03</t>
        </is>
      </c>
      <c r="C127" s="101" t="inlineStr">
        <is>
          <t>Kuwait</t>
        </is>
      </c>
      <c r="D127" s="101" t="inlineStr">
        <is>
          <t>Kuwait City</t>
        </is>
      </c>
      <c r="E127" s="101" t="inlineStr">
        <is>
          <t>B3  100 to 500 kg</t>
        </is>
      </c>
      <c r="F127" s="123" t="n">
        <v>239.8</v>
      </c>
      <c r="G127" s="86">
        <f>F127*0.006477</f>
        <v/>
      </c>
      <c r="H127" s="123">
        <f>F127*1.079436</f>
        <v/>
      </c>
      <c r="I127" s="122">
        <f>MAX(1,ROUNDUP(G127/0.096,0))</f>
        <v/>
      </c>
      <c r="J127" s="84" t="n">
        <v>46533</v>
      </c>
      <c r="K127" s="87">
        <f>J127-WEEKDAY(J127,2)+1</f>
        <v/>
      </c>
      <c r="L127" s="84">
        <f>J127</f>
        <v/>
      </c>
      <c r="M127" s="52">
        <f>INDEX(LR_Target,MATCH(B127,LR_Lane,0))</f>
        <v/>
      </c>
      <c r="N127" s="84">
        <f>WORKDAY.INTL(L127,M127,INDEX(LR_Code,MATCH(B127,LR_Lane,0)),INDEX(DH_Table,0,MATCH(B127&amp;"*",DH_Head,0)))</f>
        <v/>
      </c>
      <c r="O127" s="65">
        <f>IF(W127&lt;&gt;"",W127,IF(U127="Helmond",IF(COUNTIFS(RC_Lane,B127,RC_Band,E127,RC_Transit,"&lt;&gt;")=0,"",SUMIFS(RC_Transit,RC_Lane,B127,RC_Band,E127)),IF(U127="Other","",IF(INDEX(RS_Transit,MATCH(B127,RS_Lane,0))="","",INDEX(RS_Transit,MATCH(B127,RS_Lane,0))))))</f>
        <v/>
      </c>
      <c r="P127" s="140" t="n"/>
      <c r="Q127" s="84">
        <f>IF(P127&lt;&gt;"",P127,IF(O127="","",WORKDAY.INTL(L127,ROUNDUP(O127,0),INDEX(LR_Code,MATCH(B127,LR_Lane,0)),INDEX(DH_Table,0,MATCH(B127&amp;"*",DH_Head,0)))))</f>
        <v/>
      </c>
      <c r="R127" s="100">
        <f>IF(Q127="","",IF(Q127&lt;=N127,"Yes","No"))</f>
        <v/>
      </c>
      <c r="S127" s="52">
        <f>IF(Q127="","",IF(Q127&lt;=N127,0,NETWORKDAYS.INTL(N127,Q127,INDEX(LR_Code,MATCH(B127,LR_Lane,0)),INDEX(DH_Table,0,MATCH(B127&amp;"*",DH_Head,0)))-1))</f>
        <v/>
      </c>
      <c r="T127" s="127" t="n"/>
      <c r="U127" s="112">
        <f>IF(V127&lt;&gt;"",V127,IF(IFERROR(INDEX(RS_Flag,MATCH(B127,RS_Lane,0)),"")="Yes",IF(IFERROR(INDEX(RS_Loc,MATCH(B127,RS_Lane,0)),"")="","Regional stock",IFERROR(INDEX(RS_Loc,MATCH(B127,RS_Lane,0)),"")),"Helmond"))</f>
        <v/>
      </c>
      <c r="V127" s="141" t="n"/>
      <c r="W127" s="142" t="n"/>
      <c r="X127" s="143" t="n"/>
      <c r="Y127" s="116">
        <f>IF(X127&lt;&gt;"",X127,IF(U127="Helmond",IF(COUNTIFS(RC_Lane,B127,RC_Band,E127,RC_CostPS,"&gt;0")=0,"",SUMIFS(RC_CostPS,RC_Lane,B127,RC_Band,E127)*(1-SUMIFS(RC_Disc,RC_Lane,B127,RC_Band,E127))),IF(U127="Other","",IF(INDEX(RS_Rate,MATCH(B127,RS_Lane,0))="","",INDEX(RS_Rate,MATCH(B127,RS_Lane,0))))))</f>
        <v/>
      </c>
    </row>
    <row r="128">
      <c r="A128" s="95" t="inlineStr">
        <is>
          <t>B-124</t>
        </is>
      </c>
      <c r="B128" s="112" t="inlineStr">
        <is>
          <t>L01</t>
        </is>
      </c>
      <c r="C128" s="101" t="inlineStr">
        <is>
          <t>Saudi Arabia</t>
        </is>
      </c>
      <c r="D128" s="101" t="inlineStr">
        <is>
          <t>Jeddah</t>
        </is>
      </c>
      <c r="E128" s="101" t="inlineStr">
        <is>
          <t>B3  100 to 500 kg</t>
        </is>
      </c>
      <c r="F128" s="123" t="n">
        <v>159.4</v>
      </c>
      <c r="G128" s="86">
        <f>F128*0.006477</f>
        <v/>
      </c>
      <c r="H128" s="123">
        <f>F128*1.079436</f>
        <v/>
      </c>
      <c r="I128" s="122">
        <f>MAX(1,ROUNDUP(G128/0.096,0))</f>
        <v/>
      </c>
      <c r="J128" s="84" t="n">
        <v>46538</v>
      </c>
      <c r="K128" s="87">
        <f>J128-WEEKDAY(J128,2)+1</f>
        <v/>
      </c>
      <c r="L128" s="84">
        <f>J128</f>
        <v/>
      </c>
      <c r="M128" s="52">
        <f>INDEX(LR_Target,MATCH(B128,LR_Lane,0))</f>
        <v/>
      </c>
      <c r="N128" s="84">
        <f>WORKDAY.INTL(L128,M128,INDEX(LR_Code,MATCH(B128,LR_Lane,0)),INDEX(DH_Table,0,MATCH(B128&amp;"*",DH_Head,0)))</f>
        <v/>
      </c>
      <c r="O128" s="65">
        <f>IF(W128&lt;&gt;"",W128,IF(U128="Helmond",IF(COUNTIFS(RC_Lane,B128,RC_Band,E128,RC_Transit,"&lt;&gt;")=0,"",SUMIFS(RC_Transit,RC_Lane,B128,RC_Band,E128)),IF(U128="Other","",IF(INDEX(RS_Transit,MATCH(B128,RS_Lane,0))="","",INDEX(RS_Transit,MATCH(B128,RS_Lane,0))))))</f>
        <v/>
      </c>
      <c r="P128" s="140" t="n"/>
      <c r="Q128" s="84">
        <f>IF(P128&lt;&gt;"",P128,IF(O128="","",WORKDAY.INTL(L128,ROUNDUP(O128,0),INDEX(LR_Code,MATCH(B128,LR_Lane,0)),INDEX(DH_Table,0,MATCH(B128&amp;"*",DH_Head,0)))))</f>
        <v/>
      </c>
      <c r="R128" s="100">
        <f>IF(Q128="","",IF(Q128&lt;=N128,"Yes","No"))</f>
        <v/>
      </c>
      <c r="S128" s="52">
        <f>IF(Q128="","",IF(Q128&lt;=N128,0,NETWORKDAYS.INTL(N128,Q128,INDEX(LR_Code,MATCH(B128,LR_Lane,0)),INDEX(DH_Table,0,MATCH(B128&amp;"*",DH_Head,0)))-1))</f>
        <v/>
      </c>
      <c r="T128" s="127" t="n"/>
      <c r="U128" s="112">
        <f>IF(V128&lt;&gt;"",V128,IF(IFERROR(INDEX(RS_Flag,MATCH(B128,RS_Lane,0)),"")="Yes",IF(IFERROR(INDEX(RS_Loc,MATCH(B128,RS_Lane,0)),"")="","Regional stock",IFERROR(INDEX(RS_Loc,MATCH(B128,RS_Lane,0)),"")),"Helmond"))</f>
        <v/>
      </c>
      <c r="V128" s="141" t="n"/>
      <c r="W128" s="142" t="n"/>
      <c r="X128" s="143" t="n"/>
      <c r="Y128" s="116">
        <f>IF(X128&lt;&gt;"",X128,IF(U128="Helmond",IF(COUNTIFS(RC_Lane,B128,RC_Band,E128,RC_CostPS,"&gt;0")=0,"",SUMIFS(RC_CostPS,RC_Lane,B128,RC_Band,E128)*(1-SUMIFS(RC_Disc,RC_Lane,B128,RC_Band,E128))),IF(U128="Other","",IF(INDEX(RS_Rate,MATCH(B128,RS_Lane,0))="","",INDEX(RS_Rate,MATCH(B128,RS_Lane,0))))))</f>
        <v/>
      </c>
    </row>
    <row r="129">
      <c r="A129" s="95" t="inlineStr">
        <is>
          <t>B-125</t>
        </is>
      </c>
      <c r="B129" s="112" t="inlineStr">
        <is>
          <t>L02</t>
        </is>
      </c>
      <c r="C129" s="101" t="inlineStr">
        <is>
          <t>United Arab Emirates</t>
        </is>
      </c>
      <c r="D129" s="101" t="inlineStr">
        <is>
          <t>Dubai</t>
        </is>
      </c>
      <c r="E129" s="101" t="inlineStr">
        <is>
          <t>B1  0 to 30 kg</t>
        </is>
      </c>
      <c r="F129" s="123" t="n">
        <v>2.9</v>
      </c>
      <c r="G129" s="86">
        <f>F129*0.006477</f>
        <v/>
      </c>
      <c r="H129" s="123">
        <f>F129*1.079436</f>
        <v/>
      </c>
      <c r="I129" s="122">
        <f>MAX(1,ROUNDUP(G129/0.096,0))</f>
        <v/>
      </c>
      <c r="J129" s="84" t="n">
        <v>46538</v>
      </c>
      <c r="K129" s="87">
        <f>J129-WEEKDAY(J129,2)+1</f>
        <v/>
      </c>
      <c r="L129" s="84">
        <f>J129</f>
        <v/>
      </c>
      <c r="M129" s="52">
        <f>INDEX(LR_Target,MATCH(B129,LR_Lane,0))</f>
        <v/>
      </c>
      <c r="N129" s="84">
        <f>WORKDAY.INTL(L129,M129,INDEX(LR_Code,MATCH(B129,LR_Lane,0)),INDEX(DH_Table,0,MATCH(B129&amp;"*",DH_Head,0)))</f>
        <v/>
      </c>
      <c r="O129" s="65">
        <f>IF(W129&lt;&gt;"",W129,IF(U129="Helmond",IF(COUNTIFS(RC_Lane,B129,RC_Band,E129,RC_Transit,"&lt;&gt;")=0,"",SUMIFS(RC_Transit,RC_Lane,B129,RC_Band,E129)),IF(U129="Other","",IF(INDEX(RS_Transit,MATCH(B129,RS_Lane,0))="","",INDEX(RS_Transit,MATCH(B129,RS_Lane,0))))))</f>
        <v/>
      </c>
      <c r="P129" s="140" t="n"/>
      <c r="Q129" s="84">
        <f>IF(P129&lt;&gt;"",P129,IF(O129="","",WORKDAY.INTL(L129,ROUNDUP(O129,0),INDEX(LR_Code,MATCH(B129,LR_Lane,0)),INDEX(DH_Table,0,MATCH(B129&amp;"*",DH_Head,0)))))</f>
        <v/>
      </c>
      <c r="R129" s="100">
        <f>IF(Q129="","",IF(Q129&lt;=N129,"Yes","No"))</f>
        <v/>
      </c>
      <c r="S129" s="52">
        <f>IF(Q129="","",IF(Q129&lt;=N129,0,NETWORKDAYS.INTL(N129,Q129,INDEX(LR_Code,MATCH(B129,LR_Lane,0)),INDEX(DH_Table,0,MATCH(B129&amp;"*",DH_Head,0)))-1))</f>
        <v/>
      </c>
      <c r="T129" s="127" t="n"/>
      <c r="U129" s="112">
        <f>IF(V129&lt;&gt;"",V129,IF(IFERROR(INDEX(RS_Flag,MATCH(B129,RS_Lane,0)),"")="Yes",IF(IFERROR(INDEX(RS_Loc,MATCH(B129,RS_Lane,0)),"")="","Regional stock",IFERROR(INDEX(RS_Loc,MATCH(B129,RS_Lane,0)),"")),"Helmond"))</f>
        <v/>
      </c>
      <c r="V129" s="141" t="n"/>
      <c r="W129" s="142" t="n"/>
      <c r="X129" s="143" t="n"/>
      <c r="Y129" s="116">
        <f>IF(X129&lt;&gt;"",X129,IF(U129="Helmond",IF(COUNTIFS(RC_Lane,B129,RC_Band,E129,RC_CostPS,"&gt;0")=0,"",SUMIFS(RC_CostPS,RC_Lane,B129,RC_Band,E129)*(1-SUMIFS(RC_Disc,RC_Lane,B129,RC_Band,E129))),IF(U129="Other","",IF(INDEX(RS_Rate,MATCH(B129,RS_Lane,0))="","",INDEX(RS_Rate,MATCH(B129,RS_Lane,0))))))</f>
        <v/>
      </c>
    </row>
    <row r="130">
      <c r="A130" s="95" t="inlineStr">
        <is>
          <t>B-126</t>
        </is>
      </c>
      <c r="B130" s="112" t="inlineStr">
        <is>
          <t>L08</t>
        </is>
      </c>
      <c r="C130" s="101" t="inlineStr">
        <is>
          <t>Egypt</t>
        </is>
      </c>
      <c r="D130" s="101" t="inlineStr">
        <is>
          <t>Cairo area</t>
        </is>
      </c>
      <c r="E130" s="101" t="inlineStr">
        <is>
          <t>B1  0 to 30 kg</t>
        </is>
      </c>
      <c r="F130" s="123" t="n">
        <v>14.3</v>
      </c>
      <c r="G130" s="86">
        <f>F130*0.006477</f>
        <v/>
      </c>
      <c r="H130" s="123">
        <f>F130*1.079436</f>
        <v/>
      </c>
      <c r="I130" s="122">
        <f>MAX(1,ROUNDUP(G130/0.096,0))</f>
        <v/>
      </c>
      <c r="J130" s="84" t="n">
        <v>46538</v>
      </c>
      <c r="K130" s="87">
        <f>J130-WEEKDAY(J130,2)+1</f>
        <v/>
      </c>
      <c r="L130" s="84">
        <f>J130</f>
        <v/>
      </c>
      <c r="M130" s="52">
        <f>INDEX(LR_Target,MATCH(B130,LR_Lane,0))</f>
        <v/>
      </c>
      <c r="N130" s="84">
        <f>WORKDAY.INTL(L130,M130,INDEX(LR_Code,MATCH(B130,LR_Lane,0)),INDEX(DH_Table,0,MATCH(B130&amp;"*",DH_Head,0)))</f>
        <v/>
      </c>
      <c r="O130" s="65">
        <f>IF(W130&lt;&gt;"",W130,IF(U130="Helmond",IF(COUNTIFS(RC_Lane,B130,RC_Band,E130,RC_Transit,"&lt;&gt;")=0,"",SUMIFS(RC_Transit,RC_Lane,B130,RC_Band,E130)),IF(U130="Other","",IF(INDEX(RS_Transit,MATCH(B130,RS_Lane,0))="","",INDEX(RS_Transit,MATCH(B130,RS_Lane,0))))))</f>
        <v/>
      </c>
      <c r="P130" s="140" t="n"/>
      <c r="Q130" s="84">
        <f>IF(P130&lt;&gt;"",P130,IF(O130="","",WORKDAY.INTL(L130,ROUNDUP(O130,0),INDEX(LR_Code,MATCH(B130,LR_Lane,0)),INDEX(DH_Table,0,MATCH(B130&amp;"*",DH_Head,0)))))</f>
        <v/>
      </c>
      <c r="R130" s="100">
        <f>IF(Q130="","",IF(Q130&lt;=N130,"Yes","No"))</f>
        <v/>
      </c>
      <c r="S130" s="52">
        <f>IF(Q130="","",IF(Q130&lt;=N130,0,NETWORKDAYS.INTL(N130,Q130,INDEX(LR_Code,MATCH(B130,LR_Lane,0)),INDEX(DH_Table,0,MATCH(B130&amp;"*",DH_Head,0)))-1))</f>
        <v/>
      </c>
      <c r="T130" s="127" t="n"/>
      <c r="U130" s="112">
        <f>IF(V130&lt;&gt;"",V130,IF(IFERROR(INDEX(RS_Flag,MATCH(B130,RS_Lane,0)),"")="Yes",IF(IFERROR(INDEX(RS_Loc,MATCH(B130,RS_Lane,0)),"")="","Regional stock",IFERROR(INDEX(RS_Loc,MATCH(B130,RS_Lane,0)),"")),"Helmond"))</f>
        <v/>
      </c>
      <c r="V130" s="141" t="n"/>
      <c r="W130" s="142" t="n"/>
      <c r="X130" s="143" t="n"/>
      <c r="Y130" s="116">
        <f>IF(X130&lt;&gt;"",X130,IF(U130="Helmond",IF(COUNTIFS(RC_Lane,B130,RC_Band,E130,RC_CostPS,"&gt;0")=0,"",SUMIFS(RC_CostPS,RC_Lane,B130,RC_Band,E130)*(1-SUMIFS(RC_Disc,RC_Lane,B130,RC_Band,E130))),IF(U130="Other","",IF(INDEX(RS_Rate,MATCH(B130,RS_Lane,0))="","",INDEX(RS_Rate,MATCH(B130,RS_Lane,0))))))</f>
        <v/>
      </c>
    </row>
    <row r="131">
      <c r="A131" s="95" t="inlineStr">
        <is>
          <t>B-127</t>
        </is>
      </c>
      <c r="B131" s="112" t="inlineStr">
        <is>
          <t>L01</t>
        </is>
      </c>
      <c r="C131" s="101" t="inlineStr">
        <is>
          <t>Saudi Arabia</t>
        </is>
      </c>
      <c r="D131" s="101" t="inlineStr">
        <is>
          <t>Jeddah</t>
        </is>
      </c>
      <c r="E131" s="101" t="inlineStr">
        <is>
          <t>B3  100 to 500 kg</t>
        </is>
      </c>
      <c r="F131" s="123" t="n">
        <v>331</v>
      </c>
      <c r="G131" s="86">
        <f>F131*0.006477</f>
        <v/>
      </c>
      <c r="H131" s="123">
        <f>F131*1.079436</f>
        <v/>
      </c>
      <c r="I131" s="122">
        <f>MAX(1,ROUNDUP(G131/0.096,0))</f>
        <v/>
      </c>
      <c r="J131" s="84" t="n">
        <v>46540</v>
      </c>
      <c r="K131" s="87">
        <f>J131-WEEKDAY(J131,2)+1</f>
        <v/>
      </c>
      <c r="L131" s="84">
        <f>J131</f>
        <v/>
      </c>
      <c r="M131" s="52">
        <f>INDEX(LR_Target,MATCH(B131,LR_Lane,0))</f>
        <v/>
      </c>
      <c r="N131" s="84">
        <f>WORKDAY.INTL(L131,M131,INDEX(LR_Code,MATCH(B131,LR_Lane,0)),INDEX(DH_Table,0,MATCH(B131&amp;"*",DH_Head,0)))</f>
        <v/>
      </c>
      <c r="O131" s="65">
        <f>IF(W131&lt;&gt;"",W131,IF(U131="Helmond",IF(COUNTIFS(RC_Lane,B131,RC_Band,E131,RC_Transit,"&lt;&gt;")=0,"",SUMIFS(RC_Transit,RC_Lane,B131,RC_Band,E131)),IF(U131="Other","",IF(INDEX(RS_Transit,MATCH(B131,RS_Lane,0))="","",INDEX(RS_Transit,MATCH(B131,RS_Lane,0))))))</f>
        <v/>
      </c>
      <c r="P131" s="140" t="n"/>
      <c r="Q131" s="84">
        <f>IF(P131&lt;&gt;"",P131,IF(O131="","",WORKDAY.INTL(L131,ROUNDUP(O131,0),INDEX(LR_Code,MATCH(B131,LR_Lane,0)),INDEX(DH_Table,0,MATCH(B131&amp;"*",DH_Head,0)))))</f>
        <v/>
      </c>
      <c r="R131" s="100">
        <f>IF(Q131="","",IF(Q131&lt;=N131,"Yes","No"))</f>
        <v/>
      </c>
      <c r="S131" s="52">
        <f>IF(Q131="","",IF(Q131&lt;=N131,0,NETWORKDAYS.INTL(N131,Q131,INDEX(LR_Code,MATCH(B131,LR_Lane,0)),INDEX(DH_Table,0,MATCH(B131&amp;"*",DH_Head,0)))-1))</f>
        <v/>
      </c>
      <c r="T131" s="127" t="n"/>
      <c r="U131" s="112">
        <f>IF(V131&lt;&gt;"",V131,IF(IFERROR(INDEX(RS_Flag,MATCH(B131,RS_Lane,0)),"")="Yes",IF(IFERROR(INDEX(RS_Loc,MATCH(B131,RS_Lane,0)),"")="","Regional stock",IFERROR(INDEX(RS_Loc,MATCH(B131,RS_Lane,0)),"")),"Helmond"))</f>
        <v/>
      </c>
      <c r="V131" s="141" t="n"/>
      <c r="W131" s="142" t="n"/>
      <c r="X131" s="143" t="n"/>
      <c r="Y131" s="116">
        <f>IF(X131&lt;&gt;"",X131,IF(U131="Helmond",IF(COUNTIFS(RC_Lane,B131,RC_Band,E131,RC_CostPS,"&gt;0")=0,"",SUMIFS(RC_CostPS,RC_Lane,B131,RC_Band,E131)*(1-SUMIFS(RC_Disc,RC_Lane,B131,RC_Band,E131))),IF(U131="Other","",IF(INDEX(RS_Rate,MATCH(B131,RS_Lane,0))="","",INDEX(RS_Rate,MATCH(B131,RS_Lane,0))))))</f>
        <v/>
      </c>
    </row>
    <row r="132">
      <c r="A132" s="95" t="inlineStr">
        <is>
          <t>B-128</t>
        </is>
      </c>
      <c r="B132" s="112" t="inlineStr">
        <is>
          <t>L02</t>
        </is>
      </c>
      <c r="C132" s="101" t="inlineStr">
        <is>
          <t>United Arab Emirates</t>
        </is>
      </c>
      <c r="D132" s="101" t="inlineStr">
        <is>
          <t>Dubai</t>
        </is>
      </c>
      <c r="E132" s="101" t="inlineStr">
        <is>
          <t>B1  0 to 30 kg</t>
        </is>
      </c>
      <c r="F132" s="123" t="n">
        <v>10.3</v>
      </c>
      <c r="G132" s="86">
        <f>F132*0.006477</f>
        <v/>
      </c>
      <c r="H132" s="123">
        <f>F132*1.079436</f>
        <v/>
      </c>
      <c r="I132" s="122">
        <f>MAX(1,ROUNDUP(G132/0.096,0))</f>
        <v/>
      </c>
      <c r="J132" s="84" t="n">
        <v>46540</v>
      </c>
      <c r="K132" s="87">
        <f>J132-WEEKDAY(J132,2)+1</f>
        <v/>
      </c>
      <c r="L132" s="84">
        <f>J132</f>
        <v/>
      </c>
      <c r="M132" s="52">
        <f>INDEX(LR_Target,MATCH(B132,LR_Lane,0))</f>
        <v/>
      </c>
      <c r="N132" s="84">
        <f>WORKDAY.INTL(L132,M132,INDEX(LR_Code,MATCH(B132,LR_Lane,0)),INDEX(DH_Table,0,MATCH(B132&amp;"*",DH_Head,0)))</f>
        <v/>
      </c>
      <c r="O132" s="65">
        <f>IF(W132&lt;&gt;"",W132,IF(U132="Helmond",IF(COUNTIFS(RC_Lane,B132,RC_Band,E132,RC_Transit,"&lt;&gt;")=0,"",SUMIFS(RC_Transit,RC_Lane,B132,RC_Band,E132)),IF(U132="Other","",IF(INDEX(RS_Transit,MATCH(B132,RS_Lane,0))="","",INDEX(RS_Transit,MATCH(B132,RS_Lane,0))))))</f>
        <v/>
      </c>
      <c r="P132" s="140" t="n"/>
      <c r="Q132" s="84">
        <f>IF(P132&lt;&gt;"",P132,IF(O132="","",WORKDAY.INTL(L132,ROUNDUP(O132,0),INDEX(LR_Code,MATCH(B132,LR_Lane,0)),INDEX(DH_Table,0,MATCH(B132&amp;"*",DH_Head,0)))))</f>
        <v/>
      </c>
      <c r="R132" s="100">
        <f>IF(Q132="","",IF(Q132&lt;=N132,"Yes","No"))</f>
        <v/>
      </c>
      <c r="S132" s="52">
        <f>IF(Q132="","",IF(Q132&lt;=N132,0,NETWORKDAYS.INTL(N132,Q132,INDEX(LR_Code,MATCH(B132,LR_Lane,0)),INDEX(DH_Table,0,MATCH(B132&amp;"*",DH_Head,0)))-1))</f>
        <v/>
      </c>
      <c r="T132" s="127" t="n"/>
      <c r="U132" s="112">
        <f>IF(V132&lt;&gt;"",V132,IF(IFERROR(INDEX(RS_Flag,MATCH(B132,RS_Lane,0)),"")="Yes",IF(IFERROR(INDEX(RS_Loc,MATCH(B132,RS_Lane,0)),"")="","Regional stock",IFERROR(INDEX(RS_Loc,MATCH(B132,RS_Lane,0)),"")),"Helmond"))</f>
        <v/>
      </c>
      <c r="V132" s="141" t="n"/>
      <c r="W132" s="142" t="n"/>
      <c r="X132" s="143" t="n"/>
      <c r="Y132" s="116">
        <f>IF(X132&lt;&gt;"",X132,IF(U132="Helmond",IF(COUNTIFS(RC_Lane,B132,RC_Band,E132,RC_CostPS,"&gt;0")=0,"",SUMIFS(RC_CostPS,RC_Lane,B132,RC_Band,E132)*(1-SUMIFS(RC_Disc,RC_Lane,B132,RC_Band,E132))),IF(U132="Other","",IF(INDEX(RS_Rate,MATCH(B132,RS_Lane,0))="","",INDEX(RS_Rate,MATCH(B132,RS_Lane,0))))))</f>
        <v/>
      </c>
    </row>
    <row r="133">
      <c r="A133" s="95" t="inlineStr">
        <is>
          <t>B-129</t>
        </is>
      </c>
      <c r="B133" s="112" t="inlineStr">
        <is>
          <t>L05</t>
        </is>
      </c>
      <c r="C133" s="101" t="inlineStr">
        <is>
          <t>Türkiye</t>
        </is>
      </c>
      <c r="D133" s="101" t="inlineStr">
        <is>
          <t>Istanbul</t>
        </is>
      </c>
      <c r="E133" s="101" t="inlineStr">
        <is>
          <t>B1  0 to 30 kg</t>
        </is>
      </c>
      <c r="F133" s="123" t="n">
        <v>14.9</v>
      </c>
      <c r="G133" s="86">
        <f>F133*0.006477</f>
        <v/>
      </c>
      <c r="H133" s="123">
        <f>F133*1.079436</f>
        <v/>
      </c>
      <c r="I133" s="122">
        <f>MAX(1,ROUNDUP(G133/0.096,0))</f>
        <v/>
      </c>
      <c r="J133" s="84" t="n">
        <v>46540</v>
      </c>
      <c r="K133" s="87">
        <f>J133-WEEKDAY(J133,2)+1</f>
        <v/>
      </c>
      <c r="L133" s="84">
        <f>J133</f>
        <v/>
      </c>
      <c r="M133" s="52">
        <f>INDEX(LR_Target,MATCH(B133,LR_Lane,0))</f>
        <v/>
      </c>
      <c r="N133" s="84">
        <f>WORKDAY.INTL(L133,M133,INDEX(LR_Code,MATCH(B133,LR_Lane,0)),INDEX(DH_Table,0,MATCH(B133&amp;"*",DH_Head,0)))</f>
        <v/>
      </c>
      <c r="O133" s="65">
        <f>IF(W133&lt;&gt;"",W133,IF(U133="Helmond",IF(COUNTIFS(RC_Lane,B133,RC_Band,E133,RC_Transit,"&lt;&gt;")=0,"",SUMIFS(RC_Transit,RC_Lane,B133,RC_Band,E133)),IF(U133="Other","",IF(INDEX(RS_Transit,MATCH(B133,RS_Lane,0))="","",INDEX(RS_Transit,MATCH(B133,RS_Lane,0))))))</f>
        <v/>
      </c>
      <c r="P133" s="140" t="n"/>
      <c r="Q133" s="84">
        <f>IF(P133&lt;&gt;"",P133,IF(O133="","",WORKDAY.INTL(L133,ROUNDUP(O133,0),INDEX(LR_Code,MATCH(B133,LR_Lane,0)),INDEX(DH_Table,0,MATCH(B133&amp;"*",DH_Head,0)))))</f>
        <v/>
      </c>
      <c r="R133" s="100">
        <f>IF(Q133="","",IF(Q133&lt;=N133,"Yes","No"))</f>
        <v/>
      </c>
      <c r="S133" s="52">
        <f>IF(Q133="","",IF(Q133&lt;=N133,0,NETWORKDAYS.INTL(N133,Q133,INDEX(LR_Code,MATCH(B133,LR_Lane,0)),INDEX(DH_Table,0,MATCH(B133&amp;"*",DH_Head,0)))-1))</f>
        <v/>
      </c>
      <c r="T133" s="127" t="n"/>
      <c r="U133" s="112">
        <f>IF(V133&lt;&gt;"",V133,IF(IFERROR(INDEX(RS_Flag,MATCH(B133,RS_Lane,0)),"")="Yes",IF(IFERROR(INDEX(RS_Loc,MATCH(B133,RS_Lane,0)),"")="","Regional stock",IFERROR(INDEX(RS_Loc,MATCH(B133,RS_Lane,0)),"")),"Helmond"))</f>
        <v/>
      </c>
      <c r="V133" s="141" t="n"/>
      <c r="W133" s="142" t="n"/>
      <c r="X133" s="143" t="n"/>
      <c r="Y133" s="116">
        <f>IF(X133&lt;&gt;"",X133,IF(U133="Helmond",IF(COUNTIFS(RC_Lane,B133,RC_Band,E133,RC_CostPS,"&gt;0")=0,"",SUMIFS(RC_CostPS,RC_Lane,B133,RC_Band,E133)*(1-SUMIFS(RC_Disc,RC_Lane,B133,RC_Band,E133))),IF(U133="Other","",IF(INDEX(RS_Rate,MATCH(B133,RS_Lane,0))="","",INDEX(RS_Rate,MATCH(B133,RS_Lane,0))))))</f>
        <v/>
      </c>
    </row>
    <row r="134">
      <c r="A134" s="95" t="inlineStr">
        <is>
          <t>B-130</t>
        </is>
      </c>
      <c r="B134" s="112" t="inlineStr">
        <is>
          <t>L05</t>
        </is>
      </c>
      <c r="C134" s="101" t="inlineStr">
        <is>
          <t>Türkiye</t>
        </is>
      </c>
      <c r="D134" s="101" t="inlineStr">
        <is>
          <t>Istanbul</t>
        </is>
      </c>
      <c r="E134" s="101" t="inlineStr">
        <is>
          <t>B2  30 to 100 kg</t>
        </is>
      </c>
      <c r="F134" s="123" t="n">
        <v>42.1</v>
      </c>
      <c r="G134" s="86">
        <f>F134*0.006477</f>
        <v/>
      </c>
      <c r="H134" s="123">
        <f>F134*1.079436</f>
        <v/>
      </c>
      <c r="I134" s="122">
        <f>MAX(1,ROUNDUP(G134/0.096,0))</f>
        <v/>
      </c>
      <c r="J134" s="84" t="n">
        <v>46541</v>
      </c>
      <c r="K134" s="87">
        <f>J134-WEEKDAY(J134,2)+1</f>
        <v/>
      </c>
      <c r="L134" s="84">
        <f>J134</f>
        <v/>
      </c>
      <c r="M134" s="52">
        <f>INDEX(LR_Target,MATCH(B134,LR_Lane,0))</f>
        <v/>
      </c>
      <c r="N134" s="84">
        <f>WORKDAY.INTL(L134,M134,INDEX(LR_Code,MATCH(B134,LR_Lane,0)),INDEX(DH_Table,0,MATCH(B134&amp;"*",DH_Head,0)))</f>
        <v/>
      </c>
      <c r="O134" s="65">
        <f>IF(W134&lt;&gt;"",W134,IF(U134="Helmond",IF(COUNTIFS(RC_Lane,B134,RC_Band,E134,RC_Transit,"&lt;&gt;")=0,"",SUMIFS(RC_Transit,RC_Lane,B134,RC_Band,E134)),IF(U134="Other","",IF(INDEX(RS_Transit,MATCH(B134,RS_Lane,0))="","",INDEX(RS_Transit,MATCH(B134,RS_Lane,0))))))</f>
        <v/>
      </c>
      <c r="P134" s="140" t="n"/>
      <c r="Q134" s="84">
        <f>IF(P134&lt;&gt;"",P134,IF(O134="","",WORKDAY.INTL(L134,ROUNDUP(O134,0),INDEX(LR_Code,MATCH(B134,LR_Lane,0)),INDEX(DH_Table,0,MATCH(B134&amp;"*",DH_Head,0)))))</f>
        <v/>
      </c>
      <c r="R134" s="100">
        <f>IF(Q134="","",IF(Q134&lt;=N134,"Yes","No"))</f>
        <v/>
      </c>
      <c r="S134" s="52">
        <f>IF(Q134="","",IF(Q134&lt;=N134,0,NETWORKDAYS.INTL(N134,Q134,INDEX(LR_Code,MATCH(B134,LR_Lane,0)),INDEX(DH_Table,0,MATCH(B134&amp;"*",DH_Head,0)))-1))</f>
        <v/>
      </c>
      <c r="T134" s="127" t="n"/>
      <c r="U134" s="112">
        <f>IF(V134&lt;&gt;"",V134,IF(IFERROR(INDEX(RS_Flag,MATCH(B134,RS_Lane,0)),"")="Yes",IF(IFERROR(INDEX(RS_Loc,MATCH(B134,RS_Lane,0)),"")="","Regional stock",IFERROR(INDEX(RS_Loc,MATCH(B134,RS_Lane,0)),"")),"Helmond"))</f>
        <v/>
      </c>
      <c r="V134" s="141" t="n"/>
      <c r="W134" s="142" t="n"/>
      <c r="X134" s="143" t="n"/>
      <c r="Y134" s="116">
        <f>IF(X134&lt;&gt;"",X134,IF(U134="Helmond",IF(COUNTIFS(RC_Lane,B134,RC_Band,E134,RC_CostPS,"&gt;0")=0,"",SUMIFS(RC_CostPS,RC_Lane,B134,RC_Band,E134)*(1-SUMIFS(RC_Disc,RC_Lane,B134,RC_Band,E134))),IF(U134="Other","",IF(INDEX(RS_Rate,MATCH(B134,RS_Lane,0))="","",INDEX(RS_Rate,MATCH(B134,RS_Lane,0))))))</f>
        <v/>
      </c>
    </row>
    <row r="135">
      <c r="A135" s="95" t="inlineStr">
        <is>
          <t>B-131</t>
        </is>
      </c>
      <c r="B135" s="112" t="inlineStr">
        <is>
          <t>L04</t>
        </is>
      </c>
      <c r="C135" s="101" t="inlineStr">
        <is>
          <t>Qatar</t>
        </is>
      </c>
      <c r="D135" s="101" t="inlineStr">
        <is>
          <t>Doha</t>
        </is>
      </c>
      <c r="E135" s="101" t="inlineStr">
        <is>
          <t>B1  0 to 30 kg</t>
        </is>
      </c>
      <c r="F135" s="123" t="n">
        <v>10.9</v>
      </c>
      <c r="G135" s="86">
        <f>F135*0.006477</f>
        <v/>
      </c>
      <c r="H135" s="123">
        <f>F135*1.079436</f>
        <v/>
      </c>
      <c r="I135" s="122">
        <f>MAX(1,ROUNDUP(G135/0.096,0))</f>
        <v/>
      </c>
      <c r="J135" s="84" t="n">
        <v>46542</v>
      </c>
      <c r="K135" s="87">
        <f>J135-WEEKDAY(J135,2)+1</f>
        <v/>
      </c>
      <c r="L135" s="84">
        <f>J135</f>
        <v/>
      </c>
      <c r="M135" s="52">
        <f>INDEX(LR_Target,MATCH(B135,LR_Lane,0))</f>
        <v/>
      </c>
      <c r="N135" s="84">
        <f>WORKDAY.INTL(L135,M135,INDEX(LR_Code,MATCH(B135,LR_Lane,0)),INDEX(DH_Table,0,MATCH(B135&amp;"*",DH_Head,0)))</f>
        <v/>
      </c>
      <c r="O135" s="65">
        <f>IF(W135&lt;&gt;"",W135,IF(U135="Helmond",IF(COUNTIFS(RC_Lane,B135,RC_Band,E135,RC_Transit,"&lt;&gt;")=0,"",SUMIFS(RC_Transit,RC_Lane,B135,RC_Band,E135)),IF(U135="Other","",IF(INDEX(RS_Transit,MATCH(B135,RS_Lane,0))="","",INDEX(RS_Transit,MATCH(B135,RS_Lane,0))))))</f>
        <v/>
      </c>
      <c r="P135" s="140" t="n"/>
      <c r="Q135" s="84">
        <f>IF(P135&lt;&gt;"",P135,IF(O135="","",WORKDAY.INTL(L135,ROUNDUP(O135,0),INDEX(LR_Code,MATCH(B135,LR_Lane,0)),INDEX(DH_Table,0,MATCH(B135&amp;"*",DH_Head,0)))))</f>
        <v/>
      </c>
      <c r="R135" s="100">
        <f>IF(Q135="","",IF(Q135&lt;=N135,"Yes","No"))</f>
        <v/>
      </c>
      <c r="S135" s="52">
        <f>IF(Q135="","",IF(Q135&lt;=N135,0,NETWORKDAYS.INTL(N135,Q135,INDEX(LR_Code,MATCH(B135,LR_Lane,0)),INDEX(DH_Table,0,MATCH(B135&amp;"*",DH_Head,0)))-1))</f>
        <v/>
      </c>
      <c r="T135" s="127" t="n"/>
      <c r="U135" s="112">
        <f>IF(V135&lt;&gt;"",V135,IF(IFERROR(INDEX(RS_Flag,MATCH(B135,RS_Lane,0)),"")="Yes",IF(IFERROR(INDEX(RS_Loc,MATCH(B135,RS_Lane,0)),"")="","Regional stock",IFERROR(INDEX(RS_Loc,MATCH(B135,RS_Lane,0)),"")),"Helmond"))</f>
        <v/>
      </c>
      <c r="V135" s="141" t="n"/>
      <c r="W135" s="142" t="n"/>
      <c r="X135" s="143" t="n"/>
      <c r="Y135" s="116">
        <f>IF(X135&lt;&gt;"",X135,IF(U135="Helmond",IF(COUNTIFS(RC_Lane,B135,RC_Band,E135,RC_CostPS,"&gt;0")=0,"",SUMIFS(RC_CostPS,RC_Lane,B135,RC_Band,E135)*(1-SUMIFS(RC_Disc,RC_Lane,B135,RC_Band,E135))),IF(U135="Other","",IF(INDEX(RS_Rate,MATCH(B135,RS_Lane,0))="","",INDEX(RS_Rate,MATCH(B135,RS_Lane,0))))))</f>
        <v/>
      </c>
    </row>
    <row r="136">
      <c r="A136" s="95" t="inlineStr">
        <is>
          <t>B-132</t>
        </is>
      </c>
      <c r="B136" s="112" t="inlineStr">
        <is>
          <t>L06</t>
        </is>
      </c>
      <c r="C136" s="101" t="inlineStr">
        <is>
          <t>Morocco</t>
        </is>
      </c>
      <c r="D136" s="101" t="inlineStr">
        <is>
          <t>Rabat</t>
        </is>
      </c>
      <c r="E136" s="101" t="inlineStr">
        <is>
          <t>B1  0 to 30 kg</t>
        </is>
      </c>
      <c r="F136" s="123" t="n">
        <v>10.2</v>
      </c>
      <c r="G136" s="86">
        <f>F136*0.006477</f>
        <v/>
      </c>
      <c r="H136" s="123">
        <f>F136*1.079436</f>
        <v/>
      </c>
      <c r="I136" s="122">
        <f>MAX(1,ROUNDUP(G136/0.096,0))</f>
        <v/>
      </c>
      <c r="J136" s="84" t="n">
        <v>46545</v>
      </c>
      <c r="K136" s="87">
        <f>J136-WEEKDAY(J136,2)+1</f>
        <v/>
      </c>
      <c r="L136" s="84">
        <f>J136</f>
        <v/>
      </c>
      <c r="M136" s="52">
        <f>INDEX(LR_Target,MATCH(B136,LR_Lane,0))</f>
        <v/>
      </c>
      <c r="N136" s="84">
        <f>WORKDAY.INTL(L136,M136,INDEX(LR_Code,MATCH(B136,LR_Lane,0)),INDEX(DH_Table,0,MATCH(B136&amp;"*",DH_Head,0)))</f>
        <v/>
      </c>
      <c r="O136" s="65">
        <f>IF(W136&lt;&gt;"",W136,IF(U136="Helmond",IF(COUNTIFS(RC_Lane,B136,RC_Band,E136,RC_Transit,"&lt;&gt;")=0,"",SUMIFS(RC_Transit,RC_Lane,B136,RC_Band,E136)),IF(U136="Other","",IF(INDEX(RS_Transit,MATCH(B136,RS_Lane,0))="","",INDEX(RS_Transit,MATCH(B136,RS_Lane,0))))))</f>
        <v/>
      </c>
      <c r="P136" s="140" t="n"/>
      <c r="Q136" s="84">
        <f>IF(P136&lt;&gt;"",P136,IF(O136="","",WORKDAY.INTL(L136,ROUNDUP(O136,0),INDEX(LR_Code,MATCH(B136,LR_Lane,0)),INDEX(DH_Table,0,MATCH(B136&amp;"*",DH_Head,0)))))</f>
        <v/>
      </c>
      <c r="R136" s="100">
        <f>IF(Q136="","",IF(Q136&lt;=N136,"Yes","No"))</f>
        <v/>
      </c>
      <c r="S136" s="52">
        <f>IF(Q136="","",IF(Q136&lt;=N136,0,NETWORKDAYS.INTL(N136,Q136,INDEX(LR_Code,MATCH(B136,LR_Lane,0)),INDEX(DH_Table,0,MATCH(B136&amp;"*",DH_Head,0)))-1))</f>
        <v/>
      </c>
      <c r="T136" s="127" t="n"/>
      <c r="U136" s="112">
        <f>IF(V136&lt;&gt;"",V136,IF(IFERROR(INDEX(RS_Flag,MATCH(B136,RS_Lane,0)),"")="Yes",IF(IFERROR(INDEX(RS_Loc,MATCH(B136,RS_Lane,0)),"")="","Regional stock",IFERROR(INDEX(RS_Loc,MATCH(B136,RS_Lane,0)),"")),"Helmond"))</f>
        <v/>
      </c>
      <c r="V136" s="141" t="n"/>
      <c r="W136" s="142" t="n"/>
      <c r="X136" s="143" t="n"/>
      <c r="Y136" s="116">
        <f>IF(X136&lt;&gt;"",X136,IF(U136="Helmond",IF(COUNTIFS(RC_Lane,B136,RC_Band,E136,RC_CostPS,"&gt;0")=0,"",SUMIFS(RC_CostPS,RC_Lane,B136,RC_Band,E136)*(1-SUMIFS(RC_Disc,RC_Lane,B136,RC_Band,E136))),IF(U136="Other","",IF(INDEX(RS_Rate,MATCH(B136,RS_Lane,0))="","",INDEX(RS_Rate,MATCH(B136,RS_Lane,0))))))</f>
        <v/>
      </c>
    </row>
    <row r="137">
      <c r="A137" s="95" t="inlineStr">
        <is>
          <t>B-133</t>
        </is>
      </c>
      <c r="B137" s="112" t="inlineStr">
        <is>
          <t>L01</t>
        </is>
      </c>
      <c r="C137" s="101" t="inlineStr">
        <is>
          <t>Saudi Arabia</t>
        </is>
      </c>
      <c r="D137" s="101" t="inlineStr">
        <is>
          <t>Riyadh</t>
        </is>
      </c>
      <c r="E137" s="101" t="inlineStr">
        <is>
          <t>B4  500 to 2,000 kg</t>
        </is>
      </c>
      <c r="F137" s="123" t="n">
        <v>1142.9</v>
      </c>
      <c r="G137" s="86">
        <f>F137*0.006477</f>
        <v/>
      </c>
      <c r="H137" s="123">
        <f>F137*1.079436</f>
        <v/>
      </c>
      <c r="I137" s="122">
        <f>MAX(1,ROUNDUP(G137/0.096,0))</f>
        <v/>
      </c>
      <c r="J137" s="84" t="n">
        <v>46546</v>
      </c>
      <c r="K137" s="87">
        <f>J137-WEEKDAY(J137,2)+1</f>
        <v/>
      </c>
      <c r="L137" s="84">
        <f>J137</f>
        <v/>
      </c>
      <c r="M137" s="52">
        <f>INDEX(LR_Target,MATCH(B137,LR_Lane,0))</f>
        <v/>
      </c>
      <c r="N137" s="84">
        <f>WORKDAY.INTL(L137,M137,INDEX(LR_Code,MATCH(B137,LR_Lane,0)),INDEX(DH_Table,0,MATCH(B137&amp;"*",DH_Head,0)))</f>
        <v/>
      </c>
      <c r="O137" s="65">
        <f>IF(W137&lt;&gt;"",W137,IF(U137="Helmond",IF(COUNTIFS(RC_Lane,B137,RC_Band,E137,RC_Transit,"&lt;&gt;")=0,"",SUMIFS(RC_Transit,RC_Lane,B137,RC_Band,E137)),IF(U137="Other","",IF(INDEX(RS_Transit,MATCH(B137,RS_Lane,0))="","",INDEX(RS_Transit,MATCH(B137,RS_Lane,0))))))</f>
        <v/>
      </c>
      <c r="P137" s="140" t="n"/>
      <c r="Q137" s="84">
        <f>IF(P137&lt;&gt;"",P137,IF(O137="","",WORKDAY.INTL(L137,ROUNDUP(O137,0),INDEX(LR_Code,MATCH(B137,LR_Lane,0)),INDEX(DH_Table,0,MATCH(B137&amp;"*",DH_Head,0)))))</f>
        <v/>
      </c>
      <c r="R137" s="100">
        <f>IF(Q137="","",IF(Q137&lt;=N137,"Yes","No"))</f>
        <v/>
      </c>
      <c r="S137" s="52">
        <f>IF(Q137="","",IF(Q137&lt;=N137,0,NETWORKDAYS.INTL(N137,Q137,INDEX(LR_Code,MATCH(B137,LR_Lane,0)),INDEX(DH_Table,0,MATCH(B137&amp;"*",DH_Head,0)))-1))</f>
        <v/>
      </c>
      <c r="T137" s="127" t="n"/>
      <c r="U137" s="112">
        <f>IF(V137&lt;&gt;"",V137,IF(IFERROR(INDEX(RS_Flag,MATCH(B137,RS_Lane,0)),"")="Yes",IF(IFERROR(INDEX(RS_Loc,MATCH(B137,RS_Lane,0)),"")="","Regional stock",IFERROR(INDEX(RS_Loc,MATCH(B137,RS_Lane,0)),"")),"Helmond"))</f>
        <v/>
      </c>
      <c r="V137" s="141" t="n"/>
      <c r="W137" s="142" t="n"/>
      <c r="X137" s="143" t="n"/>
      <c r="Y137" s="116">
        <f>IF(X137&lt;&gt;"",X137,IF(U137="Helmond",IF(COUNTIFS(RC_Lane,B137,RC_Band,E137,RC_CostPS,"&gt;0")=0,"",SUMIFS(RC_CostPS,RC_Lane,B137,RC_Band,E137)*(1-SUMIFS(RC_Disc,RC_Lane,B137,RC_Band,E137))),IF(U137="Other","",IF(INDEX(RS_Rate,MATCH(B137,RS_Lane,0))="","",INDEX(RS_Rate,MATCH(B137,RS_Lane,0))))))</f>
        <v/>
      </c>
    </row>
    <row r="138">
      <c r="A138" s="95" t="inlineStr">
        <is>
          <t>B-134</t>
        </is>
      </c>
      <c r="B138" s="112" t="inlineStr">
        <is>
          <t>L01</t>
        </is>
      </c>
      <c r="C138" s="101" t="inlineStr">
        <is>
          <t>Saudi Arabia</t>
        </is>
      </c>
      <c r="D138" s="101" t="inlineStr">
        <is>
          <t>Riyadh</t>
        </is>
      </c>
      <c r="E138" s="101" t="inlineStr">
        <is>
          <t>B2  30 to 100 kg</t>
        </is>
      </c>
      <c r="F138" s="123" t="n">
        <v>43.4</v>
      </c>
      <c r="G138" s="86">
        <f>F138*0.006477</f>
        <v/>
      </c>
      <c r="H138" s="123">
        <f>F138*1.079436</f>
        <v/>
      </c>
      <c r="I138" s="122">
        <f>MAX(1,ROUNDUP(G138/0.096,0))</f>
        <v/>
      </c>
      <c r="J138" s="84" t="n">
        <v>46547</v>
      </c>
      <c r="K138" s="87">
        <f>J138-WEEKDAY(J138,2)+1</f>
        <v/>
      </c>
      <c r="L138" s="84">
        <f>J138</f>
        <v/>
      </c>
      <c r="M138" s="52">
        <f>INDEX(LR_Target,MATCH(B138,LR_Lane,0))</f>
        <v/>
      </c>
      <c r="N138" s="84">
        <f>WORKDAY.INTL(L138,M138,INDEX(LR_Code,MATCH(B138,LR_Lane,0)),INDEX(DH_Table,0,MATCH(B138&amp;"*",DH_Head,0)))</f>
        <v/>
      </c>
      <c r="O138" s="65">
        <f>IF(W138&lt;&gt;"",W138,IF(U138="Helmond",IF(COUNTIFS(RC_Lane,B138,RC_Band,E138,RC_Transit,"&lt;&gt;")=0,"",SUMIFS(RC_Transit,RC_Lane,B138,RC_Band,E138)),IF(U138="Other","",IF(INDEX(RS_Transit,MATCH(B138,RS_Lane,0))="","",INDEX(RS_Transit,MATCH(B138,RS_Lane,0))))))</f>
        <v/>
      </c>
      <c r="P138" s="140" t="n"/>
      <c r="Q138" s="84">
        <f>IF(P138&lt;&gt;"",P138,IF(O138="","",WORKDAY.INTL(L138,ROUNDUP(O138,0),INDEX(LR_Code,MATCH(B138,LR_Lane,0)),INDEX(DH_Table,0,MATCH(B138&amp;"*",DH_Head,0)))))</f>
        <v/>
      </c>
      <c r="R138" s="100">
        <f>IF(Q138="","",IF(Q138&lt;=N138,"Yes","No"))</f>
        <v/>
      </c>
      <c r="S138" s="52">
        <f>IF(Q138="","",IF(Q138&lt;=N138,0,NETWORKDAYS.INTL(N138,Q138,INDEX(LR_Code,MATCH(B138,LR_Lane,0)),INDEX(DH_Table,0,MATCH(B138&amp;"*",DH_Head,0)))-1))</f>
        <v/>
      </c>
      <c r="T138" s="127" t="n"/>
      <c r="U138" s="112">
        <f>IF(V138&lt;&gt;"",V138,IF(IFERROR(INDEX(RS_Flag,MATCH(B138,RS_Lane,0)),"")="Yes",IF(IFERROR(INDEX(RS_Loc,MATCH(B138,RS_Lane,0)),"")="","Regional stock",IFERROR(INDEX(RS_Loc,MATCH(B138,RS_Lane,0)),"")),"Helmond"))</f>
        <v/>
      </c>
      <c r="V138" s="141" t="n"/>
      <c r="W138" s="142" t="n"/>
      <c r="X138" s="143" t="n"/>
      <c r="Y138" s="116">
        <f>IF(X138&lt;&gt;"",X138,IF(U138="Helmond",IF(COUNTIFS(RC_Lane,B138,RC_Band,E138,RC_CostPS,"&gt;0")=0,"",SUMIFS(RC_CostPS,RC_Lane,B138,RC_Band,E138)*(1-SUMIFS(RC_Disc,RC_Lane,B138,RC_Band,E138))),IF(U138="Other","",IF(INDEX(RS_Rate,MATCH(B138,RS_Lane,0))="","",INDEX(RS_Rate,MATCH(B138,RS_Lane,0))))))</f>
        <v/>
      </c>
    </row>
    <row r="139">
      <c r="A139" s="95" t="inlineStr">
        <is>
          <t>B-135</t>
        </is>
      </c>
      <c r="B139" s="112" t="inlineStr">
        <is>
          <t>L02</t>
        </is>
      </c>
      <c r="C139" s="101" t="inlineStr">
        <is>
          <t>United Arab Emirates</t>
        </is>
      </c>
      <c r="D139" s="101" t="inlineStr">
        <is>
          <t>Dubai</t>
        </is>
      </c>
      <c r="E139" s="101" t="inlineStr">
        <is>
          <t>B1  0 to 30 kg</t>
        </is>
      </c>
      <c r="F139" s="123" t="n">
        <v>10.9</v>
      </c>
      <c r="G139" s="86">
        <f>F139*0.006477</f>
        <v/>
      </c>
      <c r="H139" s="123">
        <f>F139*1.079436</f>
        <v/>
      </c>
      <c r="I139" s="122">
        <f>MAX(1,ROUNDUP(G139/0.096,0))</f>
        <v/>
      </c>
      <c r="J139" s="84" t="n">
        <v>46547</v>
      </c>
      <c r="K139" s="87">
        <f>J139-WEEKDAY(J139,2)+1</f>
        <v/>
      </c>
      <c r="L139" s="84">
        <f>J139</f>
        <v/>
      </c>
      <c r="M139" s="52">
        <f>INDEX(LR_Target,MATCH(B139,LR_Lane,0))</f>
        <v/>
      </c>
      <c r="N139" s="84">
        <f>WORKDAY.INTL(L139,M139,INDEX(LR_Code,MATCH(B139,LR_Lane,0)),INDEX(DH_Table,0,MATCH(B139&amp;"*",DH_Head,0)))</f>
        <v/>
      </c>
      <c r="O139" s="65">
        <f>IF(W139&lt;&gt;"",W139,IF(U139="Helmond",IF(COUNTIFS(RC_Lane,B139,RC_Band,E139,RC_Transit,"&lt;&gt;")=0,"",SUMIFS(RC_Transit,RC_Lane,B139,RC_Band,E139)),IF(U139="Other","",IF(INDEX(RS_Transit,MATCH(B139,RS_Lane,0))="","",INDEX(RS_Transit,MATCH(B139,RS_Lane,0))))))</f>
        <v/>
      </c>
      <c r="P139" s="140" t="n"/>
      <c r="Q139" s="84">
        <f>IF(P139&lt;&gt;"",P139,IF(O139="","",WORKDAY.INTL(L139,ROUNDUP(O139,0),INDEX(LR_Code,MATCH(B139,LR_Lane,0)),INDEX(DH_Table,0,MATCH(B139&amp;"*",DH_Head,0)))))</f>
        <v/>
      </c>
      <c r="R139" s="100">
        <f>IF(Q139="","",IF(Q139&lt;=N139,"Yes","No"))</f>
        <v/>
      </c>
      <c r="S139" s="52">
        <f>IF(Q139="","",IF(Q139&lt;=N139,0,NETWORKDAYS.INTL(N139,Q139,INDEX(LR_Code,MATCH(B139,LR_Lane,0)),INDEX(DH_Table,0,MATCH(B139&amp;"*",DH_Head,0)))-1))</f>
        <v/>
      </c>
      <c r="T139" s="127" t="n"/>
      <c r="U139" s="112">
        <f>IF(V139&lt;&gt;"",V139,IF(IFERROR(INDEX(RS_Flag,MATCH(B139,RS_Lane,0)),"")="Yes",IF(IFERROR(INDEX(RS_Loc,MATCH(B139,RS_Lane,0)),"")="","Regional stock",IFERROR(INDEX(RS_Loc,MATCH(B139,RS_Lane,0)),"")),"Helmond"))</f>
        <v/>
      </c>
      <c r="V139" s="141" t="n"/>
      <c r="W139" s="142" t="n"/>
      <c r="X139" s="143" t="n"/>
      <c r="Y139" s="116">
        <f>IF(X139&lt;&gt;"",X139,IF(U139="Helmond",IF(COUNTIFS(RC_Lane,B139,RC_Band,E139,RC_CostPS,"&gt;0")=0,"",SUMIFS(RC_CostPS,RC_Lane,B139,RC_Band,E139)*(1-SUMIFS(RC_Disc,RC_Lane,B139,RC_Band,E139))),IF(U139="Other","",IF(INDEX(RS_Rate,MATCH(B139,RS_Lane,0))="","",INDEX(RS_Rate,MATCH(B139,RS_Lane,0))))))</f>
        <v/>
      </c>
    </row>
    <row r="140">
      <c r="A140" s="95" t="inlineStr">
        <is>
          <t>B-136</t>
        </is>
      </c>
      <c r="B140" s="112" t="inlineStr">
        <is>
          <t>L08</t>
        </is>
      </c>
      <c r="C140" s="101" t="inlineStr">
        <is>
          <t>Egypt</t>
        </is>
      </c>
      <c r="D140" s="101" t="inlineStr">
        <is>
          <t>Cairo area</t>
        </is>
      </c>
      <c r="E140" s="101" t="inlineStr">
        <is>
          <t>B1  0 to 30 kg</t>
        </is>
      </c>
      <c r="F140" s="123" t="n">
        <v>6.2</v>
      </c>
      <c r="G140" s="86">
        <f>F140*0.006477</f>
        <v/>
      </c>
      <c r="H140" s="123">
        <f>F140*1.079436</f>
        <v/>
      </c>
      <c r="I140" s="122">
        <f>MAX(1,ROUNDUP(G140/0.096,0))</f>
        <v/>
      </c>
      <c r="J140" s="84" t="n">
        <v>46547</v>
      </c>
      <c r="K140" s="87">
        <f>J140-WEEKDAY(J140,2)+1</f>
        <v/>
      </c>
      <c r="L140" s="84">
        <f>J140</f>
        <v/>
      </c>
      <c r="M140" s="52">
        <f>INDEX(LR_Target,MATCH(B140,LR_Lane,0))</f>
        <v/>
      </c>
      <c r="N140" s="84">
        <f>WORKDAY.INTL(L140,M140,INDEX(LR_Code,MATCH(B140,LR_Lane,0)),INDEX(DH_Table,0,MATCH(B140&amp;"*",DH_Head,0)))</f>
        <v/>
      </c>
      <c r="O140" s="65">
        <f>IF(W140&lt;&gt;"",W140,IF(U140="Helmond",IF(COUNTIFS(RC_Lane,B140,RC_Band,E140,RC_Transit,"&lt;&gt;")=0,"",SUMIFS(RC_Transit,RC_Lane,B140,RC_Band,E140)),IF(U140="Other","",IF(INDEX(RS_Transit,MATCH(B140,RS_Lane,0))="","",INDEX(RS_Transit,MATCH(B140,RS_Lane,0))))))</f>
        <v/>
      </c>
      <c r="P140" s="140" t="n"/>
      <c r="Q140" s="84">
        <f>IF(P140&lt;&gt;"",P140,IF(O140="","",WORKDAY.INTL(L140,ROUNDUP(O140,0),INDEX(LR_Code,MATCH(B140,LR_Lane,0)),INDEX(DH_Table,0,MATCH(B140&amp;"*",DH_Head,0)))))</f>
        <v/>
      </c>
      <c r="R140" s="100">
        <f>IF(Q140="","",IF(Q140&lt;=N140,"Yes","No"))</f>
        <v/>
      </c>
      <c r="S140" s="52">
        <f>IF(Q140="","",IF(Q140&lt;=N140,0,NETWORKDAYS.INTL(N140,Q140,INDEX(LR_Code,MATCH(B140,LR_Lane,0)),INDEX(DH_Table,0,MATCH(B140&amp;"*",DH_Head,0)))-1))</f>
        <v/>
      </c>
      <c r="T140" s="127" t="n"/>
      <c r="U140" s="112">
        <f>IF(V140&lt;&gt;"",V140,IF(IFERROR(INDEX(RS_Flag,MATCH(B140,RS_Lane,0)),"")="Yes",IF(IFERROR(INDEX(RS_Loc,MATCH(B140,RS_Lane,0)),"")="","Regional stock",IFERROR(INDEX(RS_Loc,MATCH(B140,RS_Lane,0)),"")),"Helmond"))</f>
        <v/>
      </c>
      <c r="V140" s="141" t="n"/>
      <c r="W140" s="142" t="n"/>
      <c r="X140" s="143" t="n"/>
      <c r="Y140" s="116">
        <f>IF(X140&lt;&gt;"",X140,IF(U140="Helmond",IF(COUNTIFS(RC_Lane,B140,RC_Band,E140,RC_CostPS,"&gt;0")=0,"",SUMIFS(RC_CostPS,RC_Lane,B140,RC_Band,E140)*(1-SUMIFS(RC_Disc,RC_Lane,B140,RC_Band,E140))),IF(U140="Other","",IF(INDEX(RS_Rate,MATCH(B140,RS_Lane,0))="","",INDEX(RS_Rate,MATCH(B140,RS_Lane,0))))))</f>
        <v/>
      </c>
    </row>
    <row r="141">
      <c r="A141" s="95" t="inlineStr">
        <is>
          <t>B-137</t>
        </is>
      </c>
      <c r="B141" s="112" t="inlineStr">
        <is>
          <t>L02</t>
        </is>
      </c>
      <c r="C141" s="101" t="inlineStr">
        <is>
          <t>United Arab Emirates</t>
        </is>
      </c>
      <c r="D141" s="101" t="inlineStr">
        <is>
          <t>Dubai</t>
        </is>
      </c>
      <c r="E141" s="101" t="inlineStr">
        <is>
          <t>B1  0 to 30 kg</t>
        </is>
      </c>
      <c r="F141" s="123" t="n">
        <v>10.5</v>
      </c>
      <c r="G141" s="86">
        <f>F141*0.006477</f>
        <v/>
      </c>
      <c r="H141" s="123">
        <f>F141*1.079436</f>
        <v/>
      </c>
      <c r="I141" s="122">
        <f>MAX(1,ROUNDUP(G141/0.096,0))</f>
        <v/>
      </c>
      <c r="J141" s="84" t="n">
        <v>46548</v>
      </c>
      <c r="K141" s="87">
        <f>J141-WEEKDAY(J141,2)+1</f>
        <v/>
      </c>
      <c r="L141" s="84">
        <f>J141</f>
        <v/>
      </c>
      <c r="M141" s="52">
        <f>INDEX(LR_Target,MATCH(B141,LR_Lane,0))</f>
        <v/>
      </c>
      <c r="N141" s="84">
        <f>WORKDAY.INTL(L141,M141,INDEX(LR_Code,MATCH(B141,LR_Lane,0)),INDEX(DH_Table,0,MATCH(B141&amp;"*",DH_Head,0)))</f>
        <v/>
      </c>
      <c r="O141" s="65">
        <f>IF(W141&lt;&gt;"",W141,IF(U141="Helmond",IF(COUNTIFS(RC_Lane,B141,RC_Band,E141,RC_Transit,"&lt;&gt;")=0,"",SUMIFS(RC_Transit,RC_Lane,B141,RC_Band,E141)),IF(U141="Other","",IF(INDEX(RS_Transit,MATCH(B141,RS_Lane,0))="","",INDEX(RS_Transit,MATCH(B141,RS_Lane,0))))))</f>
        <v/>
      </c>
      <c r="P141" s="140" t="n"/>
      <c r="Q141" s="84">
        <f>IF(P141&lt;&gt;"",P141,IF(O141="","",WORKDAY.INTL(L141,ROUNDUP(O141,0),INDEX(LR_Code,MATCH(B141,LR_Lane,0)),INDEX(DH_Table,0,MATCH(B141&amp;"*",DH_Head,0)))))</f>
        <v/>
      </c>
      <c r="R141" s="100">
        <f>IF(Q141="","",IF(Q141&lt;=N141,"Yes","No"))</f>
        <v/>
      </c>
      <c r="S141" s="52">
        <f>IF(Q141="","",IF(Q141&lt;=N141,0,NETWORKDAYS.INTL(N141,Q141,INDEX(LR_Code,MATCH(B141,LR_Lane,0)),INDEX(DH_Table,0,MATCH(B141&amp;"*",DH_Head,0)))-1))</f>
        <v/>
      </c>
      <c r="T141" s="127" t="n"/>
      <c r="U141" s="112">
        <f>IF(V141&lt;&gt;"",V141,IF(IFERROR(INDEX(RS_Flag,MATCH(B141,RS_Lane,0)),"")="Yes",IF(IFERROR(INDEX(RS_Loc,MATCH(B141,RS_Lane,0)),"")="","Regional stock",IFERROR(INDEX(RS_Loc,MATCH(B141,RS_Lane,0)),"")),"Helmond"))</f>
        <v/>
      </c>
      <c r="V141" s="141" t="n"/>
      <c r="W141" s="142" t="n"/>
      <c r="X141" s="143" t="n"/>
      <c r="Y141" s="116">
        <f>IF(X141&lt;&gt;"",X141,IF(U141="Helmond",IF(COUNTIFS(RC_Lane,B141,RC_Band,E141,RC_CostPS,"&gt;0")=0,"",SUMIFS(RC_CostPS,RC_Lane,B141,RC_Band,E141)*(1-SUMIFS(RC_Disc,RC_Lane,B141,RC_Band,E141))),IF(U141="Other","",IF(INDEX(RS_Rate,MATCH(B141,RS_Lane,0))="","",INDEX(RS_Rate,MATCH(B141,RS_Lane,0))))))</f>
        <v/>
      </c>
    </row>
    <row r="142">
      <c r="A142" s="95" t="inlineStr">
        <is>
          <t>B-138</t>
        </is>
      </c>
      <c r="B142" s="112" t="inlineStr">
        <is>
          <t>L01</t>
        </is>
      </c>
      <c r="C142" s="101" t="inlineStr">
        <is>
          <t>Saudi Arabia</t>
        </is>
      </c>
      <c r="D142" s="101" t="inlineStr">
        <is>
          <t>Riyadh</t>
        </is>
      </c>
      <c r="E142" s="101" t="inlineStr">
        <is>
          <t>B1  0 to 30 kg</t>
        </is>
      </c>
      <c r="F142" s="123" t="n">
        <v>4.9</v>
      </c>
      <c r="G142" s="86">
        <f>F142*0.006477</f>
        <v/>
      </c>
      <c r="H142" s="123">
        <f>F142*1.079436</f>
        <v/>
      </c>
      <c r="I142" s="122">
        <f>MAX(1,ROUNDUP(G142/0.096,0))</f>
        <v/>
      </c>
      <c r="J142" s="84" t="n">
        <v>46549</v>
      </c>
      <c r="K142" s="87">
        <f>J142-WEEKDAY(J142,2)+1</f>
        <v/>
      </c>
      <c r="L142" s="84">
        <f>J142</f>
        <v/>
      </c>
      <c r="M142" s="52">
        <f>INDEX(LR_Target,MATCH(B142,LR_Lane,0))</f>
        <v/>
      </c>
      <c r="N142" s="84">
        <f>WORKDAY.INTL(L142,M142,INDEX(LR_Code,MATCH(B142,LR_Lane,0)),INDEX(DH_Table,0,MATCH(B142&amp;"*",DH_Head,0)))</f>
        <v/>
      </c>
      <c r="O142" s="65">
        <f>IF(W142&lt;&gt;"",W142,IF(U142="Helmond",IF(COUNTIFS(RC_Lane,B142,RC_Band,E142,RC_Transit,"&lt;&gt;")=0,"",SUMIFS(RC_Transit,RC_Lane,B142,RC_Band,E142)),IF(U142="Other","",IF(INDEX(RS_Transit,MATCH(B142,RS_Lane,0))="","",INDEX(RS_Transit,MATCH(B142,RS_Lane,0))))))</f>
        <v/>
      </c>
      <c r="P142" s="140" t="n"/>
      <c r="Q142" s="84">
        <f>IF(P142&lt;&gt;"",P142,IF(O142="","",WORKDAY.INTL(L142,ROUNDUP(O142,0),INDEX(LR_Code,MATCH(B142,LR_Lane,0)),INDEX(DH_Table,0,MATCH(B142&amp;"*",DH_Head,0)))))</f>
        <v/>
      </c>
      <c r="R142" s="100">
        <f>IF(Q142="","",IF(Q142&lt;=N142,"Yes","No"))</f>
        <v/>
      </c>
      <c r="S142" s="52">
        <f>IF(Q142="","",IF(Q142&lt;=N142,0,NETWORKDAYS.INTL(N142,Q142,INDEX(LR_Code,MATCH(B142,LR_Lane,0)),INDEX(DH_Table,0,MATCH(B142&amp;"*",DH_Head,0)))-1))</f>
        <v/>
      </c>
      <c r="T142" s="127" t="n"/>
      <c r="U142" s="112">
        <f>IF(V142&lt;&gt;"",V142,IF(IFERROR(INDEX(RS_Flag,MATCH(B142,RS_Lane,0)),"")="Yes",IF(IFERROR(INDEX(RS_Loc,MATCH(B142,RS_Lane,0)),"")="","Regional stock",IFERROR(INDEX(RS_Loc,MATCH(B142,RS_Lane,0)),"")),"Helmond"))</f>
        <v/>
      </c>
      <c r="V142" s="141" t="n"/>
      <c r="W142" s="142" t="n"/>
      <c r="X142" s="143" t="n"/>
      <c r="Y142" s="116">
        <f>IF(X142&lt;&gt;"",X142,IF(U142="Helmond",IF(COUNTIFS(RC_Lane,B142,RC_Band,E142,RC_CostPS,"&gt;0")=0,"",SUMIFS(RC_CostPS,RC_Lane,B142,RC_Band,E142)*(1-SUMIFS(RC_Disc,RC_Lane,B142,RC_Band,E142))),IF(U142="Other","",IF(INDEX(RS_Rate,MATCH(B142,RS_Lane,0))="","",INDEX(RS_Rate,MATCH(B142,RS_Lane,0))))))</f>
        <v/>
      </c>
    </row>
    <row r="143">
      <c r="A143" s="95" t="inlineStr">
        <is>
          <t>B-139</t>
        </is>
      </c>
      <c r="B143" s="112" t="inlineStr">
        <is>
          <t>L02</t>
        </is>
      </c>
      <c r="C143" s="101" t="inlineStr">
        <is>
          <t>United Arab Emirates</t>
        </is>
      </c>
      <c r="D143" s="101" t="inlineStr">
        <is>
          <t>Dubai</t>
        </is>
      </c>
      <c r="E143" s="101" t="inlineStr">
        <is>
          <t>B1  0 to 30 kg</t>
        </is>
      </c>
      <c r="F143" s="123" t="n">
        <v>6.6</v>
      </c>
      <c r="G143" s="86">
        <f>F143*0.006477</f>
        <v/>
      </c>
      <c r="H143" s="123">
        <f>F143*1.079436</f>
        <v/>
      </c>
      <c r="I143" s="122">
        <f>MAX(1,ROUNDUP(G143/0.096,0))</f>
        <v/>
      </c>
      <c r="J143" s="84" t="n">
        <v>46549</v>
      </c>
      <c r="K143" s="87">
        <f>J143-WEEKDAY(J143,2)+1</f>
        <v/>
      </c>
      <c r="L143" s="84">
        <f>J143</f>
        <v/>
      </c>
      <c r="M143" s="52">
        <f>INDEX(LR_Target,MATCH(B143,LR_Lane,0))</f>
        <v/>
      </c>
      <c r="N143" s="84">
        <f>WORKDAY.INTL(L143,M143,INDEX(LR_Code,MATCH(B143,LR_Lane,0)),INDEX(DH_Table,0,MATCH(B143&amp;"*",DH_Head,0)))</f>
        <v/>
      </c>
      <c r="O143" s="65">
        <f>IF(W143&lt;&gt;"",W143,IF(U143="Helmond",IF(COUNTIFS(RC_Lane,B143,RC_Band,E143,RC_Transit,"&lt;&gt;")=0,"",SUMIFS(RC_Transit,RC_Lane,B143,RC_Band,E143)),IF(U143="Other","",IF(INDEX(RS_Transit,MATCH(B143,RS_Lane,0))="","",INDEX(RS_Transit,MATCH(B143,RS_Lane,0))))))</f>
        <v/>
      </c>
      <c r="P143" s="140" t="n"/>
      <c r="Q143" s="84">
        <f>IF(P143&lt;&gt;"",P143,IF(O143="","",WORKDAY.INTL(L143,ROUNDUP(O143,0),INDEX(LR_Code,MATCH(B143,LR_Lane,0)),INDEX(DH_Table,0,MATCH(B143&amp;"*",DH_Head,0)))))</f>
        <v/>
      </c>
      <c r="R143" s="100">
        <f>IF(Q143="","",IF(Q143&lt;=N143,"Yes","No"))</f>
        <v/>
      </c>
      <c r="S143" s="52">
        <f>IF(Q143="","",IF(Q143&lt;=N143,0,NETWORKDAYS.INTL(N143,Q143,INDEX(LR_Code,MATCH(B143,LR_Lane,0)),INDEX(DH_Table,0,MATCH(B143&amp;"*",DH_Head,0)))-1))</f>
        <v/>
      </c>
      <c r="T143" s="127" t="n"/>
      <c r="U143" s="112">
        <f>IF(V143&lt;&gt;"",V143,IF(IFERROR(INDEX(RS_Flag,MATCH(B143,RS_Lane,0)),"")="Yes",IF(IFERROR(INDEX(RS_Loc,MATCH(B143,RS_Lane,0)),"")="","Regional stock",IFERROR(INDEX(RS_Loc,MATCH(B143,RS_Lane,0)),"")),"Helmond"))</f>
        <v/>
      </c>
      <c r="V143" s="141" t="n"/>
      <c r="W143" s="142" t="n"/>
      <c r="X143" s="143" t="n"/>
      <c r="Y143" s="116">
        <f>IF(X143&lt;&gt;"",X143,IF(U143="Helmond",IF(COUNTIFS(RC_Lane,B143,RC_Band,E143,RC_CostPS,"&gt;0")=0,"",SUMIFS(RC_CostPS,RC_Lane,B143,RC_Band,E143)*(1-SUMIFS(RC_Disc,RC_Lane,B143,RC_Band,E143))),IF(U143="Other","",IF(INDEX(RS_Rate,MATCH(B143,RS_Lane,0))="","",INDEX(RS_Rate,MATCH(B143,RS_Lane,0))))))</f>
        <v/>
      </c>
    </row>
    <row r="144">
      <c r="A144" s="95" t="inlineStr">
        <is>
          <t>B-140</t>
        </is>
      </c>
      <c r="B144" s="112" t="inlineStr">
        <is>
          <t>L02</t>
        </is>
      </c>
      <c r="C144" s="101" t="inlineStr">
        <is>
          <t>United Arab Emirates</t>
        </is>
      </c>
      <c r="D144" s="101" t="inlineStr">
        <is>
          <t>Dubai</t>
        </is>
      </c>
      <c r="E144" s="101" t="inlineStr">
        <is>
          <t>B1  0 to 30 kg</t>
        </is>
      </c>
      <c r="F144" s="123" t="n">
        <v>3.1</v>
      </c>
      <c r="G144" s="86">
        <f>F144*0.006477</f>
        <v/>
      </c>
      <c r="H144" s="123">
        <f>F144*1.079436</f>
        <v/>
      </c>
      <c r="I144" s="122">
        <f>MAX(1,ROUNDUP(G144/0.096,0))</f>
        <v/>
      </c>
      <c r="J144" s="84" t="n">
        <v>46549</v>
      </c>
      <c r="K144" s="87">
        <f>J144-WEEKDAY(J144,2)+1</f>
        <v/>
      </c>
      <c r="L144" s="84">
        <f>J144</f>
        <v/>
      </c>
      <c r="M144" s="52">
        <f>INDEX(LR_Target,MATCH(B144,LR_Lane,0))</f>
        <v/>
      </c>
      <c r="N144" s="84">
        <f>WORKDAY.INTL(L144,M144,INDEX(LR_Code,MATCH(B144,LR_Lane,0)),INDEX(DH_Table,0,MATCH(B144&amp;"*",DH_Head,0)))</f>
        <v/>
      </c>
      <c r="O144" s="65">
        <f>IF(W144&lt;&gt;"",W144,IF(U144="Helmond",IF(COUNTIFS(RC_Lane,B144,RC_Band,E144,RC_Transit,"&lt;&gt;")=0,"",SUMIFS(RC_Transit,RC_Lane,B144,RC_Band,E144)),IF(U144="Other","",IF(INDEX(RS_Transit,MATCH(B144,RS_Lane,0))="","",INDEX(RS_Transit,MATCH(B144,RS_Lane,0))))))</f>
        <v/>
      </c>
      <c r="P144" s="140" t="n"/>
      <c r="Q144" s="84">
        <f>IF(P144&lt;&gt;"",P144,IF(O144="","",WORKDAY.INTL(L144,ROUNDUP(O144,0),INDEX(LR_Code,MATCH(B144,LR_Lane,0)),INDEX(DH_Table,0,MATCH(B144&amp;"*",DH_Head,0)))))</f>
        <v/>
      </c>
      <c r="R144" s="100">
        <f>IF(Q144="","",IF(Q144&lt;=N144,"Yes","No"))</f>
        <v/>
      </c>
      <c r="S144" s="52">
        <f>IF(Q144="","",IF(Q144&lt;=N144,0,NETWORKDAYS.INTL(N144,Q144,INDEX(LR_Code,MATCH(B144,LR_Lane,0)),INDEX(DH_Table,0,MATCH(B144&amp;"*",DH_Head,0)))-1))</f>
        <v/>
      </c>
      <c r="T144" s="127" t="n"/>
      <c r="U144" s="112">
        <f>IF(V144&lt;&gt;"",V144,IF(IFERROR(INDEX(RS_Flag,MATCH(B144,RS_Lane,0)),"")="Yes",IF(IFERROR(INDEX(RS_Loc,MATCH(B144,RS_Lane,0)),"")="","Regional stock",IFERROR(INDEX(RS_Loc,MATCH(B144,RS_Lane,0)),"")),"Helmond"))</f>
        <v/>
      </c>
      <c r="V144" s="141" t="n"/>
      <c r="W144" s="142" t="n"/>
      <c r="X144" s="143" t="n"/>
      <c r="Y144" s="116">
        <f>IF(X144&lt;&gt;"",X144,IF(U144="Helmond",IF(COUNTIFS(RC_Lane,B144,RC_Band,E144,RC_CostPS,"&gt;0")=0,"",SUMIFS(RC_CostPS,RC_Lane,B144,RC_Band,E144)*(1-SUMIFS(RC_Disc,RC_Lane,B144,RC_Band,E144))),IF(U144="Other","",IF(INDEX(RS_Rate,MATCH(B144,RS_Lane,0))="","",INDEX(RS_Rate,MATCH(B144,RS_Lane,0))))))</f>
        <v/>
      </c>
    </row>
    <row r="145">
      <c r="A145" s="95" t="inlineStr">
        <is>
          <t>B-141</t>
        </is>
      </c>
      <c r="B145" s="112" t="inlineStr">
        <is>
          <t>L01</t>
        </is>
      </c>
      <c r="C145" s="101" t="inlineStr">
        <is>
          <t>Saudi Arabia</t>
        </is>
      </c>
      <c r="D145" s="101" t="inlineStr">
        <is>
          <t>Riyadh</t>
        </is>
      </c>
      <c r="E145" s="101" t="inlineStr">
        <is>
          <t>B4  500 to 2,000 kg</t>
        </is>
      </c>
      <c r="F145" s="123" t="n">
        <v>688.5</v>
      </c>
      <c r="G145" s="86">
        <f>F145*0.006477</f>
        <v/>
      </c>
      <c r="H145" s="123">
        <f>F145*1.079436</f>
        <v/>
      </c>
      <c r="I145" s="122">
        <f>MAX(1,ROUNDUP(G145/0.096,0))</f>
        <v/>
      </c>
      <c r="J145" s="84" t="n">
        <v>46555</v>
      </c>
      <c r="K145" s="87">
        <f>J145-WEEKDAY(J145,2)+1</f>
        <v/>
      </c>
      <c r="L145" s="84">
        <f>J145</f>
        <v/>
      </c>
      <c r="M145" s="52">
        <f>INDEX(LR_Target,MATCH(B145,LR_Lane,0))</f>
        <v/>
      </c>
      <c r="N145" s="84">
        <f>WORKDAY.INTL(L145,M145,INDEX(LR_Code,MATCH(B145,LR_Lane,0)),INDEX(DH_Table,0,MATCH(B145&amp;"*",DH_Head,0)))</f>
        <v/>
      </c>
      <c r="O145" s="65">
        <f>IF(W145&lt;&gt;"",W145,IF(U145="Helmond",IF(COUNTIFS(RC_Lane,B145,RC_Band,E145,RC_Transit,"&lt;&gt;")=0,"",SUMIFS(RC_Transit,RC_Lane,B145,RC_Band,E145)),IF(U145="Other","",IF(INDEX(RS_Transit,MATCH(B145,RS_Lane,0))="","",INDEX(RS_Transit,MATCH(B145,RS_Lane,0))))))</f>
        <v/>
      </c>
      <c r="P145" s="140" t="n"/>
      <c r="Q145" s="84">
        <f>IF(P145&lt;&gt;"",P145,IF(O145="","",WORKDAY.INTL(L145,ROUNDUP(O145,0),INDEX(LR_Code,MATCH(B145,LR_Lane,0)),INDEX(DH_Table,0,MATCH(B145&amp;"*",DH_Head,0)))))</f>
        <v/>
      </c>
      <c r="R145" s="100">
        <f>IF(Q145="","",IF(Q145&lt;=N145,"Yes","No"))</f>
        <v/>
      </c>
      <c r="S145" s="52">
        <f>IF(Q145="","",IF(Q145&lt;=N145,0,NETWORKDAYS.INTL(N145,Q145,INDEX(LR_Code,MATCH(B145,LR_Lane,0)),INDEX(DH_Table,0,MATCH(B145&amp;"*",DH_Head,0)))-1))</f>
        <v/>
      </c>
      <c r="T145" s="127" t="n"/>
      <c r="U145" s="112">
        <f>IF(V145&lt;&gt;"",V145,IF(IFERROR(INDEX(RS_Flag,MATCH(B145,RS_Lane,0)),"")="Yes",IF(IFERROR(INDEX(RS_Loc,MATCH(B145,RS_Lane,0)),"")="","Regional stock",IFERROR(INDEX(RS_Loc,MATCH(B145,RS_Lane,0)),"")),"Helmond"))</f>
        <v/>
      </c>
      <c r="V145" s="141" t="n"/>
      <c r="W145" s="142" t="n"/>
      <c r="X145" s="143" t="n"/>
      <c r="Y145" s="116">
        <f>IF(X145&lt;&gt;"",X145,IF(U145="Helmond",IF(COUNTIFS(RC_Lane,B145,RC_Band,E145,RC_CostPS,"&gt;0")=0,"",SUMIFS(RC_CostPS,RC_Lane,B145,RC_Band,E145)*(1-SUMIFS(RC_Disc,RC_Lane,B145,RC_Band,E145))),IF(U145="Other","",IF(INDEX(RS_Rate,MATCH(B145,RS_Lane,0))="","",INDEX(RS_Rate,MATCH(B145,RS_Lane,0))))))</f>
        <v/>
      </c>
    </row>
    <row r="146">
      <c r="A146" s="95" t="inlineStr">
        <is>
          <t>B-142</t>
        </is>
      </c>
      <c r="B146" s="112" t="inlineStr">
        <is>
          <t>L01</t>
        </is>
      </c>
      <c r="C146" s="101" t="inlineStr">
        <is>
          <t>Saudi Arabia</t>
        </is>
      </c>
      <c r="D146" s="101" t="inlineStr">
        <is>
          <t>Riyadh</t>
        </is>
      </c>
      <c r="E146" s="101" t="inlineStr">
        <is>
          <t>B1  0 to 30 kg</t>
        </is>
      </c>
      <c r="F146" s="123" t="n">
        <v>9</v>
      </c>
      <c r="G146" s="86">
        <f>F146*0.006477</f>
        <v/>
      </c>
      <c r="H146" s="123">
        <f>F146*1.079436</f>
        <v/>
      </c>
      <c r="I146" s="122">
        <f>MAX(1,ROUNDUP(G146/0.096,0))</f>
        <v/>
      </c>
      <c r="J146" s="84" t="n">
        <v>46555</v>
      </c>
      <c r="K146" s="87">
        <f>J146-WEEKDAY(J146,2)+1</f>
        <v/>
      </c>
      <c r="L146" s="84">
        <f>J146</f>
        <v/>
      </c>
      <c r="M146" s="52">
        <f>INDEX(LR_Target,MATCH(B146,LR_Lane,0))</f>
        <v/>
      </c>
      <c r="N146" s="84">
        <f>WORKDAY.INTL(L146,M146,INDEX(LR_Code,MATCH(B146,LR_Lane,0)),INDEX(DH_Table,0,MATCH(B146&amp;"*",DH_Head,0)))</f>
        <v/>
      </c>
      <c r="O146" s="65">
        <f>IF(W146&lt;&gt;"",W146,IF(U146="Helmond",IF(COUNTIFS(RC_Lane,B146,RC_Band,E146,RC_Transit,"&lt;&gt;")=0,"",SUMIFS(RC_Transit,RC_Lane,B146,RC_Band,E146)),IF(U146="Other","",IF(INDEX(RS_Transit,MATCH(B146,RS_Lane,0))="","",INDEX(RS_Transit,MATCH(B146,RS_Lane,0))))))</f>
        <v/>
      </c>
      <c r="P146" s="140" t="n"/>
      <c r="Q146" s="84">
        <f>IF(P146&lt;&gt;"",P146,IF(O146="","",WORKDAY.INTL(L146,ROUNDUP(O146,0),INDEX(LR_Code,MATCH(B146,LR_Lane,0)),INDEX(DH_Table,0,MATCH(B146&amp;"*",DH_Head,0)))))</f>
        <v/>
      </c>
      <c r="R146" s="100">
        <f>IF(Q146="","",IF(Q146&lt;=N146,"Yes","No"))</f>
        <v/>
      </c>
      <c r="S146" s="52">
        <f>IF(Q146="","",IF(Q146&lt;=N146,0,NETWORKDAYS.INTL(N146,Q146,INDEX(LR_Code,MATCH(B146,LR_Lane,0)),INDEX(DH_Table,0,MATCH(B146&amp;"*",DH_Head,0)))-1))</f>
        <v/>
      </c>
      <c r="T146" s="127" t="n"/>
      <c r="U146" s="112">
        <f>IF(V146&lt;&gt;"",V146,IF(IFERROR(INDEX(RS_Flag,MATCH(B146,RS_Lane,0)),"")="Yes",IF(IFERROR(INDEX(RS_Loc,MATCH(B146,RS_Lane,0)),"")="","Regional stock",IFERROR(INDEX(RS_Loc,MATCH(B146,RS_Lane,0)),"")),"Helmond"))</f>
        <v/>
      </c>
      <c r="V146" s="141" t="n"/>
      <c r="W146" s="142" t="n"/>
      <c r="X146" s="143" t="n"/>
      <c r="Y146" s="116">
        <f>IF(X146&lt;&gt;"",X146,IF(U146="Helmond",IF(COUNTIFS(RC_Lane,B146,RC_Band,E146,RC_CostPS,"&gt;0")=0,"",SUMIFS(RC_CostPS,RC_Lane,B146,RC_Band,E146)*(1-SUMIFS(RC_Disc,RC_Lane,B146,RC_Band,E146))),IF(U146="Other","",IF(INDEX(RS_Rate,MATCH(B146,RS_Lane,0))="","",INDEX(RS_Rate,MATCH(B146,RS_Lane,0))))))</f>
        <v/>
      </c>
    </row>
    <row r="147">
      <c r="A147" s="95" t="inlineStr">
        <is>
          <t>B-143</t>
        </is>
      </c>
      <c r="B147" s="112" t="inlineStr">
        <is>
          <t>L01</t>
        </is>
      </c>
      <c r="C147" s="101" t="inlineStr">
        <is>
          <t>Saudi Arabia</t>
        </is>
      </c>
      <c r="D147" s="101" t="inlineStr">
        <is>
          <t>Riyadh</t>
        </is>
      </c>
      <c r="E147" s="101" t="inlineStr">
        <is>
          <t>B1  0 to 30 kg</t>
        </is>
      </c>
      <c r="F147" s="123" t="n">
        <v>4.7</v>
      </c>
      <c r="G147" s="86">
        <f>F147*0.006477</f>
        <v/>
      </c>
      <c r="H147" s="123">
        <f>F147*1.079436</f>
        <v/>
      </c>
      <c r="I147" s="122">
        <f>MAX(1,ROUNDUP(G147/0.096,0))</f>
        <v/>
      </c>
      <c r="J147" s="84" t="n">
        <v>46556</v>
      </c>
      <c r="K147" s="87">
        <f>J147-WEEKDAY(J147,2)+1</f>
        <v/>
      </c>
      <c r="L147" s="84">
        <f>J147</f>
        <v/>
      </c>
      <c r="M147" s="52">
        <f>INDEX(LR_Target,MATCH(B147,LR_Lane,0))</f>
        <v/>
      </c>
      <c r="N147" s="84">
        <f>WORKDAY.INTL(L147,M147,INDEX(LR_Code,MATCH(B147,LR_Lane,0)),INDEX(DH_Table,0,MATCH(B147&amp;"*",DH_Head,0)))</f>
        <v/>
      </c>
      <c r="O147" s="65">
        <f>IF(W147&lt;&gt;"",W147,IF(U147="Helmond",IF(COUNTIFS(RC_Lane,B147,RC_Band,E147,RC_Transit,"&lt;&gt;")=0,"",SUMIFS(RC_Transit,RC_Lane,B147,RC_Band,E147)),IF(U147="Other","",IF(INDEX(RS_Transit,MATCH(B147,RS_Lane,0))="","",INDEX(RS_Transit,MATCH(B147,RS_Lane,0))))))</f>
        <v/>
      </c>
      <c r="P147" s="140" t="n"/>
      <c r="Q147" s="84">
        <f>IF(P147&lt;&gt;"",P147,IF(O147="","",WORKDAY.INTL(L147,ROUNDUP(O147,0),INDEX(LR_Code,MATCH(B147,LR_Lane,0)),INDEX(DH_Table,0,MATCH(B147&amp;"*",DH_Head,0)))))</f>
        <v/>
      </c>
      <c r="R147" s="100">
        <f>IF(Q147="","",IF(Q147&lt;=N147,"Yes","No"))</f>
        <v/>
      </c>
      <c r="S147" s="52">
        <f>IF(Q147="","",IF(Q147&lt;=N147,0,NETWORKDAYS.INTL(N147,Q147,INDEX(LR_Code,MATCH(B147,LR_Lane,0)),INDEX(DH_Table,0,MATCH(B147&amp;"*",DH_Head,0)))-1))</f>
        <v/>
      </c>
      <c r="T147" s="127" t="n"/>
      <c r="U147" s="112">
        <f>IF(V147&lt;&gt;"",V147,IF(IFERROR(INDEX(RS_Flag,MATCH(B147,RS_Lane,0)),"")="Yes",IF(IFERROR(INDEX(RS_Loc,MATCH(B147,RS_Lane,0)),"")="","Regional stock",IFERROR(INDEX(RS_Loc,MATCH(B147,RS_Lane,0)),"")),"Helmond"))</f>
        <v/>
      </c>
      <c r="V147" s="141" t="n"/>
      <c r="W147" s="142" t="n"/>
      <c r="X147" s="143" t="n"/>
      <c r="Y147" s="116">
        <f>IF(X147&lt;&gt;"",X147,IF(U147="Helmond",IF(COUNTIFS(RC_Lane,B147,RC_Band,E147,RC_CostPS,"&gt;0")=0,"",SUMIFS(RC_CostPS,RC_Lane,B147,RC_Band,E147)*(1-SUMIFS(RC_Disc,RC_Lane,B147,RC_Band,E147))),IF(U147="Other","",IF(INDEX(RS_Rate,MATCH(B147,RS_Lane,0))="","",INDEX(RS_Rate,MATCH(B147,RS_Lane,0))))))</f>
        <v/>
      </c>
    </row>
    <row r="148">
      <c r="A148" s="95" t="inlineStr">
        <is>
          <t>B-144</t>
        </is>
      </c>
      <c r="B148" s="112" t="inlineStr">
        <is>
          <t>L01</t>
        </is>
      </c>
      <c r="C148" s="101" t="inlineStr">
        <is>
          <t>Saudi Arabia</t>
        </is>
      </c>
      <c r="D148" s="101" t="inlineStr">
        <is>
          <t>Jeddah</t>
        </is>
      </c>
      <c r="E148" s="101" t="inlineStr">
        <is>
          <t>B1  0 to 30 kg</t>
        </is>
      </c>
      <c r="F148" s="123" t="n">
        <v>2.4</v>
      </c>
      <c r="G148" s="86">
        <f>F148*0.006477</f>
        <v/>
      </c>
      <c r="H148" s="123">
        <f>F148*1.079436</f>
        <v/>
      </c>
      <c r="I148" s="122">
        <f>MAX(1,ROUNDUP(G148/0.096,0))</f>
        <v/>
      </c>
      <c r="J148" s="84" t="n">
        <v>46556</v>
      </c>
      <c r="K148" s="87">
        <f>J148-WEEKDAY(J148,2)+1</f>
        <v/>
      </c>
      <c r="L148" s="84">
        <f>J148</f>
        <v/>
      </c>
      <c r="M148" s="52">
        <f>INDEX(LR_Target,MATCH(B148,LR_Lane,0))</f>
        <v/>
      </c>
      <c r="N148" s="84">
        <f>WORKDAY.INTL(L148,M148,INDEX(LR_Code,MATCH(B148,LR_Lane,0)),INDEX(DH_Table,0,MATCH(B148&amp;"*",DH_Head,0)))</f>
        <v/>
      </c>
      <c r="O148" s="65">
        <f>IF(W148&lt;&gt;"",W148,IF(U148="Helmond",IF(COUNTIFS(RC_Lane,B148,RC_Band,E148,RC_Transit,"&lt;&gt;")=0,"",SUMIFS(RC_Transit,RC_Lane,B148,RC_Band,E148)),IF(U148="Other","",IF(INDEX(RS_Transit,MATCH(B148,RS_Lane,0))="","",INDEX(RS_Transit,MATCH(B148,RS_Lane,0))))))</f>
        <v/>
      </c>
      <c r="P148" s="140" t="n"/>
      <c r="Q148" s="84">
        <f>IF(P148&lt;&gt;"",P148,IF(O148="","",WORKDAY.INTL(L148,ROUNDUP(O148,0),INDEX(LR_Code,MATCH(B148,LR_Lane,0)),INDEX(DH_Table,0,MATCH(B148&amp;"*",DH_Head,0)))))</f>
        <v/>
      </c>
      <c r="R148" s="100">
        <f>IF(Q148="","",IF(Q148&lt;=N148,"Yes","No"))</f>
        <v/>
      </c>
      <c r="S148" s="52">
        <f>IF(Q148="","",IF(Q148&lt;=N148,0,NETWORKDAYS.INTL(N148,Q148,INDEX(LR_Code,MATCH(B148,LR_Lane,0)),INDEX(DH_Table,0,MATCH(B148&amp;"*",DH_Head,0)))-1))</f>
        <v/>
      </c>
      <c r="T148" s="127" t="n"/>
      <c r="U148" s="112">
        <f>IF(V148&lt;&gt;"",V148,IF(IFERROR(INDEX(RS_Flag,MATCH(B148,RS_Lane,0)),"")="Yes",IF(IFERROR(INDEX(RS_Loc,MATCH(B148,RS_Lane,0)),"")="","Regional stock",IFERROR(INDEX(RS_Loc,MATCH(B148,RS_Lane,0)),"")),"Helmond"))</f>
        <v/>
      </c>
      <c r="V148" s="141" t="n"/>
      <c r="W148" s="142" t="n"/>
      <c r="X148" s="143" t="n"/>
      <c r="Y148" s="116">
        <f>IF(X148&lt;&gt;"",X148,IF(U148="Helmond",IF(COUNTIFS(RC_Lane,B148,RC_Band,E148,RC_CostPS,"&gt;0")=0,"",SUMIFS(RC_CostPS,RC_Lane,B148,RC_Band,E148)*(1-SUMIFS(RC_Disc,RC_Lane,B148,RC_Band,E148))),IF(U148="Other","",IF(INDEX(RS_Rate,MATCH(B148,RS_Lane,0))="","",INDEX(RS_Rate,MATCH(B148,RS_Lane,0))))))</f>
        <v/>
      </c>
    </row>
    <row r="149">
      <c r="A149" s="95" t="inlineStr">
        <is>
          <t>B-145</t>
        </is>
      </c>
      <c r="B149" s="112" t="inlineStr">
        <is>
          <t>L02</t>
        </is>
      </c>
      <c r="C149" s="101" t="inlineStr">
        <is>
          <t>United Arab Emirates</t>
        </is>
      </c>
      <c r="D149" s="101" t="inlineStr">
        <is>
          <t>Dubai</t>
        </is>
      </c>
      <c r="E149" s="101" t="inlineStr">
        <is>
          <t>B1  0 to 30 kg</t>
        </is>
      </c>
      <c r="F149" s="123" t="n">
        <v>12.2</v>
      </c>
      <c r="G149" s="86">
        <f>F149*0.006477</f>
        <v/>
      </c>
      <c r="H149" s="123">
        <f>F149*1.079436</f>
        <v/>
      </c>
      <c r="I149" s="122">
        <f>MAX(1,ROUNDUP(G149/0.096,0))</f>
        <v/>
      </c>
      <c r="J149" s="84" t="n">
        <v>46559</v>
      </c>
      <c r="K149" s="87">
        <f>J149-WEEKDAY(J149,2)+1</f>
        <v/>
      </c>
      <c r="L149" s="84">
        <f>J149</f>
        <v/>
      </c>
      <c r="M149" s="52">
        <f>INDEX(LR_Target,MATCH(B149,LR_Lane,0))</f>
        <v/>
      </c>
      <c r="N149" s="84">
        <f>WORKDAY.INTL(L149,M149,INDEX(LR_Code,MATCH(B149,LR_Lane,0)),INDEX(DH_Table,0,MATCH(B149&amp;"*",DH_Head,0)))</f>
        <v/>
      </c>
      <c r="O149" s="65">
        <f>IF(W149&lt;&gt;"",W149,IF(U149="Helmond",IF(COUNTIFS(RC_Lane,B149,RC_Band,E149,RC_Transit,"&lt;&gt;")=0,"",SUMIFS(RC_Transit,RC_Lane,B149,RC_Band,E149)),IF(U149="Other","",IF(INDEX(RS_Transit,MATCH(B149,RS_Lane,0))="","",INDEX(RS_Transit,MATCH(B149,RS_Lane,0))))))</f>
        <v/>
      </c>
      <c r="P149" s="140" t="n"/>
      <c r="Q149" s="84">
        <f>IF(P149&lt;&gt;"",P149,IF(O149="","",WORKDAY.INTL(L149,ROUNDUP(O149,0),INDEX(LR_Code,MATCH(B149,LR_Lane,0)),INDEX(DH_Table,0,MATCH(B149&amp;"*",DH_Head,0)))))</f>
        <v/>
      </c>
      <c r="R149" s="100">
        <f>IF(Q149="","",IF(Q149&lt;=N149,"Yes","No"))</f>
        <v/>
      </c>
      <c r="S149" s="52">
        <f>IF(Q149="","",IF(Q149&lt;=N149,0,NETWORKDAYS.INTL(N149,Q149,INDEX(LR_Code,MATCH(B149,LR_Lane,0)),INDEX(DH_Table,0,MATCH(B149&amp;"*",DH_Head,0)))-1))</f>
        <v/>
      </c>
      <c r="T149" s="127" t="n"/>
      <c r="U149" s="112">
        <f>IF(V149&lt;&gt;"",V149,IF(IFERROR(INDEX(RS_Flag,MATCH(B149,RS_Lane,0)),"")="Yes",IF(IFERROR(INDEX(RS_Loc,MATCH(B149,RS_Lane,0)),"")="","Regional stock",IFERROR(INDEX(RS_Loc,MATCH(B149,RS_Lane,0)),"")),"Helmond"))</f>
        <v/>
      </c>
      <c r="V149" s="141" t="n"/>
      <c r="W149" s="142" t="n"/>
      <c r="X149" s="143" t="n"/>
      <c r="Y149" s="116">
        <f>IF(X149&lt;&gt;"",X149,IF(U149="Helmond",IF(COUNTIFS(RC_Lane,B149,RC_Band,E149,RC_CostPS,"&gt;0")=0,"",SUMIFS(RC_CostPS,RC_Lane,B149,RC_Band,E149)*(1-SUMIFS(RC_Disc,RC_Lane,B149,RC_Band,E149))),IF(U149="Other","",IF(INDEX(RS_Rate,MATCH(B149,RS_Lane,0))="","",INDEX(RS_Rate,MATCH(B149,RS_Lane,0))))))</f>
        <v/>
      </c>
    </row>
    <row r="150">
      <c r="A150" s="95" t="inlineStr">
        <is>
          <t>B-146</t>
        </is>
      </c>
      <c r="B150" s="112" t="inlineStr">
        <is>
          <t>L02</t>
        </is>
      </c>
      <c r="C150" s="101" t="inlineStr">
        <is>
          <t>United Arab Emirates</t>
        </is>
      </c>
      <c r="D150" s="101" t="inlineStr">
        <is>
          <t>Dubai</t>
        </is>
      </c>
      <c r="E150" s="101" t="inlineStr">
        <is>
          <t>B1  0 to 30 kg</t>
        </is>
      </c>
      <c r="F150" s="123" t="n">
        <v>4.3</v>
      </c>
      <c r="G150" s="86">
        <f>F150*0.006477</f>
        <v/>
      </c>
      <c r="H150" s="123">
        <f>F150*1.079436</f>
        <v/>
      </c>
      <c r="I150" s="122">
        <f>MAX(1,ROUNDUP(G150/0.096,0))</f>
        <v/>
      </c>
      <c r="J150" s="84" t="n">
        <v>46559</v>
      </c>
      <c r="K150" s="87">
        <f>J150-WEEKDAY(J150,2)+1</f>
        <v/>
      </c>
      <c r="L150" s="84">
        <f>J150</f>
        <v/>
      </c>
      <c r="M150" s="52">
        <f>INDEX(LR_Target,MATCH(B150,LR_Lane,0))</f>
        <v/>
      </c>
      <c r="N150" s="84">
        <f>WORKDAY.INTL(L150,M150,INDEX(LR_Code,MATCH(B150,LR_Lane,0)),INDEX(DH_Table,0,MATCH(B150&amp;"*",DH_Head,0)))</f>
        <v/>
      </c>
      <c r="O150" s="65">
        <f>IF(W150&lt;&gt;"",W150,IF(U150="Helmond",IF(COUNTIFS(RC_Lane,B150,RC_Band,E150,RC_Transit,"&lt;&gt;")=0,"",SUMIFS(RC_Transit,RC_Lane,B150,RC_Band,E150)),IF(U150="Other","",IF(INDEX(RS_Transit,MATCH(B150,RS_Lane,0))="","",INDEX(RS_Transit,MATCH(B150,RS_Lane,0))))))</f>
        <v/>
      </c>
      <c r="P150" s="140" t="n"/>
      <c r="Q150" s="84">
        <f>IF(P150&lt;&gt;"",P150,IF(O150="","",WORKDAY.INTL(L150,ROUNDUP(O150,0),INDEX(LR_Code,MATCH(B150,LR_Lane,0)),INDEX(DH_Table,0,MATCH(B150&amp;"*",DH_Head,0)))))</f>
        <v/>
      </c>
      <c r="R150" s="100">
        <f>IF(Q150="","",IF(Q150&lt;=N150,"Yes","No"))</f>
        <v/>
      </c>
      <c r="S150" s="52">
        <f>IF(Q150="","",IF(Q150&lt;=N150,0,NETWORKDAYS.INTL(N150,Q150,INDEX(LR_Code,MATCH(B150,LR_Lane,0)),INDEX(DH_Table,0,MATCH(B150&amp;"*",DH_Head,0)))-1))</f>
        <v/>
      </c>
      <c r="T150" s="127" t="n"/>
      <c r="U150" s="112">
        <f>IF(V150&lt;&gt;"",V150,IF(IFERROR(INDEX(RS_Flag,MATCH(B150,RS_Lane,0)),"")="Yes",IF(IFERROR(INDEX(RS_Loc,MATCH(B150,RS_Lane,0)),"")="","Regional stock",IFERROR(INDEX(RS_Loc,MATCH(B150,RS_Lane,0)),"")),"Helmond"))</f>
        <v/>
      </c>
      <c r="V150" s="141" t="n"/>
      <c r="W150" s="142" t="n"/>
      <c r="X150" s="143" t="n"/>
      <c r="Y150" s="116">
        <f>IF(X150&lt;&gt;"",X150,IF(U150="Helmond",IF(COUNTIFS(RC_Lane,B150,RC_Band,E150,RC_CostPS,"&gt;0")=0,"",SUMIFS(RC_CostPS,RC_Lane,B150,RC_Band,E150)*(1-SUMIFS(RC_Disc,RC_Lane,B150,RC_Band,E150))),IF(U150="Other","",IF(INDEX(RS_Rate,MATCH(B150,RS_Lane,0))="","",INDEX(RS_Rate,MATCH(B150,RS_Lane,0))))))</f>
        <v/>
      </c>
    </row>
    <row r="151">
      <c r="A151" s="95" t="inlineStr">
        <is>
          <t>B-147</t>
        </is>
      </c>
      <c r="B151" s="112" t="inlineStr">
        <is>
          <t>L05</t>
        </is>
      </c>
      <c r="C151" s="101" t="inlineStr">
        <is>
          <t>Türkiye</t>
        </is>
      </c>
      <c r="D151" s="101" t="inlineStr">
        <is>
          <t>Istanbul</t>
        </is>
      </c>
      <c r="E151" s="101" t="inlineStr">
        <is>
          <t>B3  100 to 500 kg</t>
        </is>
      </c>
      <c r="F151" s="123" t="n">
        <v>131</v>
      </c>
      <c r="G151" s="86">
        <f>F151*0.006477</f>
        <v/>
      </c>
      <c r="H151" s="123">
        <f>F151*1.079436</f>
        <v/>
      </c>
      <c r="I151" s="122">
        <f>MAX(1,ROUNDUP(G151/0.096,0))</f>
        <v/>
      </c>
      <c r="J151" s="84" t="n">
        <v>46559</v>
      </c>
      <c r="K151" s="87">
        <f>J151-WEEKDAY(J151,2)+1</f>
        <v/>
      </c>
      <c r="L151" s="84">
        <f>J151</f>
        <v/>
      </c>
      <c r="M151" s="52">
        <f>INDEX(LR_Target,MATCH(B151,LR_Lane,0))</f>
        <v/>
      </c>
      <c r="N151" s="84">
        <f>WORKDAY.INTL(L151,M151,INDEX(LR_Code,MATCH(B151,LR_Lane,0)),INDEX(DH_Table,0,MATCH(B151&amp;"*",DH_Head,0)))</f>
        <v/>
      </c>
      <c r="O151" s="65">
        <f>IF(W151&lt;&gt;"",W151,IF(U151="Helmond",IF(COUNTIFS(RC_Lane,B151,RC_Band,E151,RC_Transit,"&lt;&gt;")=0,"",SUMIFS(RC_Transit,RC_Lane,B151,RC_Band,E151)),IF(U151="Other","",IF(INDEX(RS_Transit,MATCH(B151,RS_Lane,0))="","",INDEX(RS_Transit,MATCH(B151,RS_Lane,0))))))</f>
        <v/>
      </c>
      <c r="P151" s="140" t="n"/>
      <c r="Q151" s="84">
        <f>IF(P151&lt;&gt;"",P151,IF(O151="","",WORKDAY.INTL(L151,ROUNDUP(O151,0),INDEX(LR_Code,MATCH(B151,LR_Lane,0)),INDEX(DH_Table,0,MATCH(B151&amp;"*",DH_Head,0)))))</f>
        <v/>
      </c>
      <c r="R151" s="100">
        <f>IF(Q151="","",IF(Q151&lt;=N151,"Yes","No"))</f>
        <v/>
      </c>
      <c r="S151" s="52">
        <f>IF(Q151="","",IF(Q151&lt;=N151,0,NETWORKDAYS.INTL(N151,Q151,INDEX(LR_Code,MATCH(B151,LR_Lane,0)),INDEX(DH_Table,0,MATCH(B151&amp;"*",DH_Head,0)))-1))</f>
        <v/>
      </c>
      <c r="T151" s="127" t="n"/>
      <c r="U151" s="112">
        <f>IF(V151&lt;&gt;"",V151,IF(IFERROR(INDEX(RS_Flag,MATCH(B151,RS_Lane,0)),"")="Yes",IF(IFERROR(INDEX(RS_Loc,MATCH(B151,RS_Lane,0)),"")="","Regional stock",IFERROR(INDEX(RS_Loc,MATCH(B151,RS_Lane,0)),"")),"Helmond"))</f>
        <v/>
      </c>
      <c r="V151" s="141" t="n"/>
      <c r="W151" s="142" t="n"/>
      <c r="X151" s="143" t="n"/>
      <c r="Y151" s="116">
        <f>IF(X151&lt;&gt;"",X151,IF(U151="Helmond",IF(COUNTIFS(RC_Lane,B151,RC_Band,E151,RC_CostPS,"&gt;0")=0,"",SUMIFS(RC_CostPS,RC_Lane,B151,RC_Band,E151)*(1-SUMIFS(RC_Disc,RC_Lane,B151,RC_Band,E151))),IF(U151="Other","",IF(INDEX(RS_Rate,MATCH(B151,RS_Lane,0))="","",INDEX(RS_Rate,MATCH(B151,RS_Lane,0))))))</f>
        <v/>
      </c>
    </row>
    <row r="152">
      <c r="A152" s="95" t="inlineStr">
        <is>
          <t>B-148</t>
        </is>
      </c>
      <c r="B152" s="112" t="inlineStr">
        <is>
          <t>L06</t>
        </is>
      </c>
      <c r="C152" s="101" t="inlineStr">
        <is>
          <t>Morocco</t>
        </is>
      </c>
      <c r="D152" s="101" t="inlineStr">
        <is>
          <t>Casablanca area</t>
        </is>
      </c>
      <c r="E152" s="101" t="inlineStr">
        <is>
          <t>B3  100 to 500 kg</t>
        </is>
      </c>
      <c r="F152" s="123" t="n">
        <v>328.2</v>
      </c>
      <c r="G152" s="86">
        <f>F152*0.006477</f>
        <v/>
      </c>
      <c r="H152" s="123">
        <f>F152*1.079436</f>
        <v/>
      </c>
      <c r="I152" s="122">
        <f>MAX(1,ROUNDUP(G152/0.096,0))</f>
        <v/>
      </c>
      <c r="J152" s="84" t="n">
        <v>46560</v>
      </c>
      <c r="K152" s="87">
        <f>J152-WEEKDAY(J152,2)+1</f>
        <v/>
      </c>
      <c r="L152" s="84">
        <f>J152</f>
        <v/>
      </c>
      <c r="M152" s="52">
        <f>INDEX(LR_Target,MATCH(B152,LR_Lane,0))</f>
        <v/>
      </c>
      <c r="N152" s="84">
        <f>WORKDAY.INTL(L152,M152,INDEX(LR_Code,MATCH(B152,LR_Lane,0)),INDEX(DH_Table,0,MATCH(B152&amp;"*",DH_Head,0)))</f>
        <v/>
      </c>
      <c r="O152" s="65">
        <f>IF(W152&lt;&gt;"",W152,IF(U152="Helmond",IF(COUNTIFS(RC_Lane,B152,RC_Band,E152,RC_Transit,"&lt;&gt;")=0,"",SUMIFS(RC_Transit,RC_Lane,B152,RC_Band,E152)),IF(U152="Other","",IF(INDEX(RS_Transit,MATCH(B152,RS_Lane,0))="","",INDEX(RS_Transit,MATCH(B152,RS_Lane,0))))))</f>
        <v/>
      </c>
      <c r="P152" s="140" t="n"/>
      <c r="Q152" s="84">
        <f>IF(P152&lt;&gt;"",P152,IF(O152="","",WORKDAY.INTL(L152,ROUNDUP(O152,0),INDEX(LR_Code,MATCH(B152,LR_Lane,0)),INDEX(DH_Table,0,MATCH(B152&amp;"*",DH_Head,0)))))</f>
        <v/>
      </c>
      <c r="R152" s="100">
        <f>IF(Q152="","",IF(Q152&lt;=N152,"Yes","No"))</f>
        <v/>
      </c>
      <c r="S152" s="52">
        <f>IF(Q152="","",IF(Q152&lt;=N152,0,NETWORKDAYS.INTL(N152,Q152,INDEX(LR_Code,MATCH(B152,LR_Lane,0)),INDEX(DH_Table,0,MATCH(B152&amp;"*",DH_Head,0)))-1))</f>
        <v/>
      </c>
      <c r="T152" s="127" t="n"/>
      <c r="U152" s="112">
        <f>IF(V152&lt;&gt;"",V152,IF(IFERROR(INDEX(RS_Flag,MATCH(B152,RS_Lane,0)),"")="Yes",IF(IFERROR(INDEX(RS_Loc,MATCH(B152,RS_Lane,0)),"")="","Regional stock",IFERROR(INDEX(RS_Loc,MATCH(B152,RS_Lane,0)),"")),"Helmond"))</f>
        <v/>
      </c>
      <c r="V152" s="141" t="n"/>
      <c r="W152" s="142" t="n"/>
      <c r="X152" s="143" t="n"/>
      <c r="Y152" s="116">
        <f>IF(X152&lt;&gt;"",X152,IF(U152="Helmond",IF(COUNTIFS(RC_Lane,B152,RC_Band,E152,RC_CostPS,"&gt;0")=0,"",SUMIFS(RC_CostPS,RC_Lane,B152,RC_Band,E152)*(1-SUMIFS(RC_Disc,RC_Lane,B152,RC_Band,E152))),IF(U152="Other","",IF(INDEX(RS_Rate,MATCH(B152,RS_Lane,0))="","",INDEX(RS_Rate,MATCH(B152,RS_Lane,0))))))</f>
        <v/>
      </c>
    </row>
    <row r="153">
      <c r="A153" s="95" t="inlineStr">
        <is>
          <t>B-149</t>
        </is>
      </c>
      <c r="B153" s="112" t="inlineStr">
        <is>
          <t>L03</t>
        </is>
      </c>
      <c r="C153" s="101" t="inlineStr">
        <is>
          <t>Kuwait</t>
        </is>
      </c>
      <c r="D153" s="101" t="inlineStr">
        <is>
          <t>Kuwait City</t>
        </is>
      </c>
      <c r="E153" s="101" t="inlineStr">
        <is>
          <t>B1  0 to 30 kg</t>
        </is>
      </c>
      <c r="F153" s="123" t="n">
        <v>9.699999999999999</v>
      </c>
      <c r="G153" s="86">
        <f>F153*0.006477</f>
        <v/>
      </c>
      <c r="H153" s="123">
        <f>F153*1.079436</f>
        <v/>
      </c>
      <c r="I153" s="122">
        <f>MAX(1,ROUNDUP(G153/0.096,0))</f>
        <v/>
      </c>
      <c r="J153" s="84" t="n">
        <v>46561</v>
      </c>
      <c r="K153" s="87">
        <f>J153-WEEKDAY(J153,2)+1</f>
        <v/>
      </c>
      <c r="L153" s="84">
        <f>J153</f>
        <v/>
      </c>
      <c r="M153" s="52">
        <f>INDEX(LR_Target,MATCH(B153,LR_Lane,0))</f>
        <v/>
      </c>
      <c r="N153" s="84">
        <f>WORKDAY.INTL(L153,M153,INDEX(LR_Code,MATCH(B153,LR_Lane,0)),INDEX(DH_Table,0,MATCH(B153&amp;"*",DH_Head,0)))</f>
        <v/>
      </c>
      <c r="O153" s="65">
        <f>IF(W153&lt;&gt;"",W153,IF(U153="Helmond",IF(COUNTIFS(RC_Lane,B153,RC_Band,E153,RC_Transit,"&lt;&gt;")=0,"",SUMIFS(RC_Transit,RC_Lane,B153,RC_Band,E153)),IF(U153="Other","",IF(INDEX(RS_Transit,MATCH(B153,RS_Lane,0))="","",INDEX(RS_Transit,MATCH(B153,RS_Lane,0))))))</f>
        <v/>
      </c>
      <c r="P153" s="140" t="n"/>
      <c r="Q153" s="84">
        <f>IF(P153&lt;&gt;"",P153,IF(O153="","",WORKDAY.INTL(L153,ROUNDUP(O153,0),INDEX(LR_Code,MATCH(B153,LR_Lane,0)),INDEX(DH_Table,0,MATCH(B153&amp;"*",DH_Head,0)))))</f>
        <v/>
      </c>
      <c r="R153" s="100">
        <f>IF(Q153="","",IF(Q153&lt;=N153,"Yes","No"))</f>
        <v/>
      </c>
      <c r="S153" s="52">
        <f>IF(Q153="","",IF(Q153&lt;=N153,0,NETWORKDAYS.INTL(N153,Q153,INDEX(LR_Code,MATCH(B153,LR_Lane,0)),INDEX(DH_Table,0,MATCH(B153&amp;"*",DH_Head,0)))-1))</f>
        <v/>
      </c>
      <c r="T153" s="127" t="n"/>
      <c r="U153" s="112">
        <f>IF(V153&lt;&gt;"",V153,IF(IFERROR(INDEX(RS_Flag,MATCH(B153,RS_Lane,0)),"")="Yes",IF(IFERROR(INDEX(RS_Loc,MATCH(B153,RS_Lane,0)),"")="","Regional stock",IFERROR(INDEX(RS_Loc,MATCH(B153,RS_Lane,0)),"")),"Helmond"))</f>
        <v/>
      </c>
      <c r="V153" s="141" t="n"/>
      <c r="W153" s="142" t="n"/>
      <c r="X153" s="143" t="n"/>
      <c r="Y153" s="116">
        <f>IF(X153&lt;&gt;"",X153,IF(U153="Helmond",IF(COUNTIFS(RC_Lane,B153,RC_Band,E153,RC_CostPS,"&gt;0")=0,"",SUMIFS(RC_CostPS,RC_Lane,B153,RC_Band,E153)*(1-SUMIFS(RC_Disc,RC_Lane,B153,RC_Band,E153))),IF(U153="Other","",IF(INDEX(RS_Rate,MATCH(B153,RS_Lane,0))="","",INDEX(RS_Rate,MATCH(B153,RS_Lane,0))))))</f>
        <v/>
      </c>
    </row>
    <row r="154">
      <c r="A154" s="95" t="inlineStr">
        <is>
          <t>B-150</t>
        </is>
      </c>
      <c r="B154" s="112" t="inlineStr">
        <is>
          <t>L04</t>
        </is>
      </c>
      <c r="C154" s="101" t="inlineStr">
        <is>
          <t>Qatar</t>
        </is>
      </c>
      <c r="D154" s="101" t="inlineStr">
        <is>
          <t>Doha</t>
        </is>
      </c>
      <c r="E154" s="101" t="inlineStr">
        <is>
          <t>B2  30 to 100 kg</t>
        </is>
      </c>
      <c r="F154" s="123" t="n">
        <v>52.7</v>
      </c>
      <c r="G154" s="86">
        <f>F154*0.006477</f>
        <v/>
      </c>
      <c r="H154" s="123">
        <f>F154*1.079436</f>
        <v/>
      </c>
      <c r="I154" s="122">
        <f>MAX(1,ROUNDUP(G154/0.096,0))</f>
        <v/>
      </c>
      <c r="J154" s="84" t="n">
        <v>46562</v>
      </c>
      <c r="K154" s="87">
        <f>J154-WEEKDAY(J154,2)+1</f>
        <v/>
      </c>
      <c r="L154" s="84">
        <f>J154</f>
        <v/>
      </c>
      <c r="M154" s="52">
        <f>INDEX(LR_Target,MATCH(B154,LR_Lane,0))</f>
        <v/>
      </c>
      <c r="N154" s="84">
        <f>WORKDAY.INTL(L154,M154,INDEX(LR_Code,MATCH(B154,LR_Lane,0)),INDEX(DH_Table,0,MATCH(B154&amp;"*",DH_Head,0)))</f>
        <v/>
      </c>
      <c r="O154" s="65">
        <f>IF(W154&lt;&gt;"",W154,IF(U154="Helmond",IF(COUNTIFS(RC_Lane,B154,RC_Band,E154,RC_Transit,"&lt;&gt;")=0,"",SUMIFS(RC_Transit,RC_Lane,B154,RC_Band,E154)),IF(U154="Other","",IF(INDEX(RS_Transit,MATCH(B154,RS_Lane,0))="","",INDEX(RS_Transit,MATCH(B154,RS_Lane,0))))))</f>
        <v/>
      </c>
      <c r="P154" s="140" t="n"/>
      <c r="Q154" s="84">
        <f>IF(P154&lt;&gt;"",P154,IF(O154="","",WORKDAY.INTL(L154,ROUNDUP(O154,0),INDEX(LR_Code,MATCH(B154,LR_Lane,0)),INDEX(DH_Table,0,MATCH(B154&amp;"*",DH_Head,0)))))</f>
        <v/>
      </c>
      <c r="R154" s="100">
        <f>IF(Q154="","",IF(Q154&lt;=N154,"Yes","No"))</f>
        <v/>
      </c>
      <c r="S154" s="52">
        <f>IF(Q154="","",IF(Q154&lt;=N154,0,NETWORKDAYS.INTL(N154,Q154,INDEX(LR_Code,MATCH(B154,LR_Lane,0)),INDEX(DH_Table,0,MATCH(B154&amp;"*",DH_Head,0)))-1))</f>
        <v/>
      </c>
      <c r="T154" s="127" t="n"/>
      <c r="U154" s="112">
        <f>IF(V154&lt;&gt;"",V154,IF(IFERROR(INDEX(RS_Flag,MATCH(B154,RS_Lane,0)),"")="Yes",IF(IFERROR(INDEX(RS_Loc,MATCH(B154,RS_Lane,0)),"")="","Regional stock",IFERROR(INDEX(RS_Loc,MATCH(B154,RS_Lane,0)),"")),"Helmond"))</f>
        <v/>
      </c>
      <c r="V154" s="141" t="n"/>
      <c r="W154" s="142" t="n"/>
      <c r="X154" s="143" t="n"/>
      <c r="Y154" s="116">
        <f>IF(X154&lt;&gt;"",X154,IF(U154="Helmond",IF(COUNTIFS(RC_Lane,B154,RC_Band,E154,RC_CostPS,"&gt;0")=0,"",SUMIFS(RC_CostPS,RC_Lane,B154,RC_Band,E154)*(1-SUMIFS(RC_Disc,RC_Lane,B154,RC_Band,E154))),IF(U154="Other","",IF(INDEX(RS_Rate,MATCH(B154,RS_Lane,0))="","",INDEX(RS_Rate,MATCH(B154,RS_Lane,0))))))</f>
        <v/>
      </c>
    </row>
    <row r="155">
      <c r="A155" s="95" t="inlineStr">
        <is>
          <t>B-151</t>
        </is>
      </c>
      <c r="B155" s="112" t="inlineStr">
        <is>
          <t>L01</t>
        </is>
      </c>
      <c r="C155" s="101" t="inlineStr">
        <is>
          <t>Saudi Arabia</t>
        </is>
      </c>
      <c r="D155" s="101" t="inlineStr">
        <is>
          <t>Riyadh</t>
        </is>
      </c>
      <c r="E155" s="101" t="inlineStr">
        <is>
          <t>B2  30 to 100 kg</t>
        </is>
      </c>
      <c r="F155" s="123" t="n">
        <v>31</v>
      </c>
      <c r="G155" s="86">
        <f>F155*0.006477</f>
        <v/>
      </c>
      <c r="H155" s="123">
        <f>F155*1.079436</f>
        <v/>
      </c>
      <c r="I155" s="122">
        <f>MAX(1,ROUNDUP(G155/0.096,0))</f>
        <v/>
      </c>
      <c r="J155" s="84" t="n">
        <v>46563</v>
      </c>
      <c r="K155" s="87">
        <f>J155-WEEKDAY(J155,2)+1</f>
        <v/>
      </c>
      <c r="L155" s="84">
        <f>J155</f>
        <v/>
      </c>
      <c r="M155" s="52">
        <f>INDEX(LR_Target,MATCH(B155,LR_Lane,0))</f>
        <v/>
      </c>
      <c r="N155" s="84">
        <f>WORKDAY.INTL(L155,M155,INDEX(LR_Code,MATCH(B155,LR_Lane,0)),INDEX(DH_Table,0,MATCH(B155&amp;"*",DH_Head,0)))</f>
        <v/>
      </c>
      <c r="O155" s="65">
        <f>IF(W155&lt;&gt;"",W155,IF(U155="Helmond",IF(COUNTIFS(RC_Lane,B155,RC_Band,E155,RC_Transit,"&lt;&gt;")=0,"",SUMIFS(RC_Transit,RC_Lane,B155,RC_Band,E155)),IF(U155="Other","",IF(INDEX(RS_Transit,MATCH(B155,RS_Lane,0))="","",INDEX(RS_Transit,MATCH(B155,RS_Lane,0))))))</f>
        <v/>
      </c>
      <c r="P155" s="140" t="n"/>
      <c r="Q155" s="84">
        <f>IF(P155&lt;&gt;"",P155,IF(O155="","",WORKDAY.INTL(L155,ROUNDUP(O155,0),INDEX(LR_Code,MATCH(B155,LR_Lane,0)),INDEX(DH_Table,0,MATCH(B155&amp;"*",DH_Head,0)))))</f>
        <v/>
      </c>
      <c r="R155" s="100">
        <f>IF(Q155="","",IF(Q155&lt;=N155,"Yes","No"))</f>
        <v/>
      </c>
      <c r="S155" s="52">
        <f>IF(Q155="","",IF(Q155&lt;=N155,0,NETWORKDAYS.INTL(N155,Q155,INDEX(LR_Code,MATCH(B155,LR_Lane,0)),INDEX(DH_Table,0,MATCH(B155&amp;"*",DH_Head,0)))-1))</f>
        <v/>
      </c>
      <c r="T155" s="127" t="n"/>
      <c r="U155" s="112">
        <f>IF(V155&lt;&gt;"",V155,IF(IFERROR(INDEX(RS_Flag,MATCH(B155,RS_Lane,0)),"")="Yes",IF(IFERROR(INDEX(RS_Loc,MATCH(B155,RS_Lane,0)),"")="","Regional stock",IFERROR(INDEX(RS_Loc,MATCH(B155,RS_Lane,0)),"")),"Helmond"))</f>
        <v/>
      </c>
      <c r="V155" s="141" t="n"/>
      <c r="W155" s="142" t="n"/>
      <c r="X155" s="143" t="n"/>
      <c r="Y155" s="116">
        <f>IF(X155&lt;&gt;"",X155,IF(U155="Helmond",IF(COUNTIFS(RC_Lane,B155,RC_Band,E155,RC_CostPS,"&gt;0")=0,"",SUMIFS(RC_CostPS,RC_Lane,B155,RC_Band,E155)*(1-SUMIFS(RC_Disc,RC_Lane,B155,RC_Band,E155))),IF(U155="Other","",IF(INDEX(RS_Rate,MATCH(B155,RS_Lane,0))="","",INDEX(RS_Rate,MATCH(B155,RS_Lane,0))))))</f>
        <v/>
      </c>
    </row>
    <row r="156">
      <c r="A156" s="95" t="inlineStr">
        <is>
          <t>B-152</t>
        </is>
      </c>
      <c r="B156" s="112" t="inlineStr">
        <is>
          <t>L01</t>
        </is>
      </c>
      <c r="C156" s="101" t="inlineStr">
        <is>
          <t>Saudi Arabia</t>
        </is>
      </c>
      <c r="D156" s="101" t="inlineStr">
        <is>
          <t>Riyadh</t>
        </is>
      </c>
      <c r="E156" s="101" t="inlineStr">
        <is>
          <t>B1  0 to 30 kg</t>
        </is>
      </c>
      <c r="F156" s="123" t="n">
        <v>6.6</v>
      </c>
      <c r="G156" s="86">
        <f>F156*0.006477</f>
        <v/>
      </c>
      <c r="H156" s="123">
        <f>F156*1.079436</f>
        <v/>
      </c>
      <c r="I156" s="122">
        <f>MAX(1,ROUNDUP(G156/0.096,0))</f>
        <v/>
      </c>
      <c r="J156" s="84" t="n">
        <v>46563</v>
      </c>
      <c r="K156" s="87">
        <f>J156-WEEKDAY(J156,2)+1</f>
        <v/>
      </c>
      <c r="L156" s="84">
        <f>J156</f>
        <v/>
      </c>
      <c r="M156" s="52">
        <f>INDEX(LR_Target,MATCH(B156,LR_Lane,0))</f>
        <v/>
      </c>
      <c r="N156" s="84">
        <f>WORKDAY.INTL(L156,M156,INDEX(LR_Code,MATCH(B156,LR_Lane,0)),INDEX(DH_Table,0,MATCH(B156&amp;"*",DH_Head,0)))</f>
        <v/>
      </c>
      <c r="O156" s="65">
        <f>IF(W156&lt;&gt;"",W156,IF(U156="Helmond",IF(COUNTIFS(RC_Lane,B156,RC_Band,E156,RC_Transit,"&lt;&gt;")=0,"",SUMIFS(RC_Transit,RC_Lane,B156,RC_Band,E156)),IF(U156="Other","",IF(INDEX(RS_Transit,MATCH(B156,RS_Lane,0))="","",INDEX(RS_Transit,MATCH(B156,RS_Lane,0))))))</f>
        <v/>
      </c>
      <c r="P156" s="140" t="n"/>
      <c r="Q156" s="84">
        <f>IF(P156&lt;&gt;"",P156,IF(O156="","",WORKDAY.INTL(L156,ROUNDUP(O156,0),INDEX(LR_Code,MATCH(B156,LR_Lane,0)),INDEX(DH_Table,0,MATCH(B156&amp;"*",DH_Head,0)))))</f>
        <v/>
      </c>
      <c r="R156" s="100">
        <f>IF(Q156="","",IF(Q156&lt;=N156,"Yes","No"))</f>
        <v/>
      </c>
      <c r="S156" s="52">
        <f>IF(Q156="","",IF(Q156&lt;=N156,0,NETWORKDAYS.INTL(N156,Q156,INDEX(LR_Code,MATCH(B156,LR_Lane,0)),INDEX(DH_Table,0,MATCH(B156&amp;"*",DH_Head,0)))-1))</f>
        <v/>
      </c>
      <c r="T156" s="127" t="n"/>
      <c r="U156" s="112">
        <f>IF(V156&lt;&gt;"",V156,IF(IFERROR(INDEX(RS_Flag,MATCH(B156,RS_Lane,0)),"")="Yes",IF(IFERROR(INDEX(RS_Loc,MATCH(B156,RS_Lane,0)),"")="","Regional stock",IFERROR(INDEX(RS_Loc,MATCH(B156,RS_Lane,0)),"")),"Helmond"))</f>
        <v/>
      </c>
      <c r="V156" s="141" t="n"/>
      <c r="W156" s="142" t="n"/>
      <c r="X156" s="143" t="n"/>
      <c r="Y156" s="116">
        <f>IF(X156&lt;&gt;"",X156,IF(U156="Helmond",IF(COUNTIFS(RC_Lane,B156,RC_Band,E156,RC_CostPS,"&gt;0")=0,"",SUMIFS(RC_CostPS,RC_Lane,B156,RC_Band,E156)*(1-SUMIFS(RC_Disc,RC_Lane,B156,RC_Band,E156))),IF(U156="Other","",IF(INDEX(RS_Rate,MATCH(B156,RS_Lane,0))="","",INDEX(RS_Rate,MATCH(B156,RS_Lane,0))))))</f>
        <v/>
      </c>
    </row>
    <row r="157">
      <c r="A157" s="95" t="inlineStr">
        <is>
          <t>B-153</t>
        </is>
      </c>
      <c r="B157" s="112" t="inlineStr">
        <is>
          <t>L07</t>
        </is>
      </c>
      <c r="C157" s="101" t="inlineStr">
        <is>
          <t>Algeria</t>
        </is>
      </c>
      <c r="D157" s="101" t="inlineStr">
        <is>
          <t>Algiers</t>
        </is>
      </c>
      <c r="E157" s="101" t="inlineStr">
        <is>
          <t>B1  0 to 30 kg</t>
        </is>
      </c>
      <c r="F157" s="123" t="n">
        <v>9.300000000000001</v>
      </c>
      <c r="G157" s="86">
        <f>F157*0.006477</f>
        <v/>
      </c>
      <c r="H157" s="123">
        <f>F157*1.079436</f>
        <v/>
      </c>
      <c r="I157" s="122">
        <f>MAX(1,ROUNDUP(G157/0.096,0))</f>
        <v/>
      </c>
      <c r="J157" s="84" t="n">
        <v>46567</v>
      </c>
      <c r="K157" s="87">
        <f>J157-WEEKDAY(J157,2)+1</f>
        <v/>
      </c>
      <c r="L157" s="84">
        <f>J157</f>
        <v/>
      </c>
      <c r="M157" s="52">
        <f>INDEX(LR_Target,MATCH(B157,LR_Lane,0))</f>
        <v/>
      </c>
      <c r="N157" s="84">
        <f>WORKDAY.INTL(L157,M157,INDEX(LR_Code,MATCH(B157,LR_Lane,0)),INDEX(DH_Table,0,MATCH(B157&amp;"*",DH_Head,0)))</f>
        <v/>
      </c>
      <c r="O157" s="65">
        <f>IF(W157&lt;&gt;"",W157,IF(U157="Helmond",IF(COUNTIFS(RC_Lane,B157,RC_Band,E157,RC_Transit,"&lt;&gt;")=0,"",SUMIFS(RC_Transit,RC_Lane,B157,RC_Band,E157)),IF(U157="Other","",IF(INDEX(RS_Transit,MATCH(B157,RS_Lane,0))="","",INDEX(RS_Transit,MATCH(B157,RS_Lane,0))))))</f>
        <v/>
      </c>
      <c r="P157" s="140" t="n"/>
      <c r="Q157" s="84">
        <f>IF(P157&lt;&gt;"",P157,IF(O157="","",WORKDAY.INTL(L157,ROUNDUP(O157,0),INDEX(LR_Code,MATCH(B157,LR_Lane,0)),INDEX(DH_Table,0,MATCH(B157&amp;"*",DH_Head,0)))))</f>
        <v/>
      </c>
      <c r="R157" s="100">
        <f>IF(Q157="","",IF(Q157&lt;=N157,"Yes","No"))</f>
        <v/>
      </c>
      <c r="S157" s="52">
        <f>IF(Q157="","",IF(Q157&lt;=N157,0,NETWORKDAYS.INTL(N157,Q157,INDEX(LR_Code,MATCH(B157,LR_Lane,0)),INDEX(DH_Table,0,MATCH(B157&amp;"*",DH_Head,0)))-1))</f>
        <v/>
      </c>
      <c r="T157" s="127" t="n"/>
      <c r="U157" s="112">
        <f>IF(V157&lt;&gt;"",V157,IF(IFERROR(INDEX(RS_Flag,MATCH(B157,RS_Lane,0)),"")="Yes",IF(IFERROR(INDEX(RS_Loc,MATCH(B157,RS_Lane,0)),"")="","Regional stock",IFERROR(INDEX(RS_Loc,MATCH(B157,RS_Lane,0)),"")),"Helmond"))</f>
        <v/>
      </c>
      <c r="V157" s="141" t="n"/>
      <c r="W157" s="142" t="n"/>
      <c r="X157" s="143" t="n"/>
      <c r="Y157" s="116">
        <f>IF(X157&lt;&gt;"",X157,IF(U157="Helmond",IF(COUNTIFS(RC_Lane,B157,RC_Band,E157,RC_CostPS,"&gt;0")=0,"",SUMIFS(RC_CostPS,RC_Lane,B157,RC_Band,E157)*(1-SUMIFS(RC_Disc,RC_Lane,B157,RC_Band,E157))),IF(U157="Other","",IF(INDEX(RS_Rate,MATCH(B157,RS_Lane,0))="","",INDEX(RS_Rate,MATCH(B157,RS_Lane,0))))))</f>
        <v/>
      </c>
    </row>
    <row r="158">
      <c r="A158" s="95" t="inlineStr">
        <is>
          <t>B-154</t>
        </is>
      </c>
      <c r="B158" s="112" t="inlineStr">
        <is>
          <t>L03</t>
        </is>
      </c>
      <c r="C158" s="101" t="inlineStr">
        <is>
          <t>Kuwait</t>
        </is>
      </c>
      <c r="D158" s="101" t="inlineStr">
        <is>
          <t>Kuwait City</t>
        </is>
      </c>
      <c r="E158" s="101" t="inlineStr">
        <is>
          <t>B3  100 to 500 kg</t>
        </is>
      </c>
      <c r="F158" s="123" t="n">
        <v>147.3</v>
      </c>
      <c r="G158" s="86">
        <f>F158*0.006477</f>
        <v/>
      </c>
      <c r="H158" s="123">
        <f>F158*1.079436</f>
        <v/>
      </c>
      <c r="I158" s="122">
        <f>MAX(1,ROUNDUP(G158/0.096,0))</f>
        <v/>
      </c>
      <c r="J158" s="84" t="n">
        <v>46568</v>
      </c>
      <c r="K158" s="87">
        <f>J158-WEEKDAY(J158,2)+1</f>
        <v/>
      </c>
      <c r="L158" s="84">
        <f>J158</f>
        <v/>
      </c>
      <c r="M158" s="52">
        <f>INDEX(LR_Target,MATCH(B158,LR_Lane,0))</f>
        <v/>
      </c>
      <c r="N158" s="84">
        <f>WORKDAY.INTL(L158,M158,INDEX(LR_Code,MATCH(B158,LR_Lane,0)),INDEX(DH_Table,0,MATCH(B158&amp;"*",DH_Head,0)))</f>
        <v/>
      </c>
      <c r="O158" s="65">
        <f>IF(W158&lt;&gt;"",W158,IF(U158="Helmond",IF(COUNTIFS(RC_Lane,B158,RC_Band,E158,RC_Transit,"&lt;&gt;")=0,"",SUMIFS(RC_Transit,RC_Lane,B158,RC_Band,E158)),IF(U158="Other","",IF(INDEX(RS_Transit,MATCH(B158,RS_Lane,0))="","",INDEX(RS_Transit,MATCH(B158,RS_Lane,0))))))</f>
        <v/>
      </c>
      <c r="P158" s="140" t="n"/>
      <c r="Q158" s="84">
        <f>IF(P158&lt;&gt;"",P158,IF(O158="","",WORKDAY.INTL(L158,ROUNDUP(O158,0),INDEX(LR_Code,MATCH(B158,LR_Lane,0)),INDEX(DH_Table,0,MATCH(B158&amp;"*",DH_Head,0)))))</f>
        <v/>
      </c>
      <c r="R158" s="100">
        <f>IF(Q158="","",IF(Q158&lt;=N158,"Yes","No"))</f>
        <v/>
      </c>
      <c r="S158" s="52">
        <f>IF(Q158="","",IF(Q158&lt;=N158,0,NETWORKDAYS.INTL(N158,Q158,INDEX(LR_Code,MATCH(B158,LR_Lane,0)),INDEX(DH_Table,0,MATCH(B158&amp;"*",DH_Head,0)))-1))</f>
        <v/>
      </c>
      <c r="T158" s="127" t="n"/>
      <c r="U158" s="112">
        <f>IF(V158&lt;&gt;"",V158,IF(IFERROR(INDEX(RS_Flag,MATCH(B158,RS_Lane,0)),"")="Yes",IF(IFERROR(INDEX(RS_Loc,MATCH(B158,RS_Lane,0)),"")="","Regional stock",IFERROR(INDEX(RS_Loc,MATCH(B158,RS_Lane,0)),"")),"Helmond"))</f>
        <v/>
      </c>
      <c r="V158" s="141" t="n"/>
      <c r="W158" s="142" t="n"/>
      <c r="X158" s="143" t="n"/>
      <c r="Y158" s="116">
        <f>IF(X158&lt;&gt;"",X158,IF(U158="Helmond",IF(COUNTIFS(RC_Lane,B158,RC_Band,E158,RC_CostPS,"&gt;0")=0,"",SUMIFS(RC_CostPS,RC_Lane,B158,RC_Band,E158)*(1-SUMIFS(RC_Disc,RC_Lane,B158,RC_Band,E158))),IF(U158="Other","",IF(INDEX(RS_Rate,MATCH(B158,RS_Lane,0))="","",INDEX(RS_Rate,MATCH(B158,RS_Lane,0))))))</f>
        <v/>
      </c>
    </row>
    <row r="159">
      <c r="A159" s="95" t="inlineStr">
        <is>
          <t>B-155</t>
        </is>
      </c>
      <c r="B159" s="112" t="inlineStr">
        <is>
          <t>L02</t>
        </is>
      </c>
      <c r="C159" s="101" t="inlineStr">
        <is>
          <t>United Arab Emirates</t>
        </is>
      </c>
      <c r="D159" s="101" t="inlineStr">
        <is>
          <t>Dubai</t>
        </is>
      </c>
      <c r="E159" s="101" t="inlineStr">
        <is>
          <t>B1  0 to 30 kg</t>
        </is>
      </c>
      <c r="F159" s="123" t="n">
        <v>6</v>
      </c>
      <c r="G159" s="86">
        <f>F159*0.006477</f>
        <v/>
      </c>
      <c r="H159" s="123">
        <f>F159*1.079436</f>
        <v/>
      </c>
      <c r="I159" s="122">
        <f>MAX(1,ROUNDUP(G159/0.096,0))</f>
        <v/>
      </c>
      <c r="J159" s="84" t="n">
        <v>46573</v>
      </c>
      <c r="K159" s="87">
        <f>J159-WEEKDAY(J159,2)+1</f>
        <v/>
      </c>
      <c r="L159" s="84">
        <f>J159</f>
        <v/>
      </c>
      <c r="M159" s="52">
        <f>INDEX(LR_Target,MATCH(B159,LR_Lane,0))</f>
        <v/>
      </c>
      <c r="N159" s="84">
        <f>WORKDAY.INTL(L159,M159,INDEX(LR_Code,MATCH(B159,LR_Lane,0)),INDEX(DH_Table,0,MATCH(B159&amp;"*",DH_Head,0)))</f>
        <v/>
      </c>
      <c r="O159" s="65">
        <f>IF(W159&lt;&gt;"",W159,IF(U159="Helmond",IF(COUNTIFS(RC_Lane,B159,RC_Band,E159,RC_Transit,"&lt;&gt;")=0,"",SUMIFS(RC_Transit,RC_Lane,B159,RC_Band,E159)),IF(U159="Other","",IF(INDEX(RS_Transit,MATCH(B159,RS_Lane,0))="","",INDEX(RS_Transit,MATCH(B159,RS_Lane,0))))))</f>
        <v/>
      </c>
      <c r="P159" s="140" t="n"/>
      <c r="Q159" s="84">
        <f>IF(P159&lt;&gt;"",P159,IF(O159="","",WORKDAY.INTL(L159,ROUNDUP(O159,0),INDEX(LR_Code,MATCH(B159,LR_Lane,0)),INDEX(DH_Table,0,MATCH(B159&amp;"*",DH_Head,0)))))</f>
        <v/>
      </c>
      <c r="R159" s="100">
        <f>IF(Q159="","",IF(Q159&lt;=N159,"Yes","No"))</f>
        <v/>
      </c>
      <c r="S159" s="52">
        <f>IF(Q159="","",IF(Q159&lt;=N159,0,NETWORKDAYS.INTL(N159,Q159,INDEX(LR_Code,MATCH(B159,LR_Lane,0)),INDEX(DH_Table,0,MATCH(B159&amp;"*",DH_Head,0)))-1))</f>
        <v/>
      </c>
      <c r="T159" s="127" t="n"/>
      <c r="U159" s="112">
        <f>IF(V159&lt;&gt;"",V159,IF(IFERROR(INDEX(RS_Flag,MATCH(B159,RS_Lane,0)),"")="Yes",IF(IFERROR(INDEX(RS_Loc,MATCH(B159,RS_Lane,0)),"")="","Regional stock",IFERROR(INDEX(RS_Loc,MATCH(B159,RS_Lane,0)),"")),"Helmond"))</f>
        <v/>
      </c>
      <c r="V159" s="141" t="n"/>
      <c r="W159" s="142" t="n"/>
      <c r="X159" s="143" t="n"/>
      <c r="Y159" s="116">
        <f>IF(X159&lt;&gt;"",X159,IF(U159="Helmond",IF(COUNTIFS(RC_Lane,B159,RC_Band,E159,RC_CostPS,"&gt;0")=0,"",SUMIFS(RC_CostPS,RC_Lane,B159,RC_Band,E159)*(1-SUMIFS(RC_Disc,RC_Lane,B159,RC_Band,E159))),IF(U159="Other","",IF(INDEX(RS_Rate,MATCH(B159,RS_Lane,0))="","",INDEX(RS_Rate,MATCH(B159,RS_Lane,0))))))</f>
        <v/>
      </c>
    </row>
    <row r="160">
      <c r="A160" s="95" t="inlineStr">
        <is>
          <t>B-156</t>
        </is>
      </c>
      <c r="B160" s="112" t="inlineStr">
        <is>
          <t>L02</t>
        </is>
      </c>
      <c r="C160" s="101" t="inlineStr">
        <is>
          <t>United Arab Emirates</t>
        </is>
      </c>
      <c r="D160" s="101" t="inlineStr">
        <is>
          <t>Dubai</t>
        </is>
      </c>
      <c r="E160" s="101" t="inlineStr">
        <is>
          <t>B1  0 to 30 kg</t>
        </is>
      </c>
      <c r="F160" s="123" t="n">
        <v>9.300000000000001</v>
      </c>
      <c r="G160" s="86">
        <f>F160*0.006477</f>
        <v/>
      </c>
      <c r="H160" s="123">
        <f>F160*1.079436</f>
        <v/>
      </c>
      <c r="I160" s="122">
        <f>MAX(1,ROUNDUP(G160/0.096,0))</f>
        <v/>
      </c>
      <c r="J160" s="84" t="n">
        <v>46573</v>
      </c>
      <c r="K160" s="87">
        <f>J160-WEEKDAY(J160,2)+1</f>
        <v/>
      </c>
      <c r="L160" s="84">
        <f>J160</f>
        <v/>
      </c>
      <c r="M160" s="52">
        <f>INDEX(LR_Target,MATCH(B160,LR_Lane,0))</f>
        <v/>
      </c>
      <c r="N160" s="84">
        <f>WORKDAY.INTL(L160,M160,INDEX(LR_Code,MATCH(B160,LR_Lane,0)),INDEX(DH_Table,0,MATCH(B160&amp;"*",DH_Head,0)))</f>
        <v/>
      </c>
      <c r="O160" s="65">
        <f>IF(W160&lt;&gt;"",W160,IF(U160="Helmond",IF(COUNTIFS(RC_Lane,B160,RC_Band,E160,RC_Transit,"&lt;&gt;")=0,"",SUMIFS(RC_Transit,RC_Lane,B160,RC_Band,E160)),IF(U160="Other","",IF(INDEX(RS_Transit,MATCH(B160,RS_Lane,0))="","",INDEX(RS_Transit,MATCH(B160,RS_Lane,0))))))</f>
        <v/>
      </c>
      <c r="P160" s="140" t="n"/>
      <c r="Q160" s="84">
        <f>IF(P160&lt;&gt;"",P160,IF(O160="","",WORKDAY.INTL(L160,ROUNDUP(O160,0),INDEX(LR_Code,MATCH(B160,LR_Lane,0)),INDEX(DH_Table,0,MATCH(B160&amp;"*",DH_Head,0)))))</f>
        <v/>
      </c>
      <c r="R160" s="100">
        <f>IF(Q160="","",IF(Q160&lt;=N160,"Yes","No"))</f>
        <v/>
      </c>
      <c r="S160" s="52">
        <f>IF(Q160="","",IF(Q160&lt;=N160,0,NETWORKDAYS.INTL(N160,Q160,INDEX(LR_Code,MATCH(B160,LR_Lane,0)),INDEX(DH_Table,0,MATCH(B160&amp;"*",DH_Head,0)))-1))</f>
        <v/>
      </c>
      <c r="T160" s="127" t="n"/>
      <c r="U160" s="112">
        <f>IF(V160&lt;&gt;"",V160,IF(IFERROR(INDEX(RS_Flag,MATCH(B160,RS_Lane,0)),"")="Yes",IF(IFERROR(INDEX(RS_Loc,MATCH(B160,RS_Lane,0)),"")="","Regional stock",IFERROR(INDEX(RS_Loc,MATCH(B160,RS_Lane,0)),"")),"Helmond"))</f>
        <v/>
      </c>
      <c r="V160" s="141" t="n"/>
      <c r="W160" s="142" t="n"/>
      <c r="X160" s="143" t="n"/>
      <c r="Y160" s="116">
        <f>IF(X160&lt;&gt;"",X160,IF(U160="Helmond",IF(COUNTIFS(RC_Lane,B160,RC_Band,E160,RC_CostPS,"&gt;0")=0,"",SUMIFS(RC_CostPS,RC_Lane,B160,RC_Band,E160)*(1-SUMIFS(RC_Disc,RC_Lane,B160,RC_Band,E160))),IF(U160="Other","",IF(INDEX(RS_Rate,MATCH(B160,RS_Lane,0))="","",INDEX(RS_Rate,MATCH(B160,RS_Lane,0))))))</f>
        <v/>
      </c>
    </row>
    <row r="161">
      <c r="A161" s="95" t="inlineStr">
        <is>
          <t>B-157</t>
        </is>
      </c>
      <c r="B161" s="112" t="inlineStr">
        <is>
          <t>L04</t>
        </is>
      </c>
      <c r="C161" s="101" t="inlineStr">
        <is>
          <t>Qatar</t>
        </is>
      </c>
      <c r="D161" s="101" t="inlineStr">
        <is>
          <t>Doha</t>
        </is>
      </c>
      <c r="E161" s="101" t="inlineStr">
        <is>
          <t>B2  30 to 100 kg</t>
        </is>
      </c>
      <c r="F161" s="123" t="n">
        <v>33.3</v>
      </c>
      <c r="G161" s="86">
        <f>F161*0.006477</f>
        <v/>
      </c>
      <c r="H161" s="123">
        <f>F161*1.079436</f>
        <v/>
      </c>
      <c r="I161" s="122">
        <f>MAX(1,ROUNDUP(G161/0.096,0))</f>
        <v/>
      </c>
      <c r="J161" s="84" t="n">
        <v>46573</v>
      </c>
      <c r="K161" s="87">
        <f>J161-WEEKDAY(J161,2)+1</f>
        <v/>
      </c>
      <c r="L161" s="84">
        <f>J161</f>
        <v/>
      </c>
      <c r="M161" s="52">
        <f>INDEX(LR_Target,MATCH(B161,LR_Lane,0))</f>
        <v/>
      </c>
      <c r="N161" s="84">
        <f>WORKDAY.INTL(L161,M161,INDEX(LR_Code,MATCH(B161,LR_Lane,0)),INDEX(DH_Table,0,MATCH(B161&amp;"*",DH_Head,0)))</f>
        <v/>
      </c>
      <c r="O161" s="65">
        <f>IF(W161&lt;&gt;"",W161,IF(U161="Helmond",IF(COUNTIFS(RC_Lane,B161,RC_Band,E161,RC_Transit,"&lt;&gt;")=0,"",SUMIFS(RC_Transit,RC_Lane,B161,RC_Band,E161)),IF(U161="Other","",IF(INDEX(RS_Transit,MATCH(B161,RS_Lane,0))="","",INDEX(RS_Transit,MATCH(B161,RS_Lane,0))))))</f>
        <v/>
      </c>
      <c r="P161" s="140" t="n"/>
      <c r="Q161" s="84">
        <f>IF(P161&lt;&gt;"",P161,IF(O161="","",WORKDAY.INTL(L161,ROUNDUP(O161,0),INDEX(LR_Code,MATCH(B161,LR_Lane,0)),INDEX(DH_Table,0,MATCH(B161&amp;"*",DH_Head,0)))))</f>
        <v/>
      </c>
      <c r="R161" s="100">
        <f>IF(Q161="","",IF(Q161&lt;=N161,"Yes","No"))</f>
        <v/>
      </c>
      <c r="S161" s="52">
        <f>IF(Q161="","",IF(Q161&lt;=N161,0,NETWORKDAYS.INTL(N161,Q161,INDEX(LR_Code,MATCH(B161,LR_Lane,0)),INDEX(DH_Table,0,MATCH(B161&amp;"*",DH_Head,0)))-1))</f>
        <v/>
      </c>
      <c r="T161" s="127" t="n"/>
      <c r="U161" s="112">
        <f>IF(V161&lt;&gt;"",V161,IF(IFERROR(INDEX(RS_Flag,MATCH(B161,RS_Lane,0)),"")="Yes",IF(IFERROR(INDEX(RS_Loc,MATCH(B161,RS_Lane,0)),"")="","Regional stock",IFERROR(INDEX(RS_Loc,MATCH(B161,RS_Lane,0)),"")),"Helmond"))</f>
        <v/>
      </c>
      <c r="V161" s="141" t="n"/>
      <c r="W161" s="142" t="n"/>
      <c r="X161" s="143" t="n"/>
      <c r="Y161" s="116">
        <f>IF(X161&lt;&gt;"",X161,IF(U161="Helmond",IF(COUNTIFS(RC_Lane,B161,RC_Band,E161,RC_CostPS,"&gt;0")=0,"",SUMIFS(RC_CostPS,RC_Lane,B161,RC_Band,E161)*(1-SUMIFS(RC_Disc,RC_Lane,B161,RC_Band,E161))),IF(U161="Other","",IF(INDEX(RS_Rate,MATCH(B161,RS_Lane,0))="","",INDEX(RS_Rate,MATCH(B161,RS_Lane,0))))))</f>
        <v/>
      </c>
    </row>
    <row r="162">
      <c r="A162" s="95" t="inlineStr">
        <is>
          <t>B-158</t>
        </is>
      </c>
      <c r="B162" s="112" t="inlineStr">
        <is>
          <t>L01</t>
        </is>
      </c>
      <c r="C162" s="101" t="inlineStr">
        <is>
          <t>Saudi Arabia</t>
        </is>
      </c>
      <c r="D162" s="101" t="inlineStr">
        <is>
          <t>Jeddah</t>
        </is>
      </c>
      <c r="E162" s="101" t="inlineStr">
        <is>
          <t>B4  500 to 2,000 kg</t>
        </is>
      </c>
      <c r="F162" s="123" t="n">
        <v>1050.8</v>
      </c>
      <c r="G162" s="86">
        <f>F162*0.006477</f>
        <v/>
      </c>
      <c r="H162" s="123">
        <f>F162*1.079436</f>
        <v/>
      </c>
      <c r="I162" s="122">
        <f>MAX(1,ROUNDUP(G162/0.096,0))</f>
        <v/>
      </c>
      <c r="J162" s="84" t="n">
        <v>46577</v>
      </c>
      <c r="K162" s="87">
        <f>J162-WEEKDAY(J162,2)+1</f>
        <v/>
      </c>
      <c r="L162" s="84">
        <f>J162</f>
        <v/>
      </c>
      <c r="M162" s="52">
        <f>INDEX(LR_Target,MATCH(B162,LR_Lane,0))</f>
        <v/>
      </c>
      <c r="N162" s="84">
        <f>WORKDAY.INTL(L162,M162,INDEX(LR_Code,MATCH(B162,LR_Lane,0)),INDEX(DH_Table,0,MATCH(B162&amp;"*",DH_Head,0)))</f>
        <v/>
      </c>
      <c r="O162" s="65">
        <f>IF(W162&lt;&gt;"",W162,IF(U162="Helmond",IF(COUNTIFS(RC_Lane,B162,RC_Band,E162,RC_Transit,"&lt;&gt;")=0,"",SUMIFS(RC_Transit,RC_Lane,B162,RC_Band,E162)),IF(U162="Other","",IF(INDEX(RS_Transit,MATCH(B162,RS_Lane,0))="","",INDEX(RS_Transit,MATCH(B162,RS_Lane,0))))))</f>
        <v/>
      </c>
      <c r="P162" s="140" t="n"/>
      <c r="Q162" s="84">
        <f>IF(P162&lt;&gt;"",P162,IF(O162="","",WORKDAY.INTL(L162,ROUNDUP(O162,0),INDEX(LR_Code,MATCH(B162,LR_Lane,0)),INDEX(DH_Table,0,MATCH(B162&amp;"*",DH_Head,0)))))</f>
        <v/>
      </c>
      <c r="R162" s="100">
        <f>IF(Q162="","",IF(Q162&lt;=N162,"Yes","No"))</f>
        <v/>
      </c>
      <c r="S162" s="52">
        <f>IF(Q162="","",IF(Q162&lt;=N162,0,NETWORKDAYS.INTL(N162,Q162,INDEX(LR_Code,MATCH(B162,LR_Lane,0)),INDEX(DH_Table,0,MATCH(B162&amp;"*",DH_Head,0)))-1))</f>
        <v/>
      </c>
      <c r="T162" s="127" t="n"/>
      <c r="U162" s="112">
        <f>IF(V162&lt;&gt;"",V162,IF(IFERROR(INDEX(RS_Flag,MATCH(B162,RS_Lane,0)),"")="Yes",IF(IFERROR(INDEX(RS_Loc,MATCH(B162,RS_Lane,0)),"")="","Regional stock",IFERROR(INDEX(RS_Loc,MATCH(B162,RS_Lane,0)),"")),"Helmond"))</f>
        <v/>
      </c>
      <c r="V162" s="141" t="n"/>
      <c r="W162" s="142" t="n"/>
      <c r="X162" s="143" t="n"/>
      <c r="Y162" s="116">
        <f>IF(X162&lt;&gt;"",X162,IF(U162="Helmond",IF(COUNTIFS(RC_Lane,B162,RC_Band,E162,RC_CostPS,"&gt;0")=0,"",SUMIFS(RC_CostPS,RC_Lane,B162,RC_Band,E162)*(1-SUMIFS(RC_Disc,RC_Lane,B162,RC_Band,E162))),IF(U162="Other","",IF(INDEX(RS_Rate,MATCH(B162,RS_Lane,0))="","",INDEX(RS_Rate,MATCH(B162,RS_Lane,0))))))</f>
        <v/>
      </c>
    </row>
    <row r="163">
      <c r="A163" s="95" t="inlineStr">
        <is>
          <t>B-159</t>
        </is>
      </c>
      <c r="B163" s="112" t="inlineStr">
        <is>
          <t>L08</t>
        </is>
      </c>
      <c r="C163" s="101" t="inlineStr">
        <is>
          <t>Egypt</t>
        </is>
      </c>
      <c r="D163" s="101" t="inlineStr">
        <is>
          <t>Cairo area</t>
        </is>
      </c>
      <c r="E163" s="101" t="inlineStr">
        <is>
          <t>B1  0 to 30 kg</t>
        </is>
      </c>
      <c r="F163" s="123" t="n">
        <v>2</v>
      </c>
      <c r="G163" s="86">
        <f>F163*0.006477</f>
        <v/>
      </c>
      <c r="H163" s="123">
        <f>F163*1.079436</f>
        <v/>
      </c>
      <c r="I163" s="122">
        <f>MAX(1,ROUNDUP(G163/0.096,0))</f>
        <v/>
      </c>
      <c r="J163" s="84" t="n">
        <v>46577</v>
      </c>
      <c r="K163" s="87">
        <f>J163-WEEKDAY(J163,2)+1</f>
        <v/>
      </c>
      <c r="L163" s="84">
        <f>J163</f>
        <v/>
      </c>
      <c r="M163" s="52">
        <f>INDEX(LR_Target,MATCH(B163,LR_Lane,0))</f>
        <v/>
      </c>
      <c r="N163" s="84">
        <f>WORKDAY.INTL(L163,M163,INDEX(LR_Code,MATCH(B163,LR_Lane,0)),INDEX(DH_Table,0,MATCH(B163&amp;"*",DH_Head,0)))</f>
        <v/>
      </c>
      <c r="O163" s="65">
        <f>IF(W163&lt;&gt;"",W163,IF(U163="Helmond",IF(COUNTIFS(RC_Lane,B163,RC_Band,E163,RC_Transit,"&lt;&gt;")=0,"",SUMIFS(RC_Transit,RC_Lane,B163,RC_Band,E163)),IF(U163="Other","",IF(INDEX(RS_Transit,MATCH(B163,RS_Lane,0))="","",INDEX(RS_Transit,MATCH(B163,RS_Lane,0))))))</f>
        <v/>
      </c>
      <c r="P163" s="140" t="n"/>
      <c r="Q163" s="84">
        <f>IF(P163&lt;&gt;"",P163,IF(O163="","",WORKDAY.INTL(L163,ROUNDUP(O163,0),INDEX(LR_Code,MATCH(B163,LR_Lane,0)),INDEX(DH_Table,0,MATCH(B163&amp;"*",DH_Head,0)))))</f>
        <v/>
      </c>
      <c r="R163" s="100">
        <f>IF(Q163="","",IF(Q163&lt;=N163,"Yes","No"))</f>
        <v/>
      </c>
      <c r="S163" s="52">
        <f>IF(Q163="","",IF(Q163&lt;=N163,0,NETWORKDAYS.INTL(N163,Q163,INDEX(LR_Code,MATCH(B163,LR_Lane,0)),INDEX(DH_Table,0,MATCH(B163&amp;"*",DH_Head,0)))-1))</f>
        <v/>
      </c>
      <c r="T163" s="127" t="n"/>
      <c r="U163" s="112">
        <f>IF(V163&lt;&gt;"",V163,IF(IFERROR(INDEX(RS_Flag,MATCH(B163,RS_Lane,0)),"")="Yes",IF(IFERROR(INDEX(RS_Loc,MATCH(B163,RS_Lane,0)),"")="","Regional stock",IFERROR(INDEX(RS_Loc,MATCH(B163,RS_Lane,0)),"")),"Helmond"))</f>
        <v/>
      </c>
      <c r="V163" s="141" t="n"/>
      <c r="W163" s="142" t="n"/>
      <c r="X163" s="143" t="n"/>
      <c r="Y163" s="116">
        <f>IF(X163&lt;&gt;"",X163,IF(U163="Helmond",IF(COUNTIFS(RC_Lane,B163,RC_Band,E163,RC_CostPS,"&gt;0")=0,"",SUMIFS(RC_CostPS,RC_Lane,B163,RC_Band,E163)*(1-SUMIFS(RC_Disc,RC_Lane,B163,RC_Band,E163))),IF(U163="Other","",IF(INDEX(RS_Rate,MATCH(B163,RS_Lane,0))="","",INDEX(RS_Rate,MATCH(B163,RS_Lane,0))))))</f>
        <v/>
      </c>
    </row>
    <row r="164">
      <c r="A164" s="95" t="inlineStr">
        <is>
          <t>B-160</t>
        </is>
      </c>
      <c r="B164" s="112" t="inlineStr">
        <is>
          <t>L07</t>
        </is>
      </c>
      <c r="C164" s="101" t="inlineStr">
        <is>
          <t>Algeria</t>
        </is>
      </c>
      <c r="D164" s="101" t="inlineStr">
        <is>
          <t>Algiers</t>
        </is>
      </c>
      <c r="E164" s="101" t="inlineStr">
        <is>
          <t>B1  0 to 30 kg</t>
        </is>
      </c>
      <c r="F164" s="123" t="n">
        <v>9.199999999999999</v>
      </c>
      <c r="G164" s="86">
        <f>F164*0.006477</f>
        <v/>
      </c>
      <c r="H164" s="123">
        <f>F164*1.079436</f>
        <v/>
      </c>
      <c r="I164" s="122">
        <f>MAX(1,ROUNDUP(G164/0.096,0))</f>
        <v/>
      </c>
      <c r="J164" s="84" t="n">
        <v>46580</v>
      </c>
      <c r="K164" s="87">
        <f>J164-WEEKDAY(J164,2)+1</f>
        <v/>
      </c>
      <c r="L164" s="84">
        <f>J164</f>
        <v/>
      </c>
      <c r="M164" s="52">
        <f>INDEX(LR_Target,MATCH(B164,LR_Lane,0))</f>
        <v/>
      </c>
      <c r="N164" s="84">
        <f>WORKDAY.INTL(L164,M164,INDEX(LR_Code,MATCH(B164,LR_Lane,0)),INDEX(DH_Table,0,MATCH(B164&amp;"*",DH_Head,0)))</f>
        <v/>
      </c>
      <c r="O164" s="65">
        <f>IF(W164&lt;&gt;"",W164,IF(U164="Helmond",IF(COUNTIFS(RC_Lane,B164,RC_Band,E164,RC_Transit,"&lt;&gt;")=0,"",SUMIFS(RC_Transit,RC_Lane,B164,RC_Band,E164)),IF(U164="Other","",IF(INDEX(RS_Transit,MATCH(B164,RS_Lane,0))="","",INDEX(RS_Transit,MATCH(B164,RS_Lane,0))))))</f>
        <v/>
      </c>
      <c r="P164" s="140" t="n"/>
      <c r="Q164" s="84">
        <f>IF(P164&lt;&gt;"",P164,IF(O164="","",WORKDAY.INTL(L164,ROUNDUP(O164,0),INDEX(LR_Code,MATCH(B164,LR_Lane,0)),INDEX(DH_Table,0,MATCH(B164&amp;"*",DH_Head,0)))))</f>
        <v/>
      </c>
      <c r="R164" s="100">
        <f>IF(Q164="","",IF(Q164&lt;=N164,"Yes","No"))</f>
        <v/>
      </c>
      <c r="S164" s="52">
        <f>IF(Q164="","",IF(Q164&lt;=N164,0,NETWORKDAYS.INTL(N164,Q164,INDEX(LR_Code,MATCH(B164,LR_Lane,0)),INDEX(DH_Table,0,MATCH(B164&amp;"*",DH_Head,0)))-1))</f>
        <v/>
      </c>
      <c r="T164" s="127" t="n"/>
      <c r="U164" s="112">
        <f>IF(V164&lt;&gt;"",V164,IF(IFERROR(INDEX(RS_Flag,MATCH(B164,RS_Lane,0)),"")="Yes",IF(IFERROR(INDEX(RS_Loc,MATCH(B164,RS_Lane,0)),"")="","Regional stock",IFERROR(INDEX(RS_Loc,MATCH(B164,RS_Lane,0)),"")),"Helmond"))</f>
        <v/>
      </c>
      <c r="V164" s="141" t="n"/>
      <c r="W164" s="142" t="n"/>
      <c r="X164" s="143" t="n"/>
      <c r="Y164" s="116">
        <f>IF(X164&lt;&gt;"",X164,IF(U164="Helmond",IF(COUNTIFS(RC_Lane,B164,RC_Band,E164,RC_CostPS,"&gt;0")=0,"",SUMIFS(RC_CostPS,RC_Lane,B164,RC_Band,E164)*(1-SUMIFS(RC_Disc,RC_Lane,B164,RC_Band,E164))),IF(U164="Other","",IF(INDEX(RS_Rate,MATCH(B164,RS_Lane,0))="","",INDEX(RS_Rate,MATCH(B164,RS_Lane,0))))))</f>
        <v/>
      </c>
    </row>
    <row r="165">
      <c r="A165" s="95" t="inlineStr">
        <is>
          <t>B-161</t>
        </is>
      </c>
      <c r="B165" s="112" t="inlineStr">
        <is>
          <t>L01</t>
        </is>
      </c>
      <c r="C165" s="101" t="inlineStr">
        <is>
          <t>Saudi Arabia</t>
        </is>
      </c>
      <c r="D165" s="101" t="inlineStr">
        <is>
          <t>Riyadh</t>
        </is>
      </c>
      <c r="E165" s="101" t="inlineStr">
        <is>
          <t>B2  30 to 100 kg</t>
        </is>
      </c>
      <c r="F165" s="123" t="n">
        <v>38.8</v>
      </c>
      <c r="G165" s="86">
        <f>F165*0.006477</f>
        <v/>
      </c>
      <c r="H165" s="123">
        <f>F165*1.079436</f>
        <v/>
      </c>
      <c r="I165" s="122">
        <f>MAX(1,ROUNDUP(G165/0.096,0))</f>
        <v/>
      </c>
      <c r="J165" s="84" t="n">
        <v>46581</v>
      </c>
      <c r="K165" s="87">
        <f>J165-WEEKDAY(J165,2)+1</f>
        <v/>
      </c>
      <c r="L165" s="84">
        <f>J165</f>
        <v/>
      </c>
      <c r="M165" s="52">
        <f>INDEX(LR_Target,MATCH(B165,LR_Lane,0))</f>
        <v/>
      </c>
      <c r="N165" s="84">
        <f>WORKDAY.INTL(L165,M165,INDEX(LR_Code,MATCH(B165,LR_Lane,0)),INDEX(DH_Table,0,MATCH(B165&amp;"*",DH_Head,0)))</f>
        <v/>
      </c>
      <c r="O165" s="65">
        <f>IF(W165&lt;&gt;"",W165,IF(U165="Helmond",IF(COUNTIFS(RC_Lane,B165,RC_Band,E165,RC_Transit,"&lt;&gt;")=0,"",SUMIFS(RC_Transit,RC_Lane,B165,RC_Band,E165)),IF(U165="Other","",IF(INDEX(RS_Transit,MATCH(B165,RS_Lane,0))="","",INDEX(RS_Transit,MATCH(B165,RS_Lane,0))))))</f>
        <v/>
      </c>
      <c r="P165" s="140" t="n"/>
      <c r="Q165" s="84">
        <f>IF(P165&lt;&gt;"",P165,IF(O165="","",WORKDAY.INTL(L165,ROUNDUP(O165,0),INDEX(LR_Code,MATCH(B165,LR_Lane,0)),INDEX(DH_Table,0,MATCH(B165&amp;"*",DH_Head,0)))))</f>
        <v/>
      </c>
      <c r="R165" s="100">
        <f>IF(Q165="","",IF(Q165&lt;=N165,"Yes","No"))</f>
        <v/>
      </c>
      <c r="S165" s="52">
        <f>IF(Q165="","",IF(Q165&lt;=N165,0,NETWORKDAYS.INTL(N165,Q165,INDEX(LR_Code,MATCH(B165,LR_Lane,0)),INDEX(DH_Table,0,MATCH(B165&amp;"*",DH_Head,0)))-1))</f>
        <v/>
      </c>
      <c r="T165" s="127" t="n"/>
      <c r="U165" s="112">
        <f>IF(V165&lt;&gt;"",V165,IF(IFERROR(INDEX(RS_Flag,MATCH(B165,RS_Lane,0)),"")="Yes",IF(IFERROR(INDEX(RS_Loc,MATCH(B165,RS_Lane,0)),"")="","Regional stock",IFERROR(INDEX(RS_Loc,MATCH(B165,RS_Lane,0)),"")),"Helmond"))</f>
        <v/>
      </c>
      <c r="V165" s="141" t="n"/>
      <c r="W165" s="142" t="n"/>
      <c r="X165" s="143" t="n"/>
      <c r="Y165" s="116">
        <f>IF(X165&lt;&gt;"",X165,IF(U165="Helmond",IF(COUNTIFS(RC_Lane,B165,RC_Band,E165,RC_CostPS,"&gt;0")=0,"",SUMIFS(RC_CostPS,RC_Lane,B165,RC_Band,E165)*(1-SUMIFS(RC_Disc,RC_Lane,B165,RC_Band,E165))),IF(U165="Other","",IF(INDEX(RS_Rate,MATCH(B165,RS_Lane,0))="","",INDEX(RS_Rate,MATCH(B165,RS_Lane,0))))))</f>
        <v/>
      </c>
    </row>
    <row r="166">
      <c r="A166" s="95" t="inlineStr">
        <is>
          <t>B-162</t>
        </is>
      </c>
      <c r="B166" s="112" t="inlineStr">
        <is>
          <t>L01</t>
        </is>
      </c>
      <c r="C166" s="101" t="inlineStr">
        <is>
          <t>Saudi Arabia</t>
        </is>
      </c>
      <c r="D166" s="101" t="inlineStr">
        <is>
          <t>Riyadh</t>
        </is>
      </c>
      <c r="E166" s="101" t="inlineStr">
        <is>
          <t>B3  100 to 500 kg</t>
        </is>
      </c>
      <c r="F166" s="123" t="n">
        <v>368.1</v>
      </c>
      <c r="G166" s="86">
        <f>F166*0.006477</f>
        <v/>
      </c>
      <c r="H166" s="123">
        <f>F166*1.079436</f>
        <v/>
      </c>
      <c r="I166" s="122">
        <f>MAX(1,ROUNDUP(G166/0.096,0))</f>
        <v/>
      </c>
      <c r="J166" s="84" t="n">
        <v>46581</v>
      </c>
      <c r="K166" s="87">
        <f>J166-WEEKDAY(J166,2)+1</f>
        <v/>
      </c>
      <c r="L166" s="84">
        <f>J166</f>
        <v/>
      </c>
      <c r="M166" s="52">
        <f>INDEX(LR_Target,MATCH(B166,LR_Lane,0))</f>
        <v/>
      </c>
      <c r="N166" s="84">
        <f>WORKDAY.INTL(L166,M166,INDEX(LR_Code,MATCH(B166,LR_Lane,0)),INDEX(DH_Table,0,MATCH(B166&amp;"*",DH_Head,0)))</f>
        <v/>
      </c>
      <c r="O166" s="65">
        <f>IF(W166&lt;&gt;"",W166,IF(U166="Helmond",IF(COUNTIFS(RC_Lane,B166,RC_Band,E166,RC_Transit,"&lt;&gt;")=0,"",SUMIFS(RC_Transit,RC_Lane,B166,RC_Band,E166)),IF(U166="Other","",IF(INDEX(RS_Transit,MATCH(B166,RS_Lane,0))="","",INDEX(RS_Transit,MATCH(B166,RS_Lane,0))))))</f>
        <v/>
      </c>
      <c r="P166" s="140" t="n"/>
      <c r="Q166" s="84">
        <f>IF(P166&lt;&gt;"",P166,IF(O166="","",WORKDAY.INTL(L166,ROUNDUP(O166,0),INDEX(LR_Code,MATCH(B166,LR_Lane,0)),INDEX(DH_Table,0,MATCH(B166&amp;"*",DH_Head,0)))))</f>
        <v/>
      </c>
      <c r="R166" s="100">
        <f>IF(Q166="","",IF(Q166&lt;=N166,"Yes","No"))</f>
        <v/>
      </c>
      <c r="S166" s="52">
        <f>IF(Q166="","",IF(Q166&lt;=N166,0,NETWORKDAYS.INTL(N166,Q166,INDEX(LR_Code,MATCH(B166,LR_Lane,0)),INDEX(DH_Table,0,MATCH(B166&amp;"*",DH_Head,0)))-1))</f>
        <v/>
      </c>
      <c r="T166" s="127" t="n"/>
      <c r="U166" s="112">
        <f>IF(V166&lt;&gt;"",V166,IF(IFERROR(INDEX(RS_Flag,MATCH(B166,RS_Lane,0)),"")="Yes",IF(IFERROR(INDEX(RS_Loc,MATCH(B166,RS_Lane,0)),"")="","Regional stock",IFERROR(INDEX(RS_Loc,MATCH(B166,RS_Lane,0)),"")),"Helmond"))</f>
        <v/>
      </c>
      <c r="V166" s="141" t="n"/>
      <c r="W166" s="142" t="n"/>
      <c r="X166" s="143" t="n"/>
      <c r="Y166" s="116">
        <f>IF(X166&lt;&gt;"",X166,IF(U166="Helmond",IF(COUNTIFS(RC_Lane,B166,RC_Band,E166,RC_CostPS,"&gt;0")=0,"",SUMIFS(RC_CostPS,RC_Lane,B166,RC_Band,E166)*(1-SUMIFS(RC_Disc,RC_Lane,B166,RC_Band,E166))),IF(U166="Other","",IF(INDEX(RS_Rate,MATCH(B166,RS_Lane,0))="","",INDEX(RS_Rate,MATCH(B166,RS_Lane,0))))))</f>
        <v/>
      </c>
    </row>
    <row r="167">
      <c r="A167" s="95" t="inlineStr">
        <is>
          <t>B-163</t>
        </is>
      </c>
      <c r="B167" s="112" t="inlineStr">
        <is>
          <t>L02</t>
        </is>
      </c>
      <c r="C167" s="101" t="inlineStr">
        <is>
          <t>United Arab Emirates</t>
        </is>
      </c>
      <c r="D167" s="101" t="inlineStr">
        <is>
          <t>Dubai</t>
        </is>
      </c>
      <c r="E167" s="101" t="inlineStr">
        <is>
          <t>B1  0 to 30 kg</t>
        </is>
      </c>
      <c r="F167" s="123" t="n">
        <v>9.4</v>
      </c>
      <c r="G167" s="86">
        <f>F167*0.006477</f>
        <v/>
      </c>
      <c r="H167" s="123">
        <f>F167*1.079436</f>
        <v/>
      </c>
      <c r="I167" s="122">
        <f>MAX(1,ROUNDUP(G167/0.096,0))</f>
        <v/>
      </c>
      <c r="J167" s="84" t="n">
        <v>46581</v>
      </c>
      <c r="K167" s="87">
        <f>J167-WEEKDAY(J167,2)+1</f>
        <v/>
      </c>
      <c r="L167" s="84">
        <f>J167</f>
        <v/>
      </c>
      <c r="M167" s="52">
        <f>INDEX(LR_Target,MATCH(B167,LR_Lane,0))</f>
        <v/>
      </c>
      <c r="N167" s="84">
        <f>WORKDAY.INTL(L167,M167,INDEX(LR_Code,MATCH(B167,LR_Lane,0)),INDEX(DH_Table,0,MATCH(B167&amp;"*",DH_Head,0)))</f>
        <v/>
      </c>
      <c r="O167" s="65">
        <f>IF(W167&lt;&gt;"",W167,IF(U167="Helmond",IF(COUNTIFS(RC_Lane,B167,RC_Band,E167,RC_Transit,"&lt;&gt;")=0,"",SUMIFS(RC_Transit,RC_Lane,B167,RC_Band,E167)),IF(U167="Other","",IF(INDEX(RS_Transit,MATCH(B167,RS_Lane,0))="","",INDEX(RS_Transit,MATCH(B167,RS_Lane,0))))))</f>
        <v/>
      </c>
      <c r="P167" s="140" t="n"/>
      <c r="Q167" s="84">
        <f>IF(P167&lt;&gt;"",P167,IF(O167="","",WORKDAY.INTL(L167,ROUNDUP(O167,0),INDEX(LR_Code,MATCH(B167,LR_Lane,0)),INDEX(DH_Table,0,MATCH(B167&amp;"*",DH_Head,0)))))</f>
        <v/>
      </c>
      <c r="R167" s="100">
        <f>IF(Q167="","",IF(Q167&lt;=N167,"Yes","No"))</f>
        <v/>
      </c>
      <c r="S167" s="52">
        <f>IF(Q167="","",IF(Q167&lt;=N167,0,NETWORKDAYS.INTL(N167,Q167,INDEX(LR_Code,MATCH(B167,LR_Lane,0)),INDEX(DH_Table,0,MATCH(B167&amp;"*",DH_Head,0)))-1))</f>
        <v/>
      </c>
      <c r="T167" s="127" t="n"/>
      <c r="U167" s="112">
        <f>IF(V167&lt;&gt;"",V167,IF(IFERROR(INDEX(RS_Flag,MATCH(B167,RS_Lane,0)),"")="Yes",IF(IFERROR(INDEX(RS_Loc,MATCH(B167,RS_Lane,0)),"")="","Regional stock",IFERROR(INDEX(RS_Loc,MATCH(B167,RS_Lane,0)),"")),"Helmond"))</f>
        <v/>
      </c>
      <c r="V167" s="141" t="n"/>
      <c r="W167" s="142" t="n"/>
      <c r="X167" s="143" t="n"/>
      <c r="Y167" s="116">
        <f>IF(X167&lt;&gt;"",X167,IF(U167="Helmond",IF(COUNTIFS(RC_Lane,B167,RC_Band,E167,RC_CostPS,"&gt;0")=0,"",SUMIFS(RC_CostPS,RC_Lane,B167,RC_Band,E167)*(1-SUMIFS(RC_Disc,RC_Lane,B167,RC_Band,E167))),IF(U167="Other","",IF(INDEX(RS_Rate,MATCH(B167,RS_Lane,0))="","",INDEX(RS_Rate,MATCH(B167,RS_Lane,0))))))</f>
        <v/>
      </c>
    </row>
    <row r="168">
      <c r="A168" s="95" t="inlineStr">
        <is>
          <t>B-164</t>
        </is>
      </c>
      <c r="B168" s="112" t="inlineStr">
        <is>
          <t>L05</t>
        </is>
      </c>
      <c r="C168" s="101" t="inlineStr">
        <is>
          <t>Türkiye</t>
        </is>
      </c>
      <c r="D168" s="101" t="inlineStr">
        <is>
          <t>Istanbul</t>
        </is>
      </c>
      <c r="E168" s="101" t="inlineStr">
        <is>
          <t>B3  100 to 500 kg</t>
        </is>
      </c>
      <c r="F168" s="123" t="n">
        <v>232.3</v>
      </c>
      <c r="G168" s="86">
        <f>F168*0.006477</f>
        <v/>
      </c>
      <c r="H168" s="123">
        <f>F168*1.079436</f>
        <v/>
      </c>
      <c r="I168" s="122">
        <f>MAX(1,ROUNDUP(G168/0.096,0))</f>
        <v/>
      </c>
      <c r="J168" s="84" t="n">
        <v>46581</v>
      </c>
      <c r="K168" s="87">
        <f>J168-WEEKDAY(J168,2)+1</f>
        <v/>
      </c>
      <c r="L168" s="84">
        <f>J168</f>
        <v/>
      </c>
      <c r="M168" s="52">
        <f>INDEX(LR_Target,MATCH(B168,LR_Lane,0))</f>
        <v/>
      </c>
      <c r="N168" s="84">
        <f>WORKDAY.INTL(L168,M168,INDEX(LR_Code,MATCH(B168,LR_Lane,0)),INDEX(DH_Table,0,MATCH(B168&amp;"*",DH_Head,0)))</f>
        <v/>
      </c>
      <c r="O168" s="65">
        <f>IF(W168&lt;&gt;"",W168,IF(U168="Helmond",IF(COUNTIFS(RC_Lane,B168,RC_Band,E168,RC_Transit,"&lt;&gt;")=0,"",SUMIFS(RC_Transit,RC_Lane,B168,RC_Band,E168)),IF(U168="Other","",IF(INDEX(RS_Transit,MATCH(B168,RS_Lane,0))="","",INDEX(RS_Transit,MATCH(B168,RS_Lane,0))))))</f>
        <v/>
      </c>
      <c r="P168" s="140" t="n"/>
      <c r="Q168" s="84">
        <f>IF(P168&lt;&gt;"",P168,IF(O168="","",WORKDAY.INTL(L168,ROUNDUP(O168,0),INDEX(LR_Code,MATCH(B168,LR_Lane,0)),INDEX(DH_Table,0,MATCH(B168&amp;"*",DH_Head,0)))))</f>
        <v/>
      </c>
      <c r="R168" s="100">
        <f>IF(Q168="","",IF(Q168&lt;=N168,"Yes","No"))</f>
        <v/>
      </c>
      <c r="S168" s="52">
        <f>IF(Q168="","",IF(Q168&lt;=N168,0,NETWORKDAYS.INTL(N168,Q168,INDEX(LR_Code,MATCH(B168,LR_Lane,0)),INDEX(DH_Table,0,MATCH(B168&amp;"*",DH_Head,0)))-1))</f>
        <v/>
      </c>
      <c r="T168" s="127" t="n"/>
      <c r="U168" s="112">
        <f>IF(V168&lt;&gt;"",V168,IF(IFERROR(INDEX(RS_Flag,MATCH(B168,RS_Lane,0)),"")="Yes",IF(IFERROR(INDEX(RS_Loc,MATCH(B168,RS_Lane,0)),"")="","Regional stock",IFERROR(INDEX(RS_Loc,MATCH(B168,RS_Lane,0)),"")),"Helmond"))</f>
        <v/>
      </c>
      <c r="V168" s="141" t="n"/>
      <c r="W168" s="142" t="n"/>
      <c r="X168" s="143" t="n"/>
      <c r="Y168" s="116">
        <f>IF(X168&lt;&gt;"",X168,IF(U168="Helmond",IF(COUNTIFS(RC_Lane,B168,RC_Band,E168,RC_CostPS,"&gt;0")=0,"",SUMIFS(RC_CostPS,RC_Lane,B168,RC_Band,E168)*(1-SUMIFS(RC_Disc,RC_Lane,B168,RC_Band,E168))),IF(U168="Other","",IF(INDEX(RS_Rate,MATCH(B168,RS_Lane,0))="","",INDEX(RS_Rate,MATCH(B168,RS_Lane,0))))))</f>
        <v/>
      </c>
    </row>
    <row r="169">
      <c r="A169" s="95" t="inlineStr">
        <is>
          <t>B-165</t>
        </is>
      </c>
      <c r="B169" s="112" t="inlineStr">
        <is>
          <t>L05</t>
        </is>
      </c>
      <c r="C169" s="101" t="inlineStr">
        <is>
          <t>Türkiye</t>
        </is>
      </c>
      <c r="D169" s="101" t="inlineStr">
        <is>
          <t>Istanbul</t>
        </is>
      </c>
      <c r="E169" s="101" t="inlineStr">
        <is>
          <t>B3  100 to 500 kg</t>
        </is>
      </c>
      <c r="F169" s="123" t="n">
        <v>173.1</v>
      </c>
      <c r="G169" s="86">
        <f>F169*0.006477</f>
        <v/>
      </c>
      <c r="H169" s="123">
        <f>F169*1.079436</f>
        <v/>
      </c>
      <c r="I169" s="122">
        <f>MAX(1,ROUNDUP(G169/0.096,0))</f>
        <v/>
      </c>
      <c r="J169" s="84" t="n">
        <v>46582</v>
      </c>
      <c r="K169" s="87">
        <f>J169-WEEKDAY(J169,2)+1</f>
        <v/>
      </c>
      <c r="L169" s="84">
        <f>J169</f>
        <v/>
      </c>
      <c r="M169" s="52">
        <f>INDEX(LR_Target,MATCH(B169,LR_Lane,0))</f>
        <v/>
      </c>
      <c r="N169" s="84">
        <f>WORKDAY.INTL(L169,M169,INDEX(LR_Code,MATCH(B169,LR_Lane,0)),INDEX(DH_Table,0,MATCH(B169&amp;"*",DH_Head,0)))</f>
        <v/>
      </c>
      <c r="O169" s="65">
        <f>IF(W169&lt;&gt;"",W169,IF(U169="Helmond",IF(COUNTIFS(RC_Lane,B169,RC_Band,E169,RC_Transit,"&lt;&gt;")=0,"",SUMIFS(RC_Transit,RC_Lane,B169,RC_Band,E169)),IF(U169="Other","",IF(INDEX(RS_Transit,MATCH(B169,RS_Lane,0))="","",INDEX(RS_Transit,MATCH(B169,RS_Lane,0))))))</f>
        <v/>
      </c>
      <c r="P169" s="140" t="n"/>
      <c r="Q169" s="84">
        <f>IF(P169&lt;&gt;"",P169,IF(O169="","",WORKDAY.INTL(L169,ROUNDUP(O169,0),INDEX(LR_Code,MATCH(B169,LR_Lane,0)),INDEX(DH_Table,0,MATCH(B169&amp;"*",DH_Head,0)))))</f>
        <v/>
      </c>
      <c r="R169" s="100">
        <f>IF(Q169="","",IF(Q169&lt;=N169,"Yes","No"))</f>
        <v/>
      </c>
      <c r="S169" s="52">
        <f>IF(Q169="","",IF(Q169&lt;=N169,0,NETWORKDAYS.INTL(N169,Q169,INDEX(LR_Code,MATCH(B169,LR_Lane,0)),INDEX(DH_Table,0,MATCH(B169&amp;"*",DH_Head,0)))-1))</f>
        <v/>
      </c>
      <c r="T169" s="127" t="n"/>
      <c r="U169" s="112">
        <f>IF(V169&lt;&gt;"",V169,IF(IFERROR(INDEX(RS_Flag,MATCH(B169,RS_Lane,0)),"")="Yes",IF(IFERROR(INDEX(RS_Loc,MATCH(B169,RS_Lane,0)),"")="","Regional stock",IFERROR(INDEX(RS_Loc,MATCH(B169,RS_Lane,0)),"")),"Helmond"))</f>
        <v/>
      </c>
      <c r="V169" s="141" t="n"/>
      <c r="W169" s="142" t="n"/>
      <c r="X169" s="143" t="n"/>
      <c r="Y169" s="116">
        <f>IF(X169&lt;&gt;"",X169,IF(U169="Helmond",IF(COUNTIFS(RC_Lane,B169,RC_Band,E169,RC_CostPS,"&gt;0")=0,"",SUMIFS(RC_CostPS,RC_Lane,B169,RC_Band,E169)*(1-SUMIFS(RC_Disc,RC_Lane,B169,RC_Band,E169))),IF(U169="Other","",IF(INDEX(RS_Rate,MATCH(B169,RS_Lane,0))="","",INDEX(RS_Rate,MATCH(B169,RS_Lane,0))))))</f>
        <v/>
      </c>
    </row>
    <row r="170">
      <c r="A170" s="95" t="inlineStr">
        <is>
          <t>B-166</t>
        </is>
      </c>
      <c r="B170" s="112" t="inlineStr">
        <is>
          <t>L01</t>
        </is>
      </c>
      <c r="C170" s="101" t="inlineStr">
        <is>
          <t>Saudi Arabia</t>
        </is>
      </c>
      <c r="D170" s="101" t="inlineStr">
        <is>
          <t>Riyadh</t>
        </is>
      </c>
      <c r="E170" s="101" t="inlineStr">
        <is>
          <t>B2  30 to 100 kg</t>
        </is>
      </c>
      <c r="F170" s="123" t="n">
        <v>63.1</v>
      </c>
      <c r="G170" s="86">
        <f>F170*0.006477</f>
        <v/>
      </c>
      <c r="H170" s="123">
        <f>F170*1.079436</f>
        <v/>
      </c>
      <c r="I170" s="122">
        <f>MAX(1,ROUNDUP(G170/0.096,0))</f>
        <v/>
      </c>
      <c r="J170" s="84" t="n">
        <v>46583</v>
      </c>
      <c r="K170" s="87">
        <f>J170-WEEKDAY(J170,2)+1</f>
        <v/>
      </c>
      <c r="L170" s="84">
        <f>J170</f>
        <v/>
      </c>
      <c r="M170" s="52">
        <f>INDEX(LR_Target,MATCH(B170,LR_Lane,0))</f>
        <v/>
      </c>
      <c r="N170" s="84">
        <f>WORKDAY.INTL(L170,M170,INDEX(LR_Code,MATCH(B170,LR_Lane,0)),INDEX(DH_Table,0,MATCH(B170&amp;"*",DH_Head,0)))</f>
        <v/>
      </c>
      <c r="O170" s="65">
        <f>IF(W170&lt;&gt;"",W170,IF(U170="Helmond",IF(COUNTIFS(RC_Lane,B170,RC_Band,E170,RC_Transit,"&lt;&gt;")=0,"",SUMIFS(RC_Transit,RC_Lane,B170,RC_Band,E170)),IF(U170="Other","",IF(INDEX(RS_Transit,MATCH(B170,RS_Lane,0))="","",INDEX(RS_Transit,MATCH(B170,RS_Lane,0))))))</f>
        <v/>
      </c>
      <c r="P170" s="140" t="n"/>
      <c r="Q170" s="84">
        <f>IF(P170&lt;&gt;"",P170,IF(O170="","",WORKDAY.INTL(L170,ROUNDUP(O170,0),INDEX(LR_Code,MATCH(B170,LR_Lane,0)),INDEX(DH_Table,0,MATCH(B170&amp;"*",DH_Head,0)))))</f>
        <v/>
      </c>
      <c r="R170" s="100">
        <f>IF(Q170="","",IF(Q170&lt;=N170,"Yes","No"))</f>
        <v/>
      </c>
      <c r="S170" s="52">
        <f>IF(Q170="","",IF(Q170&lt;=N170,0,NETWORKDAYS.INTL(N170,Q170,INDEX(LR_Code,MATCH(B170,LR_Lane,0)),INDEX(DH_Table,0,MATCH(B170&amp;"*",DH_Head,0)))-1))</f>
        <v/>
      </c>
      <c r="T170" s="127" t="n"/>
      <c r="U170" s="112">
        <f>IF(V170&lt;&gt;"",V170,IF(IFERROR(INDEX(RS_Flag,MATCH(B170,RS_Lane,0)),"")="Yes",IF(IFERROR(INDEX(RS_Loc,MATCH(B170,RS_Lane,0)),"")="","Regional stock",IFERROR(INDEX(RS_Loc,MATCH(B170,RS_Lane,0)),"")),"Helmond"))</f>
        <v/>
      </c>
      <c r="V170" s="141" t="n"/>
      <c r="W170" s="142" t="n"/>
      <c r="X170" s="143" t="n"/>
      <c r="Y170" s="116">
        <f>IF(X170&lt;&gt;"",X170,IF(U170="Helmond",IF(COUNTIFS(RC_Lane,B170,RC_Band,E170,RC_CostPS,"&gt;0")=0,"",SUMIFS(RC_CostPS,RC_Lane,B170,RC_Band,E170)*(1-SUMIFS(RC_Disc,RC_Lane,B170,RC_Band,E170))),IF(U170="Other","",IF(INDEX(RS_Rate,MATCH(B170,RS_Lane,0))="","",INDEX(RS_Rate,MATCH(B170,RS_Lane,0))))))</f>
        <v/>
      </c>
    </row>
    <row r="171">
      <c r="A171" s="95" t="inlineStr">
        <is>
          <t>B-167</t>
        </is>
      </c>
      <c r="B171" s="112" t="inlineStr">
        <is>
          <t>L05</t>
        </is>
      </c>
      <c r="C171" s="101" t="inlineStr">
        <is>
          <t>Türkiye</t>
        </is>
      </c>
      <c r="D171" s="101" t="inlineStr">
        <is>
          <t>Istanbul</t>
        </is>
      </c>
      <c r="E171" s="101" t="inlineStr">
        <is>
          <t>B1  0 to 30 kg</t>
        </is>
      </c>
      <c r="F171" s="123" t="n">
        <v>11.2</v>
      </c>
      <c r="G171" s="86">
        <f>F171*0.006477</f>
        <v/>
      </c>
      <c r="H171" s="123">
        <f>F171*1.079436</f>
        <v/>
      </c>
      <c r="I171" s="122">
        <f>MAX(1,ROUNDUP(G171/0.096,0))</f>
        <v/>
      </c>
      <c r="J171" s="84" t="n">
        <v>46584</v>
      </c>
      <c r="K171" s="87">
        <f>J171-WEEKDAY(J171,2)+1</f>
        <v/>
      </c>
      <c r="L171" s="84">
        <f>J171</f>
        <v/>
      </c>
      <c r="M171" s="52">
        <f>INDEX(LR_Target,MATCH(B171,LR_Lane,0))</f>
        <v/>
      </c>
      <c r="N171" s="84">
        <f>WORKDAY.INTL(L171,M171,INDEX(LR_Code,MATCH(B171,LR_Lane,0)),INDEX(DH_Table,0,MATCH(B171&amp;"*",DH_Head,0)))</f>
        <v/>
      </c>
      <c r="O171" s="65">
        <f>IF(W171&lt;&gt;"",W171,IF(U171="Helmond",IF(COUNTIFS(RC_Lane,B171,RC_Band,E171,RC_Transit,"&lt;&gt;")=0,"",SUMIFS(RC_Transit,RC_Lane,B171,RC_Band,E171)),IF(U171="Other","",IF(INDEX(RS_Transit,MATCH(B171,RS_Lane,0))="","",INDEX(RS_Transit,MATCH(B171,RS_Lane,0))))))</f>
        <v/>
      </c>
      <c r="P171" s="140" t="n"/>
      <c r="Q171" s="84">
        <f>IF(P171&lt;&gt;"",P171,IF(O171="","",WORKDAY.INTL(L171,ROUNDUP(O171,0),INDEX(LR_Code,MATCH(B171,LR_Lane,0)),INDEX(DH_Table,0,MATCH(B171&amp;"*",DH_Head,0)))))</f>
        <v/>
      </c>
      <c r="R171" s="100">
        <f>IF(Q171="","",IF(Q171&lt;=N171,"Yes","No"))</f>
        <v/>
      </c>
      <c r="S171" s="52">
        <f>IF(Q171="","",IF(Q171&lt;=N171,0,NETWORKDAYS.INTL(N171,Q171,INDEX(LR_Code,MATCH(B171,LR_Lane,0)),INDEX(DH_Table,0,MATCH(B171&amp;"*",DH_Head,0)))-1))</f>
        <v/>
      </c>
      <c r="T171" s="127" t="n"/>
      <c r="U171" s="112">
        <f>IF(V171&lt;&gt;"",V171,IF(IFERROR(INDEX(RS_Flag,MATCH(B171,RS_Lane,0)),"")="Yes",IF(IFERROR(INDEX(RS_Loc,MATCH(B171,RS_Lane,0)),"")="","Regional stock",IFERROR(INDEX(RS_Loc,MATCH(B171,RS_Lane,0)),"")),"Helmond"))</f>
        <v/>
      </c>
      <c r="V171" s="141" t="n"/>
      <c r="W171" s="142" t="n"/>
      <c r="X171" s="143" t="n"/>
      <c r="Y171" s="116">
        <f>IF(X171&lt;&gt;"",X171,IF(U171="Helmond",IF(COUNTIFS(RC_Lane,B171,RC_Band,E171,RC_CostPS,"&gt;0")=0,"",SUMIFS(RC_CostPS,RC_Lane,B171,RC_Band,E171)*(1-SUMIFS(RC_Disc,RC_Lane,B171,RC_Band,E171))),IF(U171="Other","",IF(INDEX(RS_Rate,MATCH(B171,RS_Lane,0))="","",INDEX(RS_Rate,MATCH(B171,RS_Lane,0))))))</f>
        <v/>
      </c>
    </row>
    <row r="172">
      <c r="A172" s="95" t="inlineStr">
        <is>
          <t>B-168</t>
        </is>
      </c>
      <c r="B172" s="112" t="inlineStr">
        <is>
          <t>L02</t>
        </is>
      </c>
      <c r="C172" s="101" t="inlineStr">
        <is>
          <t>United Arab Emirates</t>
        </is>
      </c>
      <c r="D172" s="101" t="inlineStr">
        <is>
          <t>Dubai</t>
        </is>
      </c>
      <c r="E172" s="101" t="inlineStr">
        <is>
          <t>B1  0 to 30 kg</t>
        </is>
      </c>
      <c r="F172" s="123" t="n">
        <v>14.6</v>
      </c>
      <c r="G172" s="86">
        <f>F172*0.006477</f>
        <v/>
      </c>
      <c r="H172" s="123">
        <f>F172*1.079436</f>
        <v/>
      </c>
      <c r="I172" s="122">
        <f>MAX(1,ROUNDUP(G172/0.096,0))</f>
        <v/>
      </c>
      <c r="J172" s="84" t="n">
        <v>46587</v>
      </c>
      <c r="K172" s="87">
        <f>J172-WEEKDAY(J172,2)+1</f>
        <v/>
      </c>
      <c r="L172" s="84">
        <f>J172</f>
        <v/>
      </c>
      <c r="M172" s="52">
        <f>INDEX(LR_Target,MATCH(B172,LR_Lane,0))</f>
        <v/>
      </c>
      <c r="N172" s="84">
        <f>WORKDAY.INTL(L172,M172,INDEX(LR_Code,MATCH(B172,LR_Lane,0)),INDEX(DH_Table,0,MATCH(B172&amp;"*",DH_Head,0)))</f>
        <v/>
      </c>
      <c r="O172" s="65">
        <f>IF(W172&lt;&gt;"",W172,IF(U172="Helmond",IF(COUNTIFS(RC_Lane,B172,RC_Band,E172,RC_Transit,"&lt;&gt;")=0,"",SUMIFS(RC_Transit,RC_Lane,B172,RC_Band,E172)),IF(U172="Other","",IF(INDEX(RS_Transit,MATCH(B172,RS_Lane,0))="","",INDEX(RS_Transit,MATCH(B172,RS_Lane,0))))))</f>
        <v/>
      </c>
      <c r="P172" s="140" t="n"/>
      <c r="Q172" s="84">
        <f>IF(P172&lt;&gt;"",P172,IF(O172="","",WORKDAY.INTL(L172,ROUNDUP(O172,0),INDEX(LR_Code,MATCH(B172,LR_Lane,0)),INDEX(DH_Table,0,MATCH(B172&amp;"*",DH_Head,0)))))</f>
        <v/>
      </c>
      <c r="R172" s="100">
        <f>IF(Q172="","",IF(Q172&lt;=N172,"Yes","No"))</f>
        <v/>
      </c>
      <c r="S172" s="52">
        <f>IF(Q172="","",IF(Q172&lt;=N172,0,NETWORKDAYS.INTL(N172,Q172,INDEX(LR_Code,MATCH(B172,LR_Lane,0)),INDEX(DH_Table,0,MATCH(B172&amp;"*",DH_Head,0)))-1))</f>
        <v/>
      </c>
      <c r="T172" s="127" t="n"/>
      <c r="U172" s="112">
        <f>IF(V172&lt;&gt;"",V172,IF(IFERROR(INDEX(RS_Flag,MATCH(B172,RS_Lane,0)),"")="Yes",IF(IFERROR(INDEX(RS_Loc,MATCH(B172,RS_Lane,0)),"")="","Regional stock",IFERROR(INDEX(RS_Loc,MATCH(B172,RS_Lane,0)),"")),"Helmond"))</f>
        <v/>
      </c>
      <c r="V172" s="141" t="n"/>
      <c r="W172" s="142" t="n"/>
      <c r="X172" s="143" t="n"/>
      <c r="Y172" s="116">
        <f>IF(X172&lt;&gt;"",X172,IF(U172="Helmond",IF(COUNTIFS(RC_Lane,B172,RC_Band,E172,RC_CostPS,"&gt;0")=0,"",SUMIFS(RC_CostPS,RC_Lane,B172,RC_Band,E172)*(1-SUMIFS(RC_Disc,RC_Lane,B172,RC_Band,E172))),IF(U172="Other","",IF(INDEX(RS_Rate,MATCH(B172,RS_Lane,0))="","",INDEX(RS_Rate,MATCH(B172,RS_Lane,0))))))</f>
        <v/>
      </c>
    </row>
    <row r="173">
      <c r="A173" s="95" t="inlineStr">
        <is>
          <t>B-169</t>
        </is>
      </c>
      <c r="B173" s="112" t="inlineStr">
        <is>
          <t>L01</t>
        </is>
      </c>
      <c r="C173" s="101" t="inlineStr">
        <is>
          <t>Saudi Arabia</t>
        </is>
      </c>
      <c r="D173" s="101" t="inlineStr">
        <is>
          <t>Riyadh</t>
        </is>
      </c>
      <c r="E173" s="101" t="inlineStr">
        <is>
          <t>B3  100 to 500 kg</t>
        </is>
      </c>
      <c r="F173" s="123" t="n">
        <v>310.2</v>
      </c>
      <c r="G173" s="86">
        <f>F173*0.006477</f>
        <v/>
      </c>
      <c r="H173" s="123">
        <f>F173*1.079436</f>
        <v/>
      </c>
      <c r="I173" s="122">
        <f>MAX(1,ROUNDUP(G173/0.096,0))</f>
        <v/>
      </c>
      <c r="J173" s="84" t="n">
        <v>46588</v>
      </c>
      <c r="K173" s="87">
        <f>J173-WEEKDAY(J173,2)+1</f>
        <v/>
      </c>
      <c r="L173" s="84">
        <f>J173</f>
        <v/>
      </c>
      <c r="M173" s="52">
        <f>INDEX(LR_Target,MATCH(B173,LR_Lane,0))</f>
        <v/>
      </c>
      <c r="N173" s="84">
        <f>WORKDAY.INTL(L173,M173,INDEX(LR_Code,MATCH(B173,LR_Lane,0)),INDEX(DH_Table,0,MATCH(B173&amp;"*",DH_Head,0)))</f>
        <v/>
      </c>
      <c r="O173" s="65">
        <f>IF(W173&lt;&gt;"",W173,IF(U173="Helmond",IF(COUNTIFS(RC_Lane,B173,RC_Band,E173,RC_Transit,"&lt;&gt;")=0,"",SUMIFS(RC_Transit,RC_Lane,B173,RC_Band,E173)),IF(U173="Other","",IF(INDEX(RS_Transit,MATCH(B173,RS_Lane,0))="","",INDEX(RS_Transit,MATCH(B173,RS_Lane,0))))))</f>
        <v/>
      </c>
      <c r="P173" s="140" t="n"/>
      <c r="Q173" s="84">
        <f>IF(P173&lt;&gt;"",P173,IF(O173="","",WORKDAY.INTL(L173,ROUNDUP(O173,0),INDEX(LR_Code,MATCH(B173,LR_Lane,0)),INDEX(DH_Table,0,MATCH(B173&amp;"*",DH_Head,0)))))</f>
        <v/>
      </c>
      <c r="R173" s="100">
        <f>IF(Q173="","",IF(Q173&lt;=N173,"Yes","No"))</f>
        <v/>
      </c>
      <c r="S173" s="52">
        <f>IF(Q173="","",IF(Q173&lt;=N173,0,NETWORKDAYS.INTL(N173,Q173,INDEX(LR_Code,MATCH(B173,LR_Lane,0)),INDEX(DH_Table,0,MATCH(B173&amp;"*",DH_Head,0)))-1))</f>
        <v/>
      </c>
      <c r="T173" s="127" t="n"/>
      <c r="U173" s="112">
        <f>IF(V173&lt;&gt;"",V173,IF(IFERROR(INDEX(RS_Flag,MATCH(B173,RS_Lane,0)),"")="Yes",IF(IFERROR(INDEX(RS_Loc,MATCH(B173,RS_Lane,0)),"")="","Regional stock",IFERROR(INDEX(RS_Loc,MATCH(B173,RS_Lane,0)),"")),"Helmond"))</f>
        <v/>
      </c>
      <c r="V173" s="141" t="n"/>
      <c r="W173" s="142" t="n"/>
      <c r="X173" s="143" t="n"/>
      <c r="Y173" s="116">
        <f>IF(X173&lt;&gt;"",X173,IF(U173="Helmond",IF(COUNTIFS(RC_Lane,B173,RC_Band,E173,RC_CostPS,"&gt;0")=0,"",SUMIFS(RC_CostPS,RC_Lane,B173,RC_Band,E173)*(1-SUMIFS(RC_Disc,RC_Lane,B173,RC_Band,E173))),IF(U173="Other","",IF(INDEX(RS_Rate,MATCH(B173,RS_Lane,0))="","",INDEX(RS_Rate,MATCH(B173,RS_Lane,0))))))</f>
        <v/>
      </c>
    </row>
    <row r="174">
      <c r="A174" s="95" t="inlineStr">
        <is>
          <t>B-170</t>
        </is>
      </c>
      <c r="B174" s="112" t="inlineStr">
        <is>
          <t>L02</t>
        </is>
      </c>
      <c r="C174" s="101" t="inlineStr">
        <is>
          <t>United Arab Emirates</t>
        </is>
      </c>
      <c r="D174" s="101" t="inlineStr">
        <is>
          <t>Dubai</t>
        </is>
      </c>
      <c r="E174" s="101" t="inlineStr">
        <is>
          <t>B1  0 to 30 kg</t>
        </is>
      </c>
      <c r="F174" s="123" t="n">
        <v>3.3</v>
      </c>
      <c r="G174" s="86">
        <f>F174*0.006477</f>
        <v/>
      </c>
      <c r="H174" s="123">
        <f>F174*1.079436</f>
        <v/>
      </c>
      <c r="I174" s="122">
        <f>MAX(1,ROUNDUP(G174/0.096,0))</f>
        <v/>
      </c>
      <c r="J174" s="84" t="n">
        <v>46589</v>
      </c>
      <c r="K174" s="87">
        <f>J174-WEEKDAY(J174,2)+1</f>
        <v/>
      </c>
      <c r="L174" s="84">
        <f>J174</f>
        <v/>
      </c>
      <c r="M174" s="52">
        <f>INDEX(LR_Target,MATCH(B174,LR_Lane,0))</f>
        <v/>
      </c>
      <c r="N174" s="84">
        <f>WORKDAY.INTL(L174,M174,INDEX(LR_Code,MATCH(B174,LR_Lane,0)),INDEX(DH_Table,0,MATCH(B174&amp;"*",DH_Head,0)))</f>
        <v/>
      </c>
      <c r="O174" s="65">
        <f>IF(W174&lt;&gt;"",W174,IF(U174="Helmond",IF(COUNTIFS(RC_Lane,B174,RC_Band,E174,RC_Transit,"&lt;&gt;")=0,"",SUMIFS(RC_Transit,RC_Lane,B174,RC_Band,E174)),IF(U174="Other","",IF(INDEX(RS_Transit,MATCH(B174,RS_Lane,0))="","",INDEX(RS_Transit,MATCH(B174,RS_Lane,0))))))</f>
        <v/>
      </c>
      <c r="P174" s="140" t="n"/>
      <c r="Q174" s="84">
        <f>IF(P174&lt;&gt;"",P174,IF(O174="","",WORKDAY.INTL(L174,ROUNDUP(O174,0),INDEX(LR_Code,MATCH(B174,LR_Lane,0)),INDEX(DH_Table,0,MATCH(B174&amp;"*",DH_Head,0)))))</f>
        <v/>
      </c>
      <c r="R174" s="100">
        <f>IF(Q174="","",IF(Q174&lt;=N174,"Yes","No"))</f>
        <v/>
      </c>
      <c r="S174" s="52">
        <f>IF(Q174="","",IF(Q174&lt;=N174,0,NETWORKDAYS.INTL(N174,Q174,INDEX(LR_Code,MATCH(B174,LR_Lane,0)),INDEX(DH_Table,0,MATCH(B174&amp;"*",DH_Head,0)))-1))</f>
        <v/>
      </c>
      <c r="T174" s="127" t="n"/>
      <c r="U174" s="112">
        <f>IF(V174&lt;&gt;"",V174,IF(IFERROR(INDEX(RS_Flag,MATCH(B174,RS_Lane,0)),"")="Yes",IF(IFERROR(INDEX(RS_Loc,MATCH(B174,RS_Lane,0)),"")="","Regional stock",IFERROR(INDEX(RS_Loc,MATCH(B174,RS_Lane,0)),"")),"Helmond"))</f>
        <v/>
      </c>
      <c r="V174" s="141" t="n"/>
      <c r="W174" s="142" t="n"/>
      <c r="X174" s="143" t="n"/>
      <c r="Y174" s="116">
        <f>IF(X174&lt;&gt;"",X174,IF(U174="Helmond",IF(COUNTIFS(RC_Lane,B174,RC_Band,E174,RC_CostPS,"&gt;0")=0,"",SUMIFS(RC_CostPS,RC_Lane,B174,RC_Band,E174)*(1-SUMIFS(RC_Disc,RC_Lane,B174,RC_Band,E174))),IF(U174="Other","",IF(INDEX(RS_Rate,MATCH(B174,RS_Lane,0))="","",INDEX(RS_Rate,MATCH(B174,RS_Lane,0))))))</f>
        <v/>
      </c>
    </row>
    <row r="175">
      <c r="A175" s="95" t="inlineStr">
        <is>
          <t>B-171</t>
        </is>
      </c>
      <c r="B175" s="112" t="inlineStr">
        <is>
          <t>L01</t>
        </is>
      </c>
      <c r="C175" s="101" t="inlineStr">
        <is>
          <t>Saudi Arabia</t>
        </is>
      </c>
      <c r="D175" s="101" t="inlineStr">
        <is>
          <t>Jeddah</t>
        </is>
      </c>
      <c r="E175" s="101" t="inlineStr">
        <is>
          <t>B1  0 to 30 kg</t>
        </is>
      </c>
      <c r="F175" s="123" t="n">
        <v>2.2</v>
      </c>
      <c r="G175" s="86">
        <f>F175*0.006477</f>
        <v/>
      </c>
      <c r="H175" s="123">
        <f>F175*1.079436</f>
        <v/>
      </c>
      <c r="I175" s="122">
        <f>MAX(1,ROUNDUP(G175/0.096,0))</f>
        <v/>
      </c>
      <c r="J175" s="84" t="n">
        <v>46590</v>
      </c>
      <c r="K175" s="87">
        <f>J175-WEEKDAY(J175,2)+1</f>
        <v/>
      </c>
      <c r="L175" s="84">
        <f>J175</f>
        <v/>
      </c>
      <c r="M175" s="52">
        <f>INDEX(LR_Target,MATCH(B175,LR_Lane,0))</f>
        <v/>
      </c>
      <c r="N175" s="84">
        <f>WORKDAY.INTL(L175,M175,INDEX(LR_Code,MATCH(B175,LR_Lane,0)),INDEX(DH_Table,0,MATCH(B175&amp;"*",DH_Head,0)))</f>
        <v/>
      </c>
      <c r="O175" s="65">
        <f>IF(W175&lt;&gt;"",W175,IF(U175="Helmond",IF(COUNTIFS(RC_Lane,B175,RC_Band,E175,RC_Transit,"&lt;&gt;")=0,"",SUMIFS(RC_Transit,RC_Lane,B175,RC_Band,E175)),IF(U175="Other","",IF(INDEX(RS_Transit,MATCH(B175,RS_Lane,0))="","",INDEX(RS_Transit,MATCH(B175,RS_Lane,0))))))</f>
        <v/>
      </c>
      <c r="P175" s="140" t="n"/>
      <c r="Q175" s="84">
        <f>IF(P175&lt;&gt;"",P175,IF(O175="","",WORKDAY.INTL(L175,ROUNDUP(O175,0),INDEX(LR_Code,MATCH(B175,LR_Lane,0)),INDEX(DH_Table,0,MATCH(B175&amp;"*",DH_Head,0)))))</f>
        <v/>
      </c>
      <c r="R175" s="100">
        <f>IF(Q175="","",IF(Q175&lt;=N175,"Yes","No"))</f>
        <v/>
      </c>
      <c r="S175" s="52">
        <f>IF(Q175="","",IF(Q175&lt;=N175,0,NETWORKDAYS.INTL(N175,Q175,INDEX(LR_Code,MATCH(B175,LR_Lane,0)),INDEX(DH_Table,0,MATCH(B175&amp;"*",DH_Head,0)))-1))</f>
        <v/>
      </c>
      <c r="T175" s="127" t="n"/>
      <c r="U175" s="112">
        <f>IF(V175&lt;&gt;"",V175,IF(IFERROR(INDEX(RS_Flag,MATCH(B175,RS_Lane,0)),"")="Yes",IF(IFERROR(INDEX(RS_Loc,MATCH(B175,RS_Lane,0)),"")="","Regional stock",IFERROR(INDEX(RS_Loc,MATCH(B175,RS_Lane,0)),"")),"Helmond"))</f>
        <v/>
      </c>
      <c r="V175" s="141" t="n"/>
      <c r="W175" s="142" t="n"/>
      <c r="X175" s="143" t="n"/>
      <c r="Y175" s="116">
        <f>IF(X175&lt;&gt;"",X175,IF(U175="Helmond",IF(COUNTIFS(RC_Lane,B175,RC_Band,E175,RC_CostPS,"&gt;0")=0,"",SUMIFS(RC_CostPS,RC_Lane,B175,RC_Band,E175)*(1-SUMIFS(RC_Disc,RC_Lane,B175,RC_Band,E175))),IF(U175="Other","",IF(INDEX(RS_Rate,MATCH(B175,RS_Lane,0))="","",INDEX(RS_Rate,MATCH(B175,RS_Lane,0))))))</f>
        <v/>
      </c>
    </row>
    <row r="176">
      <c r="A176" s="95" t="inlineStr">
        <is>
          <t>B-172</t>
        </is>
      </c>
      <c r="B176" s="112" t="inlineStr">
        <is>
          <t>L02</t>
        </is>
      </c>
      <c r="C176" s="101" t="inlineStr">
        <is>
          <t>United Arab Emirates</t>
        </is>
      </c>
      <c r="D176" s="101" t="inlineStr">
        <is>
          <t>Dubai</t>
        </is>
      </c>
      <c r="E176" s="101" t="inlineStr">
        <is>
          <t>B1  0 to 30 kg</t>
        </is>
      </c>
      <c r="F176" s="123" t="n">
        <v>6.4</v>
      </c>
      <c r="G176" s="86">
        <f>F176*0.006477</f>
        <v/>
      </c>
      <c r="H176" s="123">
        <f>F176*1.079436</f>
        <v/>
      </c>
      <c r="I176" s="122">
        <f>MAX(1,ROUNDUP(G176/0.096,0))</f>
        <v/>
      </c>
      <c r="J176" s="84" t="n">
        <v>46594</v>
      </c>
      <c r="K176" s="87">
        <f>J176-WEEKDAY(J176,2)+1</f>
        <v/>
      </c>
      <c r="L176" s="84">
        <f>J176</f>
        <v/>
      </c>
      <c r="M176" s="52">
        <f>INDEX(LR_Target,MATCH(B176,LR_Lane,0))</f>
        <v/>
      </c>
      <c r="N176" s="84">
        <f>WORKDAY.INTL(L176,M176,INDEX(LR_Code,MATCH(B176,LR_Lane,0)),INDEX(DH_Table,0,MATCH(B176&amp;"*",DH_Head,0)))</f>
        <v/>
      </c>
      <c r="O176" s="65">
        <f>IF(W176&lt;&gt;"",W176,IF(U176="Helmond",IF(COUNTIFS(RC_Lane,B176,RC_Band,E176,RC_Transit,"&lt;&gt;")=0,"",SUMIFS(RC_Transit,RC_Lane,B176,RC_Band,E176)),IF(U176="Other","",IF(INDEX(RS_Transit,MATCH(B176,RS_Lane,0))="","",INDEX(RS_Transit,MATCH(B176,RS_Lane,0))))))</f>
        <v/>
      </c>
      <c r="P176" s="140" t="n"/>
      <c r="Q176" s="84">
        <f>IF(P176&lt;&gt;"",P176,IF(O176="","",WORKDAY.INTL(L176,ROUNDUP(O176,0),INDEX(LR_Code,MATCH(B176,LR_Lane,0)),INDEX(DH_Table,0,MATCH(B176&amp;"*",DH_Head,0)))))</f>
        <v/>
      </c>
      <c r="R176" s="100">
        <f>IF(Q176="","",IF(Q176&lt;=N176,"Yes","No"))</f>
        <v/>
      </c>
      <c r="S176" s="52">
        <f>IF(Q176="","",IF(Q176&lt;=N176,0,NETWORKDAYS.INTL(N176,Q176,INDEX(LR_Code,MATCH(B176,LR_Lane,0)),INDEX(DH_Table,0,MATCH(B176&amp;"*",DH_Head,0)))-1))</f>
        <v/>
      </c>
      <c r="T176" s="127" t="n"/>
      <c r="U176" s="112">
        <f>IF(V176&lt;&gt;"",V176,IF(IFERROR(INDEX(RS_Flag,MATCH(B176,RS_Lane,0)),"")="Yes",IF(IFERROR(INDEX(RS_Loc,MATCH(B176,RS_Lane,0)),"")="","Regional stock",IFERROR(INDEX(RS_Loc,MATCH(B176,RS_Lane,0)),"")),"Helmond"))</f>
        <v/>
      </c>
      <c r="V176" s="141" t="n"/>
      <c r="W176" s="142" t="n"/>
      <c r="X176" s="143" t="n"/>
      <c r="Y176" s="116">
        <f>IF(X176&lt;&gt;"",X176,IF(U176="Helmond",IF(COUNTIFS(RC_Lane,B176,RC_Band,E176,RC_CostPS,"&gt;0")=0,"",SUMIFS(RC_CostPS,RC_Lane,B176,RC_Band,E176)*(1-SUMIFS(RC_Disc,RC_Lane,B176,RC_Band,E176))),IF(U176="Other","",IF(INDEX(RS_Rate,MATCH(B176,RS_Lane,0))="","",INDEX(RS_Rate,MATCH(B176,RS_Lane,0))))))</f>
        <v/>
      </c>
    </row>
    <row r="177">
      <c r="A177" s="95" t="inlineStr">
        <is>
          <t>B-173</t>
        </is>
      </c>
      <c r="B177" s="112" t="inlineStr">
        <is>
          <t>L03</t>
        </is>
      </c>
      <c r="C177" s="101" t="inlineStr">
        <is>
          <t>Kuwait</t>
        </is>
      </c>
      <c r="D177" s="101" t="inlineStr">
        <is>
          <t>Kuwait City</t>
        </is>
      </c>
      <c r="E177" s="101" t="inlineStr">
        <is>
          <t>B3  100 to 500 kg</t>
        </is>
      </c>
      <c r="F177" s="123" t="n">
        <v>164.3</v>
      </c>
      <c r="G177" s="86">
        <f>F177*0.006477</f>
        <v/>
      </c>
      <c r="H177" s="123">
        <f>F177*1.079436</f>
        <v/>
      </c>
      <c r="I177" s="122">
        <f>MAX(1,ROUNDUP(G177/0.096,0))</f>
        <v/>
      </c>
      <c r="J177" s="84" t="n">
        <v>46595</v>
      </c>
      <c r="K177" s="87">
        <f>J177-WEEKDAY(J177,2)+1</f>
        <v/>
      </c>
      <c r="L177" s="84">
        <f>J177</f>
        <v/>
      </c>
      <c r="M177" s="52">
        <f>INDEX(LR_Target,MATCH(B177,LR_Lane,0))</f>
        <v/>
      </c>
      <c r="N177" s="84">
        <f>WORKDAY.INTL(L177,M177,INDEX(LR_Code,MATCH(B177,LR_Lane,0)),INDEX(DH_Table,0,MATCH(B177&amp;"*",DH_Head,0)))</f>
        <v/>
      </c>
      <c r="O177" s="65">
        <f>IF(W177&lt;&gt;"",W177,IF(U177="Helmond",IF(COUNTIFS(RC_Lane,B177,RC_Band,E177,RC_Transit,"&lt;&gt;")=0,"",SUMIFS(RC_Transit,RC_Lane,B177,RC_Band,E177)),IF(U177="Other","",IF(INDEX(RS_Transit,MATCH(B177,RS_Lane,0))="","",INDEX(RS_Transit,MATCH(B177,RS_Lane,0))))))</f>
        <v/>
      </c>
      <c r="P177" s="140" t="n"/>
      <c r="Q177" s="84">
        <f>IF(P177&lt;&gt;"",P177,IF(O177="","",WORKDAY.INTL(L177,ROUNDUP(O177,0),INDEX(LR_Code,MATCH(B177,LR_Lane,0)),INDEX(DH_Table,0,MATCH(B177&amp;"*",DH_Head,0)))))</f>
        <v/>
      </c>
      <c r="R177" s="100">
        <f>IF(Q177="","",IF(Q177&lt;=N177,"Yes","No"))</f>
        <v/>
      </c>
      <c r="S177" s="52">
        <f>IF(Q177="","",IF(Q177&lt;=N177,0,NETWORKDAYS.INTL(N177,Q177,INDEX(LR_Code,MATCH(B177,LR_Lane,0)),INDEX(DH_Table,0,MATCH(B177&amp;"*",DH_Head,0)))-1))</f>
        <v/>
      </c>
      <c r="T177" s="127" t="n"/>
      <c r="U177" s="112">
        <f>IF(V177&lt;&gt;"",V177,IF(IFERROR(INDEX(RS_Flag,MATCH(B177,RS_Lane,0)),"")="Yes",IF(IFERROR(INDEX(RS_Loc,MATCH(B177,RS_Lane,0)),"")="","Regional stock",IFERROR(INDEX(RS_Loc,MATCH(B177,RS_Lane,0)),"")),"Helmond"))</f>
        <v/>
      </c>
      <c r="V177" s="141" t="n"/>
      <c r="W177" s="142" t="n"/>
      <c r="X177" s="143" t="n"/>
      <c r="Y177" s="116">
        <f>IF(X177&lt;&gt;"",X177,IF(U177="Helmond",IF(COUNTIFS(RC_Lane,B177,RC_Band,E177,RC_CostPS,"&gt;0")=0,"",SUMIFS(RC_CostPS,RC_Lane,B177,RC_Band,E177)*(1-SUMIFS(RC_Disc,RC_Lane,B177,RC_Band,E177))),IF(U177="Other","",IF(INDEX(RS_Rate,MATCH(B177,RS_Lane,0))="","",INDEX(RS_Rate,MATCH(B177,RS_Lane,0))))))</f>
        <v/>
      </c>
    </row>
    <row r="178">
      <c r="A178" s="95" t="inlineStr">
        <is>
          <t>B-174</t>
        </is>
      </c>
      <c r="B178" s="112" t="inlineStr">
        <is>
          <t>L01</t>
        </is>
      </c>
      <c r="C178" s="101" t="inlineStr">
        <is>
          <t>Saudi Arabia</t>
        </is>
      </c>
      <c r="D178" s="101" t="inlineStr">
        <is>
          <t>Riyadh</t>
        </is>
      </c>
      <c r="E178" s="101" t="inlineStr">
        <is>
          <t>B4  500 to 2,000 kg</t>
        </is>
      </c>
      <c r="F178" s="123" t="n">
        <v>775.9</v>
      </c>
      <c r="G178" s="86">
        <f>F178*0.006477</f>
        <v/>
      </c>
      <c r="H178" s="123">
        <f>F178*1.079436</f>
        <v/>
      </c>
      <c r="I178" s="122">
        <f>MAX(1,ROUNDUP(G178/0.096,0))</f>
        <v/>
      </c>
      <c r="J178" s="84" t="n">
        <v>46597</v>
      </c>
      <c r="K178" s="87">
        <f>J178-WEEKDAY(J178,2)+1</f>
        <v/>
      </c>
      <c r="L178" s="84">
        <f>J178</f>
        <v/>
      </c>
      <c r="M178" s="52">
        <f>INDEX(LR_Target,MATCH(B178,LR_Lane,0))</f>
        <v/>
      </c>
      <c r="N178" s="84">
        <f>WORKDAY.INTL(L178,M178,INDEX(LR_Code,MATCH(B178,LR_Lane,0)),INDEX(DH_Table,0,MATCH(B178&amp;"*",DH_Head,0)))</f>
        <v/>
      </c>
      <c r="O178" s="65">
        <f>IF(W178&lt;&gt;"",W178,IF(U178="Helmond",IF(COUNTIFS(RC_Lane,B178,RC_Band,E178,RC_Transit,"&lt;&gt;")=0,"",SUMIFS(RC_Transit,RC_Lane,B178,RC_Band,E178)),IF(U178="Other","",IF(INDEX(RS_Transit,MATCH(B178,RS_Lane,0))="","",INDEX(RS_Transit,MATCH(B178,RS_Lane,0))))))</f>
        <v/>
      </c>
      <c r="P178" s="140" t="n"/>
      <c r="Q178" s="84">
        <f>IF(P178&lt;&gt;"",P178,IF(O178="","",WORKDAY.INTL(L178,ROUNDUP(O178,0),INDEX(LR_Code,MATCH(B178,LR_Lane,0)),INDEX(DH_Table,0,MATCH(B178&amp;"*",DH_Head,0)))))</f>
        <v/>
      </c>
      <c r="R178" s="100">
        <f>IF(Q178="","",IF(Q178&lt;=N178,"Yes","No"))</f>
        <v/>
      </c>
      <c r="S178" s="52">
        <f>IF(Q178="","",IF(Q178&lt;=N178,0,NETWORKDAYS.INTL(N178,Q178,INDEX(LR_Code,MATCH(B178,LR_Lane,0)),INDEX(DH_Table,0,MATCH(B178&amp;"*",DH_Head,0)))-1))</f>
        <v/>
      </c>
      <c r="T178" s="127" t="n"/>
      <c r="U178" s="112">
        <f>IF(V178&lt;&gt;"",V178,IF(IFERROR(INDEX(RS_Flag,MATCH(B178,RS_Lane,0)),"")="Yes",IF(IFERROR(INDEX(RS_Loc,MATCH(B178,RS_Lane,0)),"")="","Regional stock",IFERROR(INDEX(RS_Loc,MATCH(B178,RS_Lane,0)),"")),"Helmond"))</f>
        <v/>
      </c>
      <c r="V178" s="141" t="n"/>
      <c r="W178" s="142" t="n"/>
      <c r="X178" s="143" t="n"/>
      <c r="Y178" s="116">
        <f>IF(X178&lt;&gt;"",X178,IF(U178="Helmond",IF(COUNTIFS(RC_Lane,B178,RC_Band,E178,RC_CostPS,"&gt;0")=0,"",SUMIFS(RC_CostPS,RC_Lane,B178,RC_Band,E178)*(1-SUMIFS(RC_Disc,RC_Lane,B178,RC_Band,E178))),IF(U178="Other","",IF(INDEX(RS_Rate,MATCH(B178,RS_Lane,0))="","",INDEX(RS_Rate,MATCH(B178,RS_Lane,0))))))</f>
        <v/>
      </c>
    </row>
    <row r="179">
      <c r="A179" s="95" t="inlineStr">
        <is>
          <t>B-175</t>
        </is>
      </c>
      <c r="B179" s="112" t="inlineStr">
        <is>
          <t>L04</t>
        </is>
      </c>
      <c r="C179" s="101" t="inlineStr">
        <is>
          <t>Qatar</t>
        </is>
      </c>
      <c r="D179" s="101" t="inlineStr">
        <is>
          <t>Doha</t>
        </is>
      </c>
      <c r="E179" s="101" t="inlineStr">
        <is>
          <t>B2  30 to 100 kg</t>
        </is>
      </c>
      <c r="F179" s="123" t="n">
        <v>57.2</v>
      </c>
      <c r="G179" s="86">
        <f>F179*0.006477</f>
        <v/>
      </c>
      <c r="H179" s="123">
        <f>F179*1.079436</f>
        <v/>
      </c>
      <c r="I179" s="122">
        <f>MAX(1,ROUNDUP(G179/0.096,0))</f>
        <v/>
      </c>
      <c r="J179" s="84" t="n">
        <v>46597</v>
      </c>
      <c r="K179" s="87">
        <f>J179-WEEKDAY(J179,2)+1</f>
        <v/>
      </c>
      <c r="L179" s="84">
        <f>J179</f>
        <v/>
      </c>
      <c r="M179" s="52">
        <f>INDEX(LR_Target,MATCH(B179,LR_Lane,0))</f>
        <v/>
      </c>
      <c r="N179" s="84">
        <f>WORKDAY.INTL(L179,M179,INDEX(LR_Code,MATCH(B179,LR_Lane,0)),INDEX(DH_Table,0,MATCH(B179&amp;"*",DH_Head,0)))</f>
        <v/>
      </c>
      <c r="O179" s="65">
        <f>IF(W179&lt;&gt;"",W179,IF(U179="Helmond",IF(COUNTIFS(RC_Lane,B179,RC_Band,E179,RC_Transit,"&lt;&gt;")=0,"",SUMIFS(RC_Transit,RC_Lane,B179,RC_Band,E179)),IF(U179="Other","",IF(INDEX(RS_Transit,MATCH(B179,RS_Lane,0))="","",INDEX(RS_Transit,MATCH(B179,RS_Lane,0))))))</f>
        <v/>
      </c>
      <c r="P179" s="140" t="n"/>
      <c r="Q179" s="84">
        <f>IF(P179&lt;&gt;"",P179,IF(O179="","",WORKDAY.INTL(L179,ROUNDUP(O179,0),INDEX(LR_Code,MATCH(B179,LR_Lane,0)),INDEX(DH_Table,0,MATCH(B179&amp;"*",DH_Head,0)))))</f>
        <v/>
      </c>
      <c r="R179" s="100">
        <f>IF(Q179="","",IF(Q179&lt;=N179,"Yes","No"))</f>
        <v/>
      </c>
      <c r="S179" s="52">
        <f>IF(Q179="","",IF(Q179&lt;=N179,0,NETWORKDAYS.INTL(N179,Q179,INDEX(LR_Code,MATCH(B179,LR_Lane,0)),INDEX(DH_Table,0,MATCH(B179&amp;"*",DH_Head,0)))-1))</f>
        <v/>
      </c>
      <c r="T179" s="127" t="n"/>
      <c r="U179" s="112">
        <f>IF(V179&lt;&gt;"",V179,IF(IFERROR(INDEX(RS_Flag,MATCH(B179,RS_Lane,0)),"")="Yes",IF(IFERROR(INDEX(RS_Loc,MATCH(B179,RS_Lane,0)),"")="","Regional stock",IFERROR(INDEX(RS_Loc,MATCH(B179,RS_Lane,0)),"")),"Helmond"))</f>
        <v/>
      </c>
      <c r="V179" s="141" t="n"/>
      <c r="W179" s="142" t="n"/>
      <c r="X179" s="143" t="n"/>
      <c r="Y179" s="116">
        <f>IF(X179&lt;&gt;"",X179,IF(U179="Helmond",IF(COUNTIFS(RC_Lane,B179,RC_Band,E179,RC_CostPS,"&gt;0")=0,"",SUMIFS(RC_CostPS,RC_Lane,B179,RC_Band,E179)*(1-SUMIFS(RC_Disc,RC_Lane,B179,RC_Band,E179))),IF(U179="Other","",IF(INDEX(RS_Rate,MATCH(B179,RS_Lane,0))="","",INDEX(RS_Rate,MATCH(B179,RS_Lane,0))))))</f>
        <v/>
      </c>
    </row>
    <row r="180">
      <c r="A180" s="95" t="inlineStr">
        <is>
          <t>B-176</t>
        </is>
      </c>
      <c r="B180" s="112" t="inlineStr">
        <is>
          <t>L03</t>
        </is>
      </c>
      <c r="C180" s="101" t="inlineStr">
        <is>
          <t>Kuwait</t>
        </is>
      </c>
      <c r="D180" s="101" t="inlineStr">
        <is>
          <t>Kuwait City</t>
        </is>
      </c>
      <c r="E180" s="101" t="inlineStr">
        <is>
          <t>B1  0 to 30 kg</t>
        </is>
      </c>
      <c r="F180" s="123" t="n">
        <v>14.2</v>
      </c>
      <c r="G180" s="86">
        <f>F180*0.006477</f>
        <v/>
      </c>
      <c r="H180" s="123">
        <f>F180*1.079436</f>
        <v/>
      </c>
      <c r="I180" s="122">
        <f>MAX(1,ROUNDUP(G180/0.096,0))</f>
        <v/>
      </c>
      <c r="J180" s="84" t="n">
        <v>46601</v>
      </c>
      <c r="K180" s="87">
        <f>J180-WEEKDAY(J180,2)+1</f>
        <v/>
      </c>
      <c r="L180" s="84">
        <f>J180</f>
        <v/>
      </c>
      <c r="M180" s="52">
        <f>INDEX(LR_Target,MATCH(B180,LR_Lane,0))</f>
        <v/>
      </c>
      <c r="N180" s="84">
        <f>WORKDAY.INTL(L180,M180,INDEX(LR_Code,MATCH(B180,LR_Lane,0)),INDEX(DH_Table,0,MATCH(B180&amp;"*",DH_Head,0)))</f>
        <v/>
      </c>
      <c r="O180" s="65">
        <f>IF(W180&lt;&gt;"",W180,IF(U180="Helmond",IF(COUNTIFS(RC_Lane,B180,RC_Band,E180,RC_Transit,"&lt;&gt;")=0,"",SUMIFS(RC_Transit,RC_Lane,B180,RC_Band,E180)),IF(U180="Other","",IF(INDEX(RS_Transit,MATCH(B180,RS_Lane,0))="","",INDEX(RS_Transit,MATCH(B180,RS_Lane,0))))))</f>
        <v/>
      </c>
      <c r="P180" s="140" t="n"/>
      <c r="Q180" s="84">
        <f>IF(P180&lt;&gt;"",P180,IF(O180="","",WORKDAY.INTL(L180,ROUNDUP(O180,0),INDEX(LR_Code,MATCH(B180,LR_Lane,0)),INDEX(DH_Table,0,MATCH(B180&amp;"*",DH_Head,0)))))</f>
        <v/>
      </c>
      <c r="R180" s="100">
        <f>IF(Q180="","",IF(Q180&lt;=N180,"Yes","No"))</f>
        <v/>
      </c>
      <c r="S180" s="52">
        <f>IF(Q180="","",IF(Q180&lt;=N180,0,NETWORKDAYS.INTL(N180,Q180,INDEX(LR_Code,MATCH(B180,LR_Lane,0)),INDEX(DH_Table,0,MATCH(B180&amp;"*",DH_Head,0)))-1))</f>
        <v/>
      </c>
      <c r="T180" s="127" t="n"/>
      <c r="U180" s="112">
        <f>IF(V180&lt;&gt;"",V180,IF(IFERROR(INDEX(RS_Flag,MATCH(B180,RS_Lane,0)),"")="Yes",IF(IFERROR(INDEX(RS_Loc,MATCH(B180,RS_Lane,0)),"")="","Regional stock",IFERROR(INDEX(RS_Loc,MATCH(B180,RS_Lane,0)),"")),"Helmond"))</f>
        <v/>
      </c>
      <c r="V180" s="141" t="n"/>
      <c r="W180" s="142" t="n"/>
      <c r="X180" s="143" t="n"/>
      <c r="Y180" s="116">
        <f>IF(X180&lt;&gt;"",X180,IF(U180="Helmond",IF(COUNTIFS(RC_Lane,B180,RC_Band,E180,RC_CostPS,"&gt;0")=0,"",SUMIFS(RC_CostPS,RC_Lane,B180,RC_Band,E180)*(1-SUMIFS(RC_Disc,RC_Lane,B180,RC_Band,E180))),IF(U180="Other","",IF(INDEX(RS_Rate,MATCH(B180,RS_Lane,0))="","",INDEX(RS_Rate,MATCH(B180,RS_Lane,0))))))</f>
        <v/>
      </c>
    </row>
    <row r="181">
      <c r="A181" s="95" t="inlineStr">
        <is>
          <t>B-177</t>
        </is>
      </c>
      <c r="B181" s="112" t="inlineStr">
        <is>
          <t>L04</t>
        </is>
      </c>
      <c r="C181" s="101" t="inlineStr">
        <is>
          <t>Qatar</t>
        </is>
      </c>
      <c r="D181" s="101" t="inlineStr">
        <is>
          <t>Doha</t>
        </is>
      </c>
      <c r="E181" s="101" t="inlineStr">
        <is>
          <t>B2  30 to 100 kg</t>
        </is>
      </c>
      <c r="F181" s="123" t="n">
        <v>31.1</v>
      </c>
      <c r="G181" s="86">
        <f>F181*0.006477</f>
        <v/>
      </c>
      <c r="H181" s="123">
        <f>F181*1.079436</f>
        <v/>
      </c>
      <c r="I181" s="122">
        <f>MAX(1,ROUNDUP(G181/0.096,0))</f>
        <v/>
      </c>
      <c r="J181" s="84" t="n">
        <v>46601</v>
      </c>
      <c r="K181" s="87">
        <f>J181-WEEKDAY(J181,2)+1</f>
        <v/>
      </c>
      <c r="L181" s="84">
        <f>J181</f>
        <v/>
      </c>
      <c r="M181" s="52">
        <f>INDEX(LR_Target,MATCH(B181,LR_Lane,0))</f>
        <v/>
      </c>
      <c r="N181" s="84">
        <f>WORKDAY.INTL(L181,M181,INDEX(LR_Code,MATCH(B181,LR_Lane,0)),INDEX(DH_Table,0,MATCH(B181&amp;"*",DH_Head,0)))</f>
        <v/>
      </c>
      <c r="O181" s="65">
        <f>IF(W181&lt;&gt;"",W181,IF(U181="Helmond",IF(COUNTIFS(RC_Lane,B181,RC_Band,E181,RC_Transit,"&lt;&gt;")=0,"",SUMIFS(RC_Transit,RC_Lane,B181,RC_Band,E181)),IF(U181="Other","",IF(INDEX(RS_Transit,MATCH(B181,RS_Lane,0))="","",INDEX(RS_Transit,MATCH(B181,RS_Lane,0))))))</f>
        <v/>
      </c>
      <c r="P181" s="140" t="n"/>
      <c r="Q181" s="84">
        <f>IF(P181&lt;&gt;"",P181,IF(O181="","",WORKDAY.INTL(L181,ROUNDUP(O181,0),INDEX(LR_Code,MATCH(B181,LR_Lane,0)),INDEX(DH_Table,0,MATCH(B181&amp;"*",DH_Head,0)))))</f>
        <v/>
      </c>
      <c r="R181" s="100">
        <f>IF(Q181="","",IF(Q181&lt;=N181,"Yes","No"))</f>
        <v/>
      </c>
      <c r="S181" s="52">
        <f>IF(Q181="","",IF(Q181&lt;=N181,0,NETWORKDAYS.INTL(N181,Q181,INDEX(LR_Code,MATCH(B181,LR_Lane,0)),INDEX(DH_Table,0,MATCH(B181&amp;"*",DH_Head,0)))-1))</f>
        <v/>
      </c>
      <c r="T181" s="127" t="n"/>
      <c r="U181" s="112">
        <f>IF(V181&lt;&gt;"",V181,IF(IFERROR(INDEX(RS_Flag,MATCH(B181,RS_Lane,0)),"")="Yes",IF(IFERROR(INDEX(RS_Loc,MATCH(B181,RS_Lane,0)),"")="","Regional stock",IFERROR(INDEX(RS_Loc,MATCH(B181,RS_Lane,0)),"")),"Helmond"))</f>
        <v/>
      </c>
      <c r="V181" s="141" t="n"/>
      <c r="W181" s="142" t="n"/>
      <c r="X181" s="143" t="n"/>
      <c r="Y181" s="116">
        <f>IF(X181&lt;&gt;"",X181,IF(U181="Helmond",IF(COUNTIFS(RC_Lane,B181,RC_Band,E181,RC_CostPS,"&gt;0")=0,"",SUMIFS(RC_CostPS,RC_Lane,B181,RC_Band,E181)*(1-SUMIFS(RC_Disc,RC_Lane,B181,RC_Band,E181))),IF(U181="Other","",IF(INDEX(RS_Rate,MATCH(B181,RS_Lane,0))="","",INDEX(RS_Rate,MATCH(B181,RS_Lane,0))))))</f>
        <v/>
      </c>
    </row>
    <row r="182">
      <c r="A182" s="95" t="inlineStr">
        <is>
          <t>B-178</t>
        </is>
      </c>
      <c r="B182" s="112" t="inlineStr">
        <is>
          <t>L01</t>
        </is>
      </c>
      <c r="C182" s="101" t="inlineStr">
        <is>
          <t>Saudi Arabia</t>
        </is>
      </c>
      <c r="D182" s="101" t="inlineStr">
        <is>
          <t>Jeddah</t>
        </is>
      </c>
      <c r="E182" s="101" t="inlineStr">
        <is>
          <t>B1  0 to 30 kg</t>
        </is>
      </c>
      <c r="F182" s="123" t="n">
        <v>11.5</v>
      </c>
      <c r="G182" s="86">
        <f>F182*0.006477</f>
        <v/>
      </c>
      <c r="H182" s="123">
        <f>F182*1.079436</f>
        <v/>
      </c>
      <c r="I182" s="122">
        <f>MAX(1,ROUNDUP(G182/0.096,0))</f>
        <v/>
      </c>
      <c r="J182" s="84" t="n">
        <v>46603</v>
      </c>
      <c r="K182" s="87">
        <f>J182-WEEKDAY(J182,2)+1</f>
        <v/>
      </c>
      <c r="L182" s="84">
        <f>J182</f>
        <v/>
      </c>
      <c r="M182" s="52">
        <f>INDEX(LR_Target,MATCH(B182,LR_Lane,0))</f>
        <v/>
      </c>
      <c r="N182" s="84">
        <f>WORKDAY.INTL(L182,M182,INDEX(LR_Code,MATCH(B182,LR_Lane,0)),INDEX(DH_Table,0,MATCH(B182&amp;"*",DH_Head,0)))</f>
        <v/>
      </c>
      <c r="O182" s="65">
        <f>IF(W182&lt;&gt;"",W182,IF(U182="Helmond",IF(COUNTIFS(RC_Lane,B182,RC_Band,E182,RC_Transit,"&lt;&gt;")=0,"",SUMIFS(RC_Transit,RC_Lane,B182,RC_Band,E182)),IF(U182="Other","",IF(INDEX(RS_Transit,MATCH(B182,RS_Lane,0))="","",INDEX(RS_Transit,MATCH(B182,RS_Lane,0))))))</f>
        <v/>
      </c>
      <c r="P182" s="140" t="n"/>
      <c r="Q182" s="84">
        <f>IF(P182&lt;&gt;"",P182,IF(O182="","",WORKDAY.INTL(L182,ROUNDUP(O182,0),INDEX(LR_Code,MATCH(B182,LR_Lane,0)),INDEX(DH_Table,0,MATCH(B182&amp;"*",DH_Head,0)))))</f>
        <v/>
      </c>
      <c r="R182" s="100">
        <f>IF(Q182="","",IF(Q182&lt;=N182,"Yes","No"))</f>
        <v/>
      </c>
      <c r="S182" s="52">
        <f>IF(Q182="","",IF(Q182&lt;=N182,0,NETWORKDAYS.INTL(N182,Q182,INDEX(LR_Code,MATCH(B182,LR_Lane,0)),INDEX(DH_Table,0,MATCH(B182&amp;"*",DH_Head,0)))-1))</f>
        <v/>
      </c>
      <c r="T182" s="127" t="n"/>
      <c r="U182" s="112">
        <f>IF(V182&lt;&gt;"",V182,IF(IFERROR(INDEX(RS_Flag,MATCH(B182,RS_Lane,0)),"")="Yes",IF(IFERROR(INDEX(RS_Loc,MATCH(B182,RS_Lane,0)),"")="","Regional stock",IFERROR(INDEX(RS_Loc,MATCH(B182,RS_Lane,0)),"")),"Helmond"))</f>
        <v/>
      </c>
      <c r="V182" s="141" t="n"/>
      <c r="W182" s="142" t="n"/>
      <c r="X182" s="143" t="n"/>
      <c r="Y182" s="116">
        <f>IF(X182&lt;&gt;"",X182,IF(U182="Helmond",IF(COUNTIFS(RC_Lane,B182,RC_Band,E182,RC_CostPS,"&gt;0")=0,"",SUMIFS(RC_CostPS,RC_Lane,B182,RC_Band,E182)*(1-SUMIFS(RC_Disc,RC_Lane,B182,RC_Band,E182))),IF(U182="Other","",IF(INDEX(RS_Rate,MATCH(B182,RS_Lane,0))="","",INDEX(RS_Rate,MATCH(B182,RS_Lane,0))))))</f>
        <v/>
      </c>
    </row>
    <row r="183">
      <c r="A183" s="95" t="inlineStr">
        <is>
          <t>B-179</t>
        </is>
      </c>
      <c r="B183" s="112" t="inlineStr">
        <is>
          <t>L04</t>
        </is>
      </c>
      <c r="C183" s="101" t="inlineStr">
        <is>
          <t>Qatar</t>
        </is>
      </c>
      <c r="D183" s="101" t="inlineStr">
        <is>
          <t>Doha</t>
        </is>
      </c>
      <c r="E183" s="101" t="inlineStr">
        <is>
          <t>B1  0 to 30 kg</t>
        </is>
      </c>
      <c r="F183" s="123" t="n">
        <v>4.2</v>
      </c>
      <c r="G183" s="86">
        <f>F183*0.006477</f>
        <v/>
      </c>
      <c r="H183" s="123">
        <f>F183*1.079436</f>
        <v/>
      </c>
      <c r="I183" s="122">
        <f>MAX(1,ROUNDUP(G183/0.096,0))</f>
        <v/>
      </c>
      <c r="J183" s="84" t="n">
        <v>46603</v>
      </c>
      <c r="K183" s="87">
        <f>J183-WEEKDAY(J183,2)+1</f>
        <v/>
      </c>
      <c r="L183" s="84">
        <f>J183</f>
        <v/>
      </c>
      <c r="M183" s="52">
        <f>INDEX(LR_Target,MATCH(B183,LR_Lane,0))</f>
        <v/>
      </c>
      <c r="N183" s="84">
        <f>WORKDAY.INTL(L183,M183,INDEX(LR_Code,MATCH(B183,LR_Lane,0)),INDEX(DH_Table,0,MATCH(B183&amp;"*",DH_Head,0)))</f>
        <v/>
      </c>
      <c r="O183" s="65">
        <f>IF(W183&lt;&gt;"",W183,IF(U183="Helmond",IF(COUNTIFS(RC_Lane,B183,RC_Band,E183,RC_Transit,"&lt;&gt;")=0,"",SUMIFS(RC_Transit,RC_Lane,B183,RC_Band,E183)),IF(U183="Other","",IF(INDEX(RS_Transit,MATCH(B183,RS_Lane,0))="","",INDEX(RS_Transit,MATCH(B183,RS_Lane,0))))))</f>
        <v/>
      </c>
      <c r="P183" s="140" t="n"/>
      <c r="Q183" s="84">
        <f>IF(P183&lt;&gt;"",P183,IF(O183="","",WORKDAY.INTL(L183,ROUNDUP(O183,0),INDEX(LR_Code,MATCH(B183,LR_Lane,0)),INDEX(DH_Table,0,MATCH(B183&amp;"*",DH_Head,0)))))</f>
        <v/>
      </c>
      <c r="R183" s="100">
        <f>IF(Q183="","",IF(Q183&lt;=N183,"Yes","No"))</f>
        <v/>
      </c>
      <c r="S183" s="52">
        <f>IF(Q183="","",IF(Q183&lt;=N183,0,NETWORKDAYS.INTL(N183,Q183,INDEX(LR_Code,MATCH(B183,LR_Lane,0)),INDEX(DH_Table,0,MATCH(B183&amp;"*",DH_Head,0)))-1))</f>
        <v/>
      </c>
      <c r="T183" s="127" t="n"/>
      <c r="U183" s="112">
        <f>IF(V183&lt;&gt;"",V183,IF(IFERROR(INDEX(RS_Flag,MATCH(B183,RS_Lane,0)),"")="Yes",IF(IFERROR(INDEX(RS_Loc,MATCH(B183,RS_Lane,0)),"")="","Regional stock",IFERROR(INDEX(RS_Loc,MATCH(B183,RS_Lane,0)),"")),"Helmond"))</f>
        <v/>
      </c>
      <c r="V183" s="141" t="n"/>
      <c r="W183" s="142" t="n"/>
      <c r="X183" s="143" t="n"/>
      <c r="Y183" s="116">
        <f>IF(X183&lt;&gt;"",X183,IF(U183="Helmond",IF(COUNTIFS(RC_Lane,B183,RC_Band,E183,RC_CostPS,"&gt;0")=0,"",SUMIFS(RC_CostPS,RC_Lane,B183,RC_Band,E183)*(1-SUMIFS(RC_Disc,RC_Lane,B183,RC_Band,E183))),IF(U183="Other","",IF(INDEX(RS_Rate,MATCH(B183,RS_Lane,0))="","",INDEX(RS_Rate,MATCH(B183,RS_Lane,0))))))</f>
        <v/>
      </c>
    </row>
    <row r="184">
      <c r="A184" s="95" t="inlineStr">
        <is>
          <t>B-180</t>
        </is>
      </c>
      <c r="B184" s="112" t="inlineStr">
        <is>
          <t>L05</t>
        </is>
      </c>
      <c r="C184" s="101" t="inlineStr">
        <is>
          <t>Türkiye</t>
        </is>
      </c>
      <c r="D184" s="101" t="inlineStr">
        <is>
          <t>Istanbul</t>
        </is>
      </c>
      <c r="E184" s="101" t="inlineStr">
        <is>
          <t>B2  30 to 100 kg</t>
        </is>
      </c>
      <c r="F184" s="123" t="n">
        <v>54.4</v>
      </c>
      <c r="G184" s="86">
        <f>F184*0.006477</f>
        <v/>
      </c>
      <c r="H184" s="123">
        <f>F184*1.079436</f>
        <v/>
      </c>
      <c r="I184" s="122">
        <f>MAX(1,ROUNDUP(G184/0.096,0))</f>
        <v/>
      </c>
      <c r="J184" s="84" t="n">
        <v>46608</v>
      </c>
      <c r="K184" s="87">
        <f>J184-WEEKDAY(J184,2)+1</f>
        <v/>
      </c>
      <c r="L184" s="84">
        <f>J184</f>
        <v/>
      </c>
      <c r="M184" s="52">
        <f>INDEX(LR_Target,MATCH(B184,LR_Lane,0))</f>
        <v/>
      </c>
      <c r="N184" s="84">
        <f>WORKDAY.INTL(L184,M184,INDEX(LR_Code,MATCH(B184,LR_Lane,0)),INDEX(DH_Table,0,MATCH(B184&amp;"*",DH_Head,0)))</f>
        <v/>
      </c>
      <c r="O184" s="65">
        <f>IF(W184&lt;&gt;"",W184,IF(U184="Helmond",IF(COUNTIFS(RC_Lane,B184,RC_Band,E184,RC_Transit,"&lt;&gt;")=0,"",SUMIFS(RC_Transit,RC_Lane,B184,RC_Band,E184)),IF(U184="Other","",IF(INDEX(RS_Transit,MATCH(B184,RS_Lane,0))="","",INDEX(RS_Transit,MATCH(B184,RS_Lane,0))))))</f>
        <v/>
      </c>
      <c r="P184" s="140" t="n"/>
      <c r="Q184" s="84">
        <f>IF(P184&lt;&gt;"",P184,IF(O184="","",WORKDAY.INTL(L184,ROUNDUP(O184,0),INDEX(LR_Code,MATCH(B184,LR_Lane,0)),INDEX(DH_Table,0,MATCH(B184&amp;"*",DH_Head,0)))))</f>
        <v/>
      </c>
      <c r="R184" s="100">
        <f>IF(Q184="","",IF(Q184&lt;=N184,"Yes","No"))</f>
        <v/>
      </c>
      <c r="S184" s="52">
        <f>IF(Q184="","",IF(Q184&lt;=N184,0,NETWORKDAYS.INTL(N184,Q184,INDEX(LR_Code,MATCH(B184,LR_Lane,0)),INDEX(DH_Table,0,MATCH(B184&amp;"*",DH_Head,0)))-1))</f>
        <v/>
      </c>
      <c r="T184" s="127" t="n"/>
      <c r="U184" s="112">
        <f>IF(V184&lt;&gt;"",V184,IF(IFERROR(INDEX(RS_Flag,MATCH(B184,RS_Lane,0)),"")="Yes",IF(IFERROR(INDEX(RS_Loc,MATCH(B184,RS_Lane,0)),"")="","Regional stock",IFERROR(INDEX(RS_Loc,MATCH(B184,RS_Lane,0)),"")),"Helmond"))</f>
        <v/>
      </c>
      <c r="V184" s="141" t="n"/>
      <c r="W184" s="142" t="n"/>
      <c r="X184" s="143" t="n"/>
      <c r="Y184" s="116">
        <f>IF(X184&lt;&gt;"",X184,IF(U184="Helmond",IF(COUNTIFS(RC_Lane,B184,RC_Band,E184,RC_CostPS,"&gt;0")=0,"",SUMIFS(RC_CostPS,RC_Lane,B184,RC_Band,E184)*(1-SUMIFS(RC_Disc,RC_Lane,B184,RC_Band,E184))),IF(U184="Other","",IF(INDEX(RS_Rate,MATCH(B184,RS_Lane,0))="","",INDEX(RS_Rate,MATCH(B184,RS_Lane,0))))))</f>
        <v/>
      </c>
    </row>
    <row r="185">
      <c r="A185" s="95" t="inlineStr">
        <is>
          <t>B-181</t>
        </is>
      </c>
      <c r="B185" s="112" t="inlineStr">
        <is>
          <t>L05</t>
        </is>
      </c>
      <c r="C185" s="101" t="inlineStr">
        <is>
          <t>Türkiye</t>
        </is>
      </c>
      <c r="D185" s="101" t="inlineStr">
        <is>
          <t>Istanbul</t>
        </is>
      </c>
      <c r="E185" s="101" t="inlineStr">
        <is>
          <t>B1  0 to 30 kg</t>
        </is>
      </c>
      <c r="F185" s="123" t="n">
        <v>9.9</v>
      </c>
      <c r="G185" s="86">
        <f>F185*0.006477</f>
        <v/>
      </c>
      <c r="H185" s="123">
        <f>F185*1.079436</f>
        <v/>
      </c>
      <c r="I185" s="122">
        <f>MAX(1,ROUNDUP(G185/0.096,0))</f>
        <v/>
      </c>
      <c r="J185" s="84" t="n">
        <v>46609</v>
      </c>
      <c r="K185" s="87">
        <f>J185-WEEKDAY(J185,2)+1</f>
        <v/>
      </c>
      <c r="L185" s="84">
        <f>J185</f>
        <v/>
      </c>
      <c r="M185" s="52">
        <f>INDEX(LR_Target,MATCH(B185,LR_Lane,0))</f>
        <v/>
      </c>
      <c r="N185" s="84">
        <f>WORKDAY.INTL(L185,M185,INDEX(LR_Code,MATCH(B185,LR_Lane,0)),INDEX(DH_Table,0,MATCH(B185&amp;"*",DH_Head,0)))</f>
        <v/>
      </c>
      <c r="O185" s="65">
        <f>IF(W185&lt;&gt;"",W185,IF(U185="Helmond",IF(COUNTIFS(RC_Lane,B185,RC_Band,E185,RC_Transit,"&lt;&gt;")=0,"",SUMIFS(RC_Transit,RC_Lane,B185,RC_Band,E185)),IF(U185="Other","",IF(INDEX(RS_Transit,MATCH(B185,RS_Lane,0))="","",INDEX(RS_Transit,MATCH(B185,RS_Lane,0))))))</f>
        <v/>
      </c>
      <c r="P185" s="140" t="n"/>
      <c r="Q185" s="84">
        <f>IF(P185&lt;&gt;"",P185,IF(O185="","",WORKDAY.INTL(L185,ROUNDUP(O185,0),INDEX(LR_Code,MATCH(B185,LR_Lane,0)),INDEX(DH_Table,0,MATCH(B185&amp;"*",DH_Head,0)))))</f>
        <v/>
      </c>
      <c r="R185" s="100">
        <f>IF(Q185="","",IF(Q185&lt;=N185,"Yes","No"))</f>
        <v/>
      </c>
      <c r="S185" s="52">
        <f>IF(Q185="","",IF(Q185&lt;=N185,0,NETWORKDAYS.INTL(N185,Q185,INDEX(LR_Code,MATCH(B185,LR_Lane,0)),INDEX(DH_Table,0,MATCH(B185&amp;"*",DH_Head,0)))-1))</f>
        <v/>
      </c>
      <c r="T185" s="127" t="n"/>
      <c r="U185" s="112">
        <f>IF(V185&lt;&gt;"",V185,IF(IFERROR(INDEX(RS_Flag,MATCH(B185,RS_Lane,0)),"")="Yes",IF(IFERROR(INDEX(RS_Loc,MATCH(B185,RS_Lane,0)),"")="","Regional stock",IFERROR(INDEX(RS_Loc,MATCH(B185,RS_Lane,0)),"")),"Helmond"))</f>
        <v/>
      </c>
      <c r="V185" s="141" t="n"/>
      <c r="W185" s="142" t="n"/>
      <c r="X185" s="143" t="n"/>
      <c r="Y185" s="116">
        <f>IF(X185&lt;&gt;"",X185,IF(U185="Helmond",IF(COUNTIFS(RC_Lane,B185,RC_Band,E185,RC_CostPS,"&gt;0")=0,"",SUMIFS(RC_CostPS,RC_Lane,B185,RC_Band,E185)*(1-SUMIFS(RC_Disc,RC_Lane,B185,RC_Band,E185))),IF(U185="Other","",IF(INDEX(RS_Rate,MATCH(B185,RS_Lane,0))="","",INDEX(RS_Rate,MATCH(B185,RS_Lane,0))))))</f>
        <v/>
      </c>
    </row>
    <row r="186">
      <c r="A186" s="95" t="inlineStr">
        <is>
          <t>B-182</t>
        </is>
      </c>
      <c r="B186" s="112" t="inlineStr">
        <is>
          <t>L07</t>
        </is>
      </c>
      <c r="C186" s="101" t="inlineStr">
        <is>
          <t>Algeria</t>
        </is>
      </c>
      <c r="D186" s="101" t="inlineStr">
        <is>
          <t>Algiers</t>
        </is>
      </c>
      <c r="E186" s="101" t="inlineStr">
        <is>
          <t>B1  0 to 30 kg</t>
        </is>
      </c>
      <c r="F186" s="123" t="n">
        <v>6.2</v>
      </c>
      <c r="G186" s="86">
        <f>F186*0.006477</f>
        <v/>
      </c>
      <c r="H186" s="123">
        <f>F186*1.079436</f>
        <v/>
      </c>
      <c r="I186" s="122">
        <f>MAX(1,ROUNDUP(G186/0.096,0))</f>
        <v/>
      </c>
      <c r="J186" s="84" t="n">
        <v>46610</v>
      </c>
      <c r="K186" s="87">
        <f>J186-WEEKDAY(J186,2)+1</f>
        <v/>
      </c>
      <c r="L186" s="84">
        <f>J186</f>
        <v/>
      </c>
      <c r="M186" s="52">
        <f>INDEX(LR_Target,MATCH(B186,LR_Lane,0))</f>
        <v/>
      </c>
      <c r="N186" s="84">
        <f>WORKDAY.INTL(L186,M186,INDEX(LR_Code,MATCH(B186,LR_Lane,0)),INDEX(DH_Table,0,MATCH(B186&amp;"*",DH_Head,0)))</f>
        <v/>
      </c>
      <c r="O186" s="65">
        <f>IF(W186&lt;&gt;"",W186,IF(U186="Helmond",IF(COUNTIFS(RC_Lane,B186,RC_Band,E186,RC_Transit,"&lt;&gt;")=0,"",SUMIFS(RC_Transit,RC_Lane,B186,RC_Band,E186)),IF(U186="Other","",IF(INDEX(RS_Transit,MATCH(B186,RS_Lane,0))="","",INDEX(RS_Transit,MATCH(B186,RS_Lane,0))))))</f>
        <v/>
      </c>
      <c r="P186" s="140" t="n"/>
      <c r="Q186" s="84">
        <f>IF(P186&lt;&gt;"",P186,IF(O186="","",WORKDAY.INTL(L186,ROUNDUP(O186,0),INDEX(LR_Code,MATCH(B186,LR_Lane,0)),INDEX(DH_Table,0,MATCH(B186&amp;"*",DH_Head,0)))))</f>
        <v/>
      </c>
      <c r="R186" s="100">
        <f>IF(Q186="","",IF(Q186&lt;=N186,"Yes","No"))</f>
        <v/>
      </c>
      <c r="S186" s="52">
        <f>IF(Q186="","",IF(Q186&lt;=N186,0,NETWORKDAYS.INTL(N186,Q186,INDEX(LR_Code,MATCH(B186,LR_Lane,0)),INDEX(DH_Table,0,MATCH(B186&amp;"*",DH_Head,0)))-1))</f>
        <v/>
      </c>
      <c r="T186" s="127" t="n"/>
      <c r="U186" s="112">
        <f>IF(V186&lt;&gt;"",V186,IF(IFERROR(INDEX(RS_Flag,MATCH(B186,RS_Lane,0)),"")="Yes",IF(IFERROR(INDEX(RS_Loc,MATCH(B186,RS_Lane,0)),"")="","Regional stock",IFERROR(INDEX(RS_Loc,MATCH(B186,RS_Lane,0)),"")),"Helmond"))</f>
        <v/>
      </c>
      <c r="V186" s="141" t="n"/>
      <c r="W186" s="142" t="n"/>
      <c r="X186" s="143" t="n"/>
      <c r="Y186" s="116">
        <f>IF(X186&lt;&gt;"",X186,IF(U186="Helmond",IF(COUNTIFS(RC_Lane,B186,RC_Band,E186,RC_CostPS,"&gt;0")=0,"",SUMIFS(RC_CostPS,RC_Lane,B186,RC_Band,E186)*(1-SUMIFS(RC_Disc,RC_Lane,B186,RC_Band,E186))),IF(U186="Other","",IF(INDEX(RS_Rate,MATCH(B186,RS_Lane,0))="","",INDEX(RS_Rate,MATCH(B186,RS_Lane,0))))))</f>
        <v/>
      </c>
    </row>
    <row r="187">
      <c r="A187" s="95" t="inlineStr">
        <is>
          <t>B-183</t>
        </is>
      </c>
      <c r="B187" s="112" t="inlineStr">
        <is>
          <t>L02</t>
        </is>
      </c>
      <c r="C187" s="101" t="inlineStr">
        <is>
          <t>United Arab Emirates</t>
        </is>
      </c>
      <c r="D187" s="101" t="inlineStr">
        <is>
          <t>Dubai</t>
        </is>
      </c>
      <c r="E187" s="101" t="inlineStr">
        <is>
          <t>B1  0 to 30 kg</t>
        </is>
      </c>
      <c r="F187" s="123" t="n">
        <v>8.9</v>
      </c>
      <c r="G187" s="86">
        <f>F187*0.006477</f>
        <v/>
      </c>
      <c r="H187" s="123">
        <f>F187*1.079436</f>
        <v/>
      </c>
      <c r="I187" s="122">
        <f>MAX(1,ROUNDUP(G187/0.096,0))</f>
        <v/>
      </c>
      <c r="J187" s="84" t="n">
        <v>46611</v>
      </c>
      <c r="K187" s="87">
        <f>J187-WEEKDAY(J187,2)+1</f>
        <v/>
      </c>
      <c r="L187" s="84">
        <f>J187</f>
        <v/>
      </c>
      <c r="M187" s="52">
        <f>INDEX(LR_Target,MATCH(B187,LR_Lane,0))</f>
        <v/>
      </c>
      <c r="N187" s="84">
        <f>WORKDAY.INTL(L187,M187,INDEX(LR_Code,MATCH(B187,LR_Lane,0)),INDEX(DH_Table,0,MATCH(B187&amp;"*",DH_Head,0)))</f>
        <v/>
      </c>
      <c r="O187" s="65">
        <f>IF(W187&lt;&gt;"",W187,IF(U187="Helmond",IF(COUNTIFS(RC_Lane,B187,RC_Band,E187,RC_Transit,"&lt;&gt;")=0,"",SUMIFS(RC_Transit,RC_Lane,B187,RC_Band,E187)),IF(U187="Other","",IF(INDEX(RS_Transit,MATCH(B187,RS_Lane,0))="","",INDEX(RS_Transit,MATCH(B187,RS_Lane,0))))))</f>
        <v/>
      </c>
      <c r="P187" s="140" t="n"/>
      <c r="Q187" s="84">
        <f>IF(P187&lt;&gt;"",P187,IF(O187="","",WORKDAY.INTL(L187,ROUNDUP(O187,0),INDEX(LR_Code,MATCH(B187,LR_Lane,0)),INDEX(DH_Table,0,MATCH(B187&amp;"*",DH_Head,0)))))</f>
        <v/>
      </c>
      <c r="R187" s="100">
        <f>IF(Q187="","",IF(Q187&lt;=N187,"Yes","No"))</f>
        <v/>
      </c>
      <c r="S187" s="52">
        <f>IF(Q187="","",IF(Q187&lt;=N187,0,NETWORKDAYS.INTL(N187,Q187,INDEX(LR_Code,MATCH(B187,LR_Lane,0)),INDEX(DH_Table,0,MATCH(B187&amp;"*",DH_Head,0)))-1))</f>
        <v/>
      </c>
      <c r="T187" s="127" t="n"/>
      <c r="U187" s="112">
        <f>IF(V187&lt;&gt;"",V187,IF(IFERROR(INDEX(RS_Flag,MATCH(B187,RS_Lane,0)),"")="Yes",IF(IFERROR(INDEX(RS_Loc,MATCH(B187,RS_Lane,0)),"")="","Regional stock",IFERROR(INDEX(RS_Loc,MATCH(B187,RS_Lane,0)),"")),"Helmond"))</f>
        <v/>
      </c>
      <c r="V187" s="141" t="n"/>
      <c r="W187" s="142" t="n"/>
      <c r="X187" s="143" t="n"/>
      <c r="Y187" s="116">
        <f>IF(X187&lt;&gt;"",X187,IF(U187="Helmond",IF(COUNTIFS(RC_Lane,B187,RC_Band,E187,RC_CostPS,"&gt;0")=0,"",SUMIFS(RC_CostPS,RC_Lane,B187,RC_Band,E187)*(1-SUMIFS(RC_Disc,RC_Lane,B187,RC_Band,E187))),IF(U187="Other","",IF(INDEX(RS_Rate,MATCH(B187,RS_Lane,0))="","",INDEX(RS_Rate,MATCH(B187,RS_Lane,0))))))</f>
        <v/>
      </c>
    </row>
    <row r="188">
      <c r="A188" s="95" t="inlineStr">
        <is>
          <t>B-184</t>
        </is>
      </c>
      <c r="B188" s="112" t="inlineStr">
        <is>
          <t>L05</t>
        </is>
      </c>
      <c r="C188" s="101" t="inlineStr">
        <is>
          <t>Türkiye</t>
        </is>
      </c>
      <c r="D188" s="101" t="inlineStr">
        <is>
          <t>Istanbul</t>
        </is>
      </c>
      <c r="E188" s="101" t="inlineStr">
        <is>
          <t>B3  100 to 500 kg</t>
        </is>
      </c>
      <c r="F188" s="123" t="n">
        <v>366.2</v>
      </c>
      <c r="G188" s="86">
        <f>F188*0.006477</f>
        <v/>
      </c>
      <c r="H188" s="123">
        <f>F188*1.079436</f>
        <v/>
      </c>
      <c r="I188" s="122">
        <f>MAX(1,ROUNDUP(G188/0.096,0))</f>
        <v/>
      </c>
      <c r="J188" s="84" t="n">
        <v>46615</v>
      </c>
      <c r="K188" s="87">
        <f>J188-WEEKDAY(J188,2)+1</f>
        <v/>
      </c>
      <c r="L188" s="84">
        <f>J188</f>
        <v/>
      </c>
      <c r="M188" s="52">
        <f>INDEX(LR_Target,MATCH(B188,LR_Lane,0))</f>
        <v/>
      </c>
      <c r="N188" s="84">
        <f>WORKDAY.INTL(L188,M188,INDEX(LR_Code,MATCH(B188,LR_Lane,0)),INDEX(DH_Table,0,MATCH(B188&amp;"*",DH_Head,0)))</f>
        <v/>
      </c>
      <c r="O188" s="65">
        <f>IF(W188&lt;&gt;"",W188,IF(U188="Helmond",IF(COUNTIFS(RC_Lane,B188,RC_Band,E188,RC_Transit,"&lt;&gt;")=0,"",SUMIFS(RC_Transit,RC_Lane,B188,RC_Band,E188)),IF(U188="Other","",IF(INDEX(RS_Transit,MATCH(B188,RS_Lane,0))="","",INDEX(RS_Transit,MATCH(B188,RS_Lane,0))))))</f>
        <v/>
      </c>
      <c r="P188" s="140" t="n"/>
      <c r="Q188" s="84">
        <f>IF(P188&lt;&gt;"",P188,IF(O188="","",WORKDAY.INTL(L188,ROUNDUP(O188,0),INDEX(LR_Code,MATCH(B188,LR_Lane,0)),INDEX(DH_Table,0,MATCH(B188&amp;"*",DH_Head,0)))))</f>
        <v/>
      </c>
      <c r="R188" s="100">
        <f>IF(Q188="","",IF(Q188&lt;=N188,"Yes","No"))</f>
        <v/>
      </c>
      <c r="S188" s="52">
        <f>IF(Q188="","",IF(Q188&lt;=N188,0,NETWORKDAYS.INTL(N188,Q188,INDEX(LR_Code,MATCH(B188,LR_Lane,0)),INDEX(DH_Table,0,MATCH(B188&amp;"*",DH_Head,0)))-1))</f>
        <v/>
      </c>
      <c r="T188" s="127" t="n"/>
      <c r="U188" s="112">
        <f>IF(V188&lt;&gt;"",V188,IF(IFERROR(INDEX(RS_Flag,MATCH(B188,RS_Lane,0)),"")="Yes",IF(IFERROR(INDEX(RS_Loc,MATCH(B188,RS_Lane,0)),"")="","Regional stock",IFERROR(INDEX(RS_Loc,MATCH(B188,RS_Lane,0)),"")),"Helmond"))</f>
        <v/>
      </c>
      <c r="V188" s="141" t="n"/>
      <c r="W188" s="142" t="n"/>
      <c r="X188" s="143" t="n"/>
      <c r="Y188" s="116">
        <f>IF(X188&lt;&gt;"",X188,IF(U188="Helmond",IF(COUNTIFS(RC_Lane,B188,RC_Band,E188,RC_CostPS,"&gt;0")=0,"",SUMIFS(RC_CostPS,RC_Lane,B188,RC_Band,E188)*(1-SUMIFS(RC_Disc,RC_Lane,B188,RC_Band,E188))),IF(U188="Other","",IF(INDEX(RS_Rate,MATCH(B188,RS_Lane,0))="","",INDEX(RS_Rate,MATCH(B188,RS_Lane,0))))))</f>
        <v/>
      </c>
    </row>
    <row r="189">
      <c r="A189" s="95" t="inlineStr">
        <is>
          <t>B-185</t>
        </is>
      </c>
      <c r="B189" s="112" t="inlineStr">
        <is>
          <t>L02</t>
        </is>
      </c>
      <c r="C189" s="101" t="inlineStr">
        <is>
          <t>United Arab Emirates</t>
        </is>
      </c>
      <c r="D189" s="101" t="inlineStr">
        <is>
          <t>Dubai</t>
        </is>
      </c>
      <c r="E189" s="101" t="inlineStr">
        <is>
          <t>B3  100 to 500 kg</t>
        </is>
      </c>
      <c r="F189" s="123" t="n">
        <v>205.1</v>
      </c>
      <c r="G189" s="86">
        <f>F189*0.006477</f>
        <v/>
      </c>
      <c r="H189" s="123">
        <f>F189*1.079436</f>
        <v/>
      </c>
      <c r="I189" s="122">
        <f>MAX(1,ROUNDUP(G189/0.096,0))</f>
        <v/>
      </c>
      <c r="J189" s="84" t="n">
        <v>46616</v>
      </c>
      <c r="K189" s="87">
        <f>J189-WEEKDAY(J189,2)+1</f>
        <v/>
      </c>
      <c r="L189" s="84">
        <f>J189</f>
        <v/>
      </c>
      <c r="M189" s="52">
        <f>INDEX(LR_Target,MATCH(B189,LR_Lane,0))</f>
        <v/>
      </c>
      <c r="N189" s="84">
        <f>WORKDAY.INTL(L189,M189,INDEX(LR_Code,MATCH(B189,LR_Lane,0)),INDEX(DH_Table,0,MATCH(B189&amp;"*",DH_Head,0)))</f>
        <v/>
      </c>
      <c r="O189" s="65">
        <f>IF(W189&lt;&gt;"",W189,IF(U189="Helmond",IF(COUNTIFS(RC_Lane,B189,RC_Band,E189,RC_Transit,"&lt;&gt;")=0,"",SUMIFS(RC_Transit,RC_Lane,B189,RC_Band,E189)),IF(U189="Other","",IF(INDEX(RS_Transit,MATCH(B189,RS_Lane,0))="","",INDEX(RS_Transit,MATCH(B189,RS_Lane,0))))))</f>
        <v/>
      </c>
      <c r="P189" s="140" t="n"/>
      <c r="Q189" s="84">
        <f>IF(P189&lt;&gt;"",P189,IF(O189="","",WORKDAY.INTL(L189,ROUNDUP(O189,0),INDEX(LR_Code,MATCH(B189,LR_Lane,0)),INDEX(DH_Table,0,MATCH(B189&amp;"*",DH_Head,0)))))</f>
        <v/>
      </c>
      <c r="R189" s="100">
        <f>IF(Q189="","",IF(Q189&lt;=N189,"Yes","No"))</f>
        <v/>
      </c>
      <c r="S189" s="52">
        <f>IF(Q189="","",IF(Q189&lt;=N189,0,NETWORKDAYS.INTL(N189,Q189,INDEX(LR_Code,MATCH(B189,LR_Lane,0)),INDEX(DH_Table,0,MATCH(B189&amp;"*",DH_Head,0)))-1))</f>
        <v/>
      </c>
      <c r="T189" s="127" t="n"/>
      <c r="U189" s="112">
        <f>IF(V189&lt;&gt;"",V189,IF(IFERROR(INDEX(RS_Flag,MATCH(B189,RS_Lane,0)),"")="Yes",IF(IFERROR(INDEX(RS_Loc,MATCH(B189,RS_Lane,0)),"")="","Regional stock",IFERROR(INDEX(RS_Loc,MATCH(B189,RS_Lane,0)),"")),"Helmond"))</f>
        <v/>
      </c>
      <c r="V189" s="141" t="n"/>
      <c r="W189" s="142" t="n"/>
      <c r="X189" s="143" t="n"/>
      <c r="Y189" s="116">
        <f>IF(X189&lt;&gt;"",X189,IF(U189="Helmond",IF(COUNTIFS(RC_Lane,B189,RC_Band,E189,RC_CostPS,"&gt;0")=0,"",SUMIFS(RC_CostPS,RC_Lane,B189,RC_Band,E189)*(1-SUMIFS(RC_Disc,RC_Lane,B189,RC_Band,E189))),IF(U189="Other","",IF(INDEX(RS_Rate,MATCH(B189,RS_Lane,0))="","",INDEX(RS_Rate,MATCH(B189,RS_Lane,0))))))</f>
        <v/>
      </c>
    </row>
    <row r="190">
      <c r="A190" s="95" t="inlineStr">
        <is>
          <t>B-186</t>
        </is>
      </c>
      <c r="B190" s="112" t="inlineStr">
        <is>
          <t>L08</t>
        </is>
      </c>
      <c r="C190" s="101" t="inlineStr">
        <is>
          <t>Egypt</t>
        </is>
      </c>
      <c r="D190" s="101" t="inlineStr">
        <is>
          <t>Cairo area</t>
        </is>
      </c>
      <c r="E190" s="101" t="inlineStr">
        <is>
          <t>B3  100 to 500 kg</t>
        </is>
      </c>
      <c r="F190" s="123" t="n">
        <v>144.1</v>
      </c>
      <c r="G190" s="86">
        <f>F190*0.006477</f>
        <v/>
      </c>
      <c r="H190" s="123">
        <f>F190*1.079436</f>
        <v/>
      </c>
      <c r="I190" s="122">
        <f>MAX(1,ROUNDUP(G190/0.096,0))</f>
        <v/>
      </c>
      <c r="J190" s="84" t="n">
        <v>46616</v>
      </c>
      <c r="K190" s="87">
        <f>J190-WEEKDAY(J190,2)+1</f>
        <v/>
      </c>
      <c r="L190" s="84">
        <f>J190</f>
        <v/>
      </c>
      <c r="M190" s="52">
        <f>INDEX(LR_Target,MATCH(B190,LR_Lane,0))</f>
        <v/>
      </c>
      <c r="N190" s="84">
        <f>WORKDAY.INTL(L190,M190,INDEX(LR_Code,MATCH(B190,LR_Lane,0)),INDEX(DH_Table,0,MATCH(B190&amp;"*",DH_Head,0)))</f>
        <v/>
      </c>
      <c r="O190" s="65">
        <f>IF(W190&lt;&gt;"",W190,IF(U190="Helmond",IF(COUNTIFS(RC_Lane,B190,RC_Band,E190,RC_Transit,"&lt;&gt;")=0,"",SUMIFS(RC_Transit,RC_Lane,B190,RC_Band,E190)),IF(U190="Other","",IF(INDEX(RS_Transit,MATCH(B190,RS_Lane,0))="","",INDEX(RS_Transit,MATCH(B190,RS_Lane,0))))))</f>
        <v/>
      </c>
      <c r="P190" s="140" t="n"/>
      <c r="Q190" s="84">
        <f>IF(P190&lt;&gt;"",P190,IF(O190="","",WORKDAY.INTL(L190,ROUNDUP(O190,0),INDEX(LR_Code,MATCH(B190,LR_Lane,0)),INDEX(DH_Table,0,MATCH(B190&amp;"*",DH_Head,0)))))</f>
        <v/>
      </c>
      <c r="R190" s="100">
        <f>IF(Q190="","",IF(Q190&lt;=N190,"Yes","No"))</f>
        <v/>
      </c>
      <c r="S190" s="52">
        <f>IF(Q190="","",IF(Q190&lt;=N190,0,NETWORKDAYS.INTL(N190,Q190,INDEX(LR_Code,MATCH(B190,LR_Lane,0)),INDEX(DH_Table,0,MATCH(B190&amp;"*",DH_Head,0)))-1))</f>
        <v/>
      </c>
      <c r="T190" s="127" t="n"/>
      <c r="U190" s="112">
        <f>IF(V190&lt;&gt;"",V190,IF(IFERROR(INDEX(RS_Flag,MATCH(B190,RS_Lane,0)),"")="Yes",IF(IFERROR(INDEX(RS_Loc,MATCH(B190,RS_Lane,0)),"")="","Regional stock",IFERROR(INDEX(RS_Loc,MATCH(B190,RS_Lane,0)),"")),"Helmond"))</f>
        <v/>
      </c>
      <c r="V190" s="141" t="n"/>
      <c r="W190" s="142" t="n"/>
      <c r="X190" s="143" t="n"/>
      <c r="Y190" s="116">
        <f>IF(X190&lt;&gt;"",X190,IF(U190="Helmond",IF(COUNTIFS(RC_Lane,B190,RC_Band,E190,RC_CostPS,"&gt;0")=0,"",SUMIFS(RC_CostPS,RC_Lane,B190,RC_Band,E190)*(1-SUMIFS(RC_Disc,RC_Lane,B190,RC_Band,E190))),IF(U190="Other","",IF(INDEX(RS_Rate,MATCH(B190,RS_Lane,0))="","",INDEX(RS_Rate,MATCH(B190,RS_Lane,0))))))</f>
        <v/>
      </c>
    </row>
    <row r="191">
      <c r="A191" s="95" t="inlineStr">
        <is>
          <t>B-187</t>
        </is>
      </c>
      <c r="B191" s="112" t="inlineStr">
        <is>
          <t>L02</t>
        </is>
      </c>
      <c r="C191" s="101" t="inlineStr">
        <is>
          <t>United Arab Emirates</t>
        </is>
      </c>
      <c r="D191" s="101" t="inlineStr">
        <is>
          <t>Dubai</t>
        </is>
      </c>
      <c r="E191" s="101" t="inlineStr">
        <is>
          <t>B1  0 to 30 kg</t>
        </is>
      </c>
      <c r="F191" s="123" t="n">
        <v>7.4</v>
      </c>
      <c r="G191" s="86">
        <f>F191*0.006477</f>
        <v/>
      </c>
      <c r="H191" s="123">
        <f>F191*1.079436</f>
        <v/>
      </c>
      <c r="I191" s="122">
        <f>MAX(1,ROUNDUP(G191/0.096,0))</f>
        <v/>
      </c>
      <c r="J191" s="84" t="n">
        <v>46618</v>
      </c>
      <c r="K191" s="87">
        <f>J191-WEEKDAY(J191,2)+1</f>
        <v/>
      </c>
      <c r="L191" s="84">
        <f>J191</f>
        <v/>
      </c>
      <c r="M191" s="52">
        <f>INDEX(LR_Target,MATCH(B191,LR_Lane,0))</f>
        <v/>
      </c>
      <c r="N191" s="84">
        <f>WORKDAY.INTL(L191,M191,INDEX(LR_Code,MATCH(B191,LR_Lane,0)),INDEX(DH_Table,0,MATCH(B191&amp;"*",DH_Head,0)))</f>
        <v/>
      </c>
      <c r="O191" s="65">
        <f>IF(W191&lt;&gt;"",W191,IF(U191="Helmond",IF(COUNTIFS(RC_Lane,B191,RC_Band,E191,RC_Transit,"&lt;&gt;")=0,"",SUMIFS(RC_Transit,RC_Lane,B191,RC_Band,E191)),IF(U191="Other","",IF(INDEX(RS_Transit,MATCH(B191,RS_Lane,0))="","",INDEX(RS_Transit,MATCH(B191,RS_Lane,0))))))</f>
        <v/>
      </c>
      <c r="P191" s="140" t="n"/>
      <c r="Q191" s="84">
        <f>IF(P191&lt;&gt;"",P191,IF(O191="","",WORKDAY.INTL(L191,ROUNDUP(O191,0),INDEX(LR_Code,MATCH(B191,LR_Lane,0)),INDEX(DH_Table,0,MATCH(B191&amp;"*",DH_Head,0)))))</f>
        <v/>
      </c>
      <c r="R191" s="100">
        <f>IF(Q191="","",IF(Q191&lt;=N191,"Yes","No"))</f>
        <v/>
      </c>
      <c r="S191" s="52">
        <f>IF(Q191="","",IF(Q191&lt;=N191,0,NETWORKDAYS.INTL(N191,Q191,INDEX(LR_Code,MATCH(B191,LR_Lane,0)),INDEX(DH_Table,0,MATCH(B191&amp;"*",DH_Head,0)))-1))</f>
        <v/>
      </c>
      <c r="T191" s="127" t="n"/>
      <c r="U191" s="112">
        <f>IF(V191&lt;&gt;"",V191,IF(IFERROR(INDEX(RS_Flag,MATCH(B191,RS_Lane,0)),"")="Yes",IF(IFERROR(INDEX(RS_Loc,MATCH(B191,RS_Lane,0)),"")="","Regional stock",IFERROR(INDEX(RS_Loc,MATCH(B191,RS_Lane,0)),"")),"Helmond"))</f>
        <v/>
      </c>
      <c r="V191" s="141" t="n"/>
      <c r="W191" s="142" t="n"/>
      <c r="X191" s="143" t="n"/>
      <c r="Y191" s="116">
        <f>IF(X191&lt;&gt;"",X191,IF(U191="Helmond",IF(COUNTIFS(RC_Lane,B191,RC_Band,E191,RC_CostPS,"&gt;0")=0,"",SUMIFS(RC_CostPS,RC_Lane,B191,RC_Band,E191)*(1-SUMIFS(RC_Disc,RC_Lane,B191,RC_Band,E191))),IF(U191="Other","",IF(INDEX(RS_Rate,MATCH(B191,RS_Lane,0))="","",INDEX(RS_Rate,MATCH(B191,RS_Lane,0))))))</f>
        <v/>
      </c>
    </row>
    <row r="192">
      <c r="A192" s="95" t="inlineStr">
        <is>
          <t>B-188</t>
        </is>
      </c>
      <c r="B192" s="112" t="inlineStr">
        <is>
          <t>L01</t>
        </is>
      </c>
      <c r="C192" s="101" t="inlineStr">
        <is>
          <t>Saudi Arabia</t>
        </is>
      </c>
      <c r="D192" s="101" t="inlineStr">
        <is>
          <t>Jeddah</t>
        </is>
      </c>
      <c r="E192" s="101" t="inlineStr">
        <is>
          <t>B1  0 to 30 kg</t>
        </is>
      </c>
      <c r="F192" s="123" t="n">
        <v>7.4</v>
      </c>
      <c r="G192" s="86">
        <f>F192*0.006477</f>
        <v/>
      </c>
      <c r="H192" s="123">
        <f>F192*1.079436</f>
        <v/>
      </c>
      <c r="I192" s="122">
        <f>MAX(1,ROUNDUP(G192/0.096,0))</f>
        <v/>
      </c>
      <c r="J192" s="84" t="n">
        <v>46622</v>
      </c>
      <c r="K192" s="87">
        <f>J192-WEEKDAY(J192,2)+1</f>
        <v/>
      </c>
      <c r="L192" s="84">
        <f>J192</f>
        <v/>
      </c>
      <c r="M192" s="52">
        <f>INDEX(LR_Target,MATCH(B192,LR_Lane,0))</f>
        <v/>
      </c>
      <c r="N192" s="84">
        <f>WORKDAY.INTL(L192,M192,INDEX(LR_Code,MATCH(B192,LR_Lane,0)),INDEX(DH_Table,0,MATCH(B192&amp;"*",DH_Head,0)))</f>
        <v/>
      </c>
      <c r="O192" s="65">
        <f>IF(W192&lt;&gt;"",W192,IF(U192="Helmond",IF(COUNTIFS(RC_Lane,B192,RC_Band,E192,RC_Transit,"&lt;&gt;")=0,"",SUMIFS(RC_Transit,RC_Lane,B192,RC_Band,E192)),IF(U192="Other","",IF(INDEX(RS_Transit,MATCH(B192,RS_Lane,0))="","",INDEX(RS_Transit,MATCH(B192,RS_Lane,0))))))</f>
        <v/>
      </c>
      <c r="P192" s="140" t="n"/>
      <c r="Q192" s="84">
        <f>IF(P192&lt;&gt;"",P192,IF(O192="","",WORKDAY.INTL(L192,ROUNDUP(O192,0),INDEX(LR_Code,MATCH(B192,LR_Lane,0)),INDEX(DH_Table,0,MATCH(B192&amp;"*",DH_Head,0)))))</f>
        <v/>
      </c>
      <c r="R192" s="100">
        <f>IF(Q192="","",IF(Q192&lt;=N192,"Yes","No"))</f>
        <v/>
      </c>
      <c r="S192" s="52">
        <f>IF(Q192="","",IF(Q192&lt;=N192,0,NETWORKDAYS.INTL(N192,Q192,INDEX(LR_Code,MATCH(B192,LR_Lane,0)),INDEX(DH_Table,0,MATCH(B192&amp;"*",DH_Head,0)))-1))</f>
        <v/>
      </c>
      <c r="T192" s="127" t="n"/>
      <c r="U192" s="112">
        <f>IF(V192&lt;&gt;"",V192,IF(IFERROR(INDEX(RS_Flag,MATCH(B192,RS_Lane,0)),"")="Yes",IF(IFERROR(INDEX(RS_Loc,MATCH(B192,RS_Lane,0)),"")="","Regional stock",IFERROR(INDEX(RS_Loc,MATCH(B192,RS_Lane,0)),"")),"Helmond"))</f>
        <v/>
      </c>
      <c r="V192" s="141" t="n"/>
      <c r="W192" s="142" t="n"/>
      <c r="X192" s="143" t="n"/>
      <c r="Y192" s="116">
        <f>IF(X192&lt;&gt;"",X192,IF(U192="Helmond",IF(COUNTIFS(RC_Lane,B192,RC_Band,E192,RC_CostPS,"&gt;0")=0,"",SUMIFS(RC_CostPS,RC_Lane,B192,RC_Band,E192)*(1-SUMIFS(RC_Disc,RC_Lane,B192,RC_Band,E192))),IF(U192="Other","",IF(INDEX(RS_Rate,MATCH(B192,RS_Lane,0))="","",INDEX(RS_Rate,MATCH(B192,RS_Lane,0))))))</f>
        <v/>
      </c>
    </row>
    <row r="193">
      <c r="A193" s="95" t="inlineStr">
        <is>
          <t>B-189</t>
        </is>
      </c>
      <c r="B193" s="112" t="inlineStr">
        <is>
          <t>L01</t>
        </is>
      </c>
      <c r="C193" s="101" t="inlineStr">
        <is>
          <t>Saudi Arabia</t>
        </is>
      </c>
      <c r="D193" s="101" t="inlineStr">
        <is>
          <t>Riyadh</t>
        </is>
      </c>
      <c r="E193" s="101" t="inlineStr">
        <is>
          <t>B1  0 to 30 kg</t>
        </is>
      </c>
      <c r="F193" s="123" t="n">
        <v>7.1</v>
      </c>
      <c r="G193" s="86">
        <f>F193*0.006477</f>
        <v/>
      </c>
      <c r="H193" s="123">
        <f>F193*1.079436</f>
        <v/>
      </c>
      <c r="I193" s="122">
        <f>MAX(1,ROUNDUP(G193/0.096,0))</f>
        <v/>
      </c>
      <c r="J193" s="84" t="n">
        <v>46623</v>
      </c>
      <c r="K193" s="87">
        <f>J193-WEEKDAY(J193,2)+1</f>
        <v/>
      </c>
      <c r="L193" s="84">
        <f>J193</f>
        <v/>
      </c>
      <c r="M193" s="52">
        <f>INDEX(LR_Target,MATCH(B193,LR_Lane,0))</f>
        <v/>
      </c>
      <c r="N193" s="84">
        <f>WORKDAY.INTL(L193,M193,INDEX(LR_Code,MATCH(B193,LR_Lane,0)),INDEX(DH_Table,0,MATCH(B193&amp;"*",DH_Head,0)))</f>
        <v/>
      </c>
      <c r="O193" s="65">
        <f>IF(W193&lt;&gt;"",W193,IF(U193="Helmond",IF(COUNTIFS(RC_Lane,B193,RC_Band,E193,RC_Transit,"&lt;&gt;")=0,"",SUMIFS(RC_Transit,RC_Lane,B193,RC_Band,E193)),IF(U193="Other","",IF(INDEX(RS_Transit,MATCH(B193,RS_Lane,0))="","",INDEX(RS_Transit,MATCH(B193,RS_Lane,0))))))</f>
        <v/>
      </c>
      <c r="P193" s="140" t="n"/>
      <c r="Q193" s="84">
        <f>IF(P193&lt;&gt;"",P193,IF(O193="","",WORKDAY.INTL(L193,ROUNDUP(O193,0),INDEX(LR_Code,MATCH(B193,LR_Lane,0)),INDEX(DH_Table,0,MATCH(B193&amp;"*",DH_Head,0)))))</f>
        <v/>
      </c>
      <c r="R193" s="100">
        <f>IF(Q193="","",IF(Q193&lt;=N193,"Yes","No"))</f>
        <v/>
      </c>
      <c r="S193" s="52">
        <f>IF(Q193="","",IF(Q193&lt;=N193,0,NETWORKDAYS.INTL(N193,Q193,INDEX(LR_Code,MATCH(B193,LR_Lane,0)),INDEX(DH_Table,0,MATCH(B193&amp;"*",DH_Head,0)))-1))</f>
        <v/>
      </c>
      <c r="T193" s="127" t="n"/>
      <c r="U193" s="112">
        <f>IF(V193&lt;&gt;"",V193,IF(IFERROR(INDEX(RS_Flag,MATCH(B193,RS_Lane,0)),"")="Yes",IF(IFERROR(INDEX(RS_Loc,MATCH(B193,RS_Lane,0)),"")="","Regional stock",IFERROR(INDEX(RS_Loc,MATCH(B193,RS_Lane,0)),"")),"Helmond"))</f>
        <v/>
      </c>
      <c r="V193" s="141" t="n"/>
      <c r="W193" s="142" t="n"/>
      <c r="X193" s="143" t="n"/>
      <c r="Y193" s="116">
        <f>IF(X193&lt;&gt;"",X193,IF(U193="Helmond",IF(COUNTIFS(RC_Lane,B193,RC_Band,E193,RC_CostPS,"&gt;0")=0,"",SUMIFS(RC_CostPS,RC_Lane,B193,RC_Band,E193)*(1-SUMIFS(RC_Disc,RC_Lane,B193,RC_Band,E193))),IF(U193="Other","",IF(INDEX(RS_Rate,MATCH(B193,RS_Lane,0))="","",INDEX(RS_Rate,MATCH(B193,RS_Lane,0))))))</f>
        <v/>
      </c>
    </row>
    <row r="194">
      <c r="A194" s="95" t="inlineStr">
        <is>
          <t>B-190</t>
        </is>
      </c>
      <c r="B194" s="112" t="inlineStr">
        <is>
          <t>L01</t>
        </is>
      </c>
      <c r="C194" s="101" t="inlineStr">
        <is>
          <t>Saudi Arabia</t>
        </is>
      </c>
      <c r="D194" s="101" t="inlineStr">
        <is>
          <t>Riyadh</t>
        </is>
      </c>
      <c r="E194" s="101" t="inlineStr">
        <is>
          <t>B1  0 to 30 kg</t>
        </is>
      </c>
      <c r="F194" s="123" t="n">
        <v>7.6</v>
      </c>
      <c r="G194" s="86">
        <f>F194*0.006477</f>
        <v/>
      </c>
      <c r="H194" s="123">
        <f>F194*1.079436</f>
        <v/>
      </c>
      <c r="I194" s="122">
        <f>MAX(1,ROUNDUP(G194/0.096,0))</f>
        <v/>
      </c>
      <c r="J194" s="84" t="n">
        <v>46623</v>
      </c>
      <c r="K194" s="87">
        <f>J194-WEEKDAY(J194,2)+1</f>
        <v/>
      </c>
      <c r="L194" s="84">
        <f>J194</f>
        <v/>
      </c>
      <c r="M194" s="52">
        <f>INDEX(LR_Target,MATCH(B194,LR_Lane,0))</f>
        <v/>
      </c>
      <c r="N194" s="84">
        <f>WORKDAY.INTL(L194,M194,INDEX(LR_Code,MATCH(B194,LR_Lane,0)),INDEX(DH_Table,0,MATCH(B194&amp;"*",DH_Head,0)))</f>
        <v/>
      </c>
      <c r="O194" s="65">
        <f>IF(W194&lt;&gt;"",W194,IF(U194="Helmond",IF(COUNTIFS(RC_Lane,B194,RC_Band,E194,RC_Transit,"&lt;&gt;")=0,"",SUMIFS(RC_Transit,RC_Lane,B194,RC_Band,E194)),IF(U194="Other","",IF(INDEX(RS_Transit,MATCH(B194,RS_Lane,0))="","",INDEX(RS_Transit,MATCH(B194,RS_Lane,0))))))</f>
        <v/>
      </c>
      <c r="P194" s="140" t="n"/>
      <c r="Q194" s="84">
        <f>IF(P194&lt;&gt;"",P194,IF(O194="","",WORKDAY.INTL(L194,ROUNDUP(O194,0),INDEX(LR_Code,MATCH(B194,LR_Lane,0)),INDEX(DH_Table,0,MATCH(B194&amp;"*",DH_Head,0)))))</f>
        <v/>
      </c>
      <c r="R194" s="100">
        <f>IF(Q194="","",IF(Q194&lt;=N194,"Yes","No"))</f>
        <v/>
      </c>
      <c r="S194" s="52">
        <f>IF(Q194="","",IF(Q194&lt;=N194,0,NETWORKDAYS.INTL(N194,Q194,INDEX(LR_Code,MATCH(B194,LR_Lane,0)),INDEX(DH_Table,0,MATCH(B194&amp;"*",DH_Head,0)))-1))</f>
        <v/>
      </c>
      <c r="T194" s="127" t="n"/>
      <c r="U194" s="112">
        <f>IF(V194&lt;&gt;"",V194,IF(IFERROR(INDEX(RS_Flag,MATCH(B194,RS_Lane,0)),"")="Yes",IF(IFERROR(INDEX(RS_Loc,MATCH(B194,RS_Lane,0)),"")="","Regional stock",IFERROR(INDEX(RS_Loc,MATCH(B194,RS_Lane,0)),"")),"Helmond"))</f>
        <v/>
      </c>
      <c r="V194" s="141" t="n"/>
      <c r="W194" s="142" t="n"/>
      <c r="X194" s="143" t="n"/>
      <c r="Y194" s="116">
        <f>IF(X194&lt;&gt;"",X194,IF(U194="Helmond",IF(COUNTIFS(RC_Lane,B194,RC_Band,E194,RC_CostPS,"&gt;0")=0,"",SUMIFS(RC_CostPS,RC_Lane,B194,RC_Band,E194)*(1-SUMIFS(RC_Disc,RC_Lane,B194,RC_Band,E194))),IF(U194="Other","",IF(INDEX(RS_Rate,MATCH(B194,RS_Lane,0))="","",INDEX(RS_Rate,MATCH(B194,RS_Lane,0))))))</f>
        <v/>
      </c>
    </row>
    <row r="195">
      <c r="A195" s="95" t="inlineStr">
        <is>
          <t>B-191</t>
        </is>
      </c>
      <c r="B195" s="112" t="inlineStr">
        <is>
          <t>L02</t>
        </is>
      </c>
      <c r="C195" s="101" t="inlineStr">
        <is>
          <t>United Arab Emirates</t>
        </is>
      </c>
      <c r="D195" s="101" t="inlineStr">
        <is>
          <t>Dubai</t>
        </is>
      </c>
      <c r="E195" s="101" t="inlineStr">
        <is>
          <t>B1  0 to 30 kg</t>
        </is>
      </c>
      <c r="F195" s="123" t="n">
        <v>3.2</v>
      </c>
      <c r="G195" s="86">
        <f>F195*0.006477</f>
        <v/>
      </c>
      <c r="H195" s="123">
        <f>F195*1.079436</f>
        <v/>
      </c>
      <c r="I195" s="122">
        <f>MAX(1,ROUNDUP(G195/0.096,0))</f>
        <v/>
      </c>
      <c r="J195" s="84" t="n">
        <v>46623</v>
      </c>
      <c r="K195" s="87">
        <f>J195-WEEKDAY(J195,2)+1</f>
        <v/>
      </c>
      <c r="L195" s="84">
        <f>J195</f>
        <v/>
      </c>
      <c r="M195" s="52">
        <f>INDEX(LR_Target,MATCH(B195,LR_Lane,0))</f>
        <v/>
      </c>
      <c r="N195" s="84">
        <f>WORKDAY.INTL(L195,M195,INDEX(LR_Code,MATCH(B195,LR_Lane,0)),INDEX(DH_Table,0,MATCH(B195&amp;"*",DH_Head,0)))</f>
        <v/>
      </c>
      <c r="O195" s="65">
        <f>IF(W195&lt;&gt;"",W195,IF(U195="Helmond",IF(COUNTIFS(RC_Lane,B195,RC_Band,E195,RC_Transit,"&lt;&gt;")=0,"",SUMIFS(RC_Transit,RC_Lane,B195,RC_Band,E195)),IF(U195="Other","",IF(INDEX(RS_Transit,MATCH(B195,RS_Lane,0))="","",INDEX(RS_Transit,MATCH(B195,RS_Lane,0))))))</f>
        <v/>
      </c>
      <c r="P195" s="140" t="n"/>
      <c r="Q195" s="84">
        <f>IF(P195&lt;&gt;"",P195,IF(O195="","",WORKDAY.INTL(L195,ROUNDUP(O195,0),INDEX(LR_Code,MATCH(B195,LR_Lane,0)),INDEX(DH_Table,0,MATCH(B195&amp;"*",DH_Head,0)))))</f>
        <v/>
      </c>
      <c r="R195" s="100">
        <f>IF(Q195="","",IF(Q195&lt;=N195,"Yes","No"))</f>
        <v/>
      </c>
      <c r="S195" s="52">
        <f>IF(Q195="","",IF(Q195&lt;=N195,0,NETWORKDAYS.INTL(N195,Q195,INDEX(LR_Code,MATCH(B195,LR_Lane,0)),INDEX(DH_Table,0,MATCH(B195&amp;"*",DH_Head,0)))-1))</f>
        <v/>
      </c>
      <c r="T195" s="127" t="n"/>
      <c r="U195" s="112">
        <f>IF(V195&lt;&gt;"",V195,IF(IFERROR(INDEX(RS_Flag,MATCH(B195,RS_Lane,0)),"")="Yes",IF(IFERROR(INDEX(RS_Loc,MATCH(B195,RS_Lane,0)),"")="","Regional stock",IFERROR(INDEX(RS_Loc,MATCH(B195,RS_Lane,0)),"")),"Helmond"))</f>
        <v/>
      </c>
      <c r="V195" s="141" t="n"/>
      <c r="W195" s="142" t="n"/>
      <c r="X195" s="143" t="n"/>
      <c r="Y195" s="116">
        <f>IF(X195&lt;&gt;"",X195,IF(U195="Helmond",IF(COUNTIFS(RC_Lane,B195,RC_Band,E195,RC_CostPS,"&gt;0")=0,"",SUMIFS(RC_CostPS,RC_Lane,B195,RC_Band,E195)*(1-SUMIFS(RC_Disc,RC_Lane,B195,RC_Band,E195))),IF(U195="Other","",IF(INDEX(RS_Rate,MATCH(B195,RS_Lane,0))="","",INDEX(RS_Rate,MATCH(B195,RS_Lane,0))))))</f>
        <v/>
      </c>
    </row>
    <row r="196">
      <c r="A196" s="95" t="inlineStr">
        <is>
          <t>B-192</t>
        </is>
      </c>
      <c r="B196" s="112" t="inlineStr">
        <is>
          <t>L01</t>
        </is>
      </c>
      <c r="C196" s="101" t="inlineStr">
        <is>
          <t>Saudi Arabia</t>
        </is>
      </c>
      <c r="D196" s="101" t="inlineStr">
        <is>
          <t>Jeddah</t>
        </is>
      </c>
      <c r="E196" s="101" t="inlineStr">
        <is>
          <t>B5  over 2,000 kg</t>
        </is>
      </c>
      <c r="F196" s="123" t="n">
        <v>2246.7</v>
      </c>
      <c r="G196" s="86">
        <f>F196*0.006477</f>
        <v/>
      </c>
      <c r="H196" s="123">
        <f>F196*1.079436</f>
        <v/>
      </c>
      <c r="I196" s="122">
        <f>MAX(1,ROUNDUP(G196/0.096,0))</f>
        <v/>
      </c>
      <c r="J196" s="84" t="n">
        <v>46624</v>
      </c>
      <c r="K196" s="87">
        <f>J196-WEEKDAY(J196,2)+1</f>
        <v/>
      </c>
      <c r="L196" s="84">
        <f>J196</f>
        <v/>
      </c>
      <c r="M196" s="52">
        <f>INDEX(LR_Target,MATCH(B196,LR_Lane,0))</f>
        <v/>
      </c>
      <c r="N196" s="84">
        <f>WORKDAY.INTL(L196,M196,INDEX(LR_Code,MATCH(B196,LR_Lane,0)),INDEX(DH_Table,0,MATCH(B196&amp;"*",DH_Head,0)))</f>
        <v/>
      </c>
      <c r="O196" s="65">
        <f>IF(W196&lt;&gt;"",W196,IF(U196="Helmond",IF(COUNTIFS(RC_Lane,B196,RC_Band,E196,RC_Transit,"&lt;&gt;")=0,"",SUMIFS(RC_Transit,RC_Lane,B196,RC_Band,E196)),IF(U196="Other","",IF(INDEX(RS_Transit,MATCH(B196,RS_Lane,0))="","",INDEX(RS_Transit,MATCH(B196,RS_Lane,0))))))</f>
        <v/>
      </c>
      <c r="P196" s="140" t="n"/>
      <c r="Q196" s="84">
        <f>IF(P196&lt;&gt;"",P196,IF(O196="","",WORKDAY.INTL(L196,ROUNDUP(O196,0),INDEX(LR_Code,MATCH(B196,LR_Lane,0)),INDEX(DH_Table,0,MATCH(B196&amp;"*",DH_Head,0)))))</f>
        <v/>
      </c>
      <c r="R196" s="100">
        <f>IF(Q196="","",IF(Q196&lt;=N196,"Yes","No"))</f>
        <v/>
      </c>
      <c r="S196" s="52">
        <f>IF(Q196="","",IF(Q196&lt;=N196,0,NETWORKDAYS.INTL(N196,Q196,INDEX(LR_Code,MATCH(B196,LR_Lane,0)),INDEX(DH_Table,0,MATCH(B196&amp;"*",DH_Head,0)))-1))</f>
        <v/>
      </c>
      <c r="T196" s="127" t="n"/>
      <c r="U196" s="112">
        <f>IF(V196&lt;&gt;"",V196,IF(IFERROR(INDEX(RS_Flag,MATCH(B196,RS_Lane,0)),"")="Yes",IF(IFERROR(INDEX(RS_Loc,MATCH(B196,RS_Lane,0)),"")="","Regional stock",IFERROR(INDEX(RS_Loc,MATCH(B196,RS_Lane,0)),"")),"Helmond"))</f>
        <v/>
      </c>
      <c r="V196" s="141" t="n"/>
      <c r="W196" s="142" t="n"/>
      <c r="X196" s="143" t="n"/>
      <c r="Y196" s="116">
        <f>IF(X196&lt;&gt;"",X196,IF(U196="Helmond",IF(COUNTIFS(RC_Lane,B196,RC_Band,E196,RC_CostPS,"&gt;0")=0,"",SUMIFS(RC_CostPS,RC_Lane,B196,RC_Band,E196)*(1-SUMIFS(RC_Disc,RC_Lane,B196,RC_Band,E196))),IF(U196="Other","",IF(INDEX(RS_Rate,MATCH(B196,RS_Lane,0))="","",INDEX(RS_Rate,MATCH(B196,RS_Lane,0))))))</f>
        <v/>
      </c>
    </row>
    <row r="197">
      <c r="A197" s="95" t="inlineStr">
        <is>
          <t>B-193</t>
        </is>
      </c>
      <c r="B197" s="112" t="inlineStr">
        <is>
          <t>L09</t>
        </is>
      </c>
      <c r="C197" s="101" t="inlineStr">
        <is>
          <t>Tunisia</t>
        </is>
      </c>
      <c r="D197" s="101" t="inlineStr">
        <is>
          <t>Sousse</t>
        </is>
      </c>
      <c r="E197" s="101" t="inlineStr">
        <is>
          <t>B1  0 to 30 kg</t>
        </is>
      </c>
      <c r="F197" s="123" t="n">
        <v>9.699999999999999</v>
      </c>
      <c r="G197" s="86">
        <f>F197*0.006477</f>
        <v/>
      </c>
      <c r="H197" s="123">
        <f>F197*1.079436</f>
        <v/>
      </c>
      <c r="I197" s="122">
        <f>MAX(1,ROUNDUP(G197/0.096,0))</f>
        <v/>
      </c>
      <c r="J197" s="84" t="n">
        <v>46624</v>
      </c>
      <c r="K197" s="87">
        <f>J197-WEEKDAY(J197,2)+1</f>
        <v/>
      </c>
      <c r="L197" s="84">
        <f>J197</f>
        <v/>
      </c>
      <c r="M197" s="52">
        <f>INDEX(LR_Target,MATCH(B197,LR_Lane,0))</f>
        <v/>
      </c>
      <c r="N197" s="84">
        <f>WORKDAY.INTL(L197,M197,INDEX(LR_Code,MATCH(B197,LR_Lane,0)),INDEX(DH_Table,0,MATCH(B197&amp;"*",DH_Head,0)))</f>
        <v/>
      </c>
      <c r="O197" s="65">
        <f>IF(W197&lt;&gt;"",W197,IF(U197="Helmond",IF(COUNTIFS(RC_Lane,B197,RC_Band,E197,RC_Transit,"&lt;&gt;")=0,"",SUMIFS(RC_Transit,RC_Lane,B197,RC_Band,E197)),IF(U197="Other","",IF(INDEX(RS_Transit,MATCH(B197,RS_Lane,0))="","",INDEX(RS_Transit,MATCH(B197,RS_Lane,0))))))</f>
        <v/>
      </c>
      <c r="P197" s="140" t="n"/>
      <c r="Q197" s="84">
        <f>IF(P197&lt;&gt;"",P197,IF(O197="","",WORKDAY.INTL(L197,ROUNDUP(O197,0),INDEX(LR_Code,MATCH(B197,LR_Lane,0)),INDEX(DH_Table,0,MATCH(B197&amp;"*",DH_Head,0)))))</f>
        <v/>
      </c>
      <c r="R197" s="100">
        <f>IF(Q197="","",IF(Q197&lt;=N197,"Yes","No"))</f>
        <v/>
      </c>
      <c r="S197" s="52">
        <f>IF(Q197="","",IF(Q197&lt;=N197,0,NETWORKDAYS.INTL(N197,Q197,INDEX(LR_Code,MATCH(B197,LR_Lane,0)),INDEX(DH_Table,0,MATCH(B197&amp;"*",DH_Head,0)))-1))</f>
        <v/>
      </c>
      <c r="T197" s="127" t="n"/>
      <c r="U197" s="112">
        <f>IF(V197&lt;&gt;"",V197,IF(IFERROR(INDEX(RS_Flag,MATCH(B197,RS_Lane,0)),"")="Yes",IF(IFERROR(INDEX(RS_Loc,MATCH(B197,RS_Lane,0)),"")="","Regional stock",IFERROR(INDEX(RS_Loc,MATCH(B197,RS_Lane,0)),"")),"Helmond"))</f>
        <v/>
      </c>
      <c r="V197" s="141" t="n"/>
      <c r="W197" s="142" t="n"/>
      <c r="X197" s="143" t="n"/>
      <c r="Y197" s="116">
        <f>IF(X197&lt;&gt;"",X197,IF(U197="Helmond",IF(COUNTIFS(RC_Lane,B197,RC_Band,E197,RC_CostPS,"&gt;0")=0,"",SUMIFS(RC_CostPS,RC_Lane,B197,RC_Band,E197)*(1-SUMIFS(RC_Disc,RC_Lane,B197,RC_Band,E197))),IF(U197="Other","",IF(INDEX(RS_Rate,MATCH(B197,RS_Lane,0))="","",INDEX(RS_Rate,MATCH(B197,RS_Lane,0))))))</f>
        <v/>
      </c>
    </row>
    <row r="198">
      <c r="A198" s="95" t="inlineStr">
        <is>
          <t>B-194</t>
        </is>
      </c>
      <c r="B198" s="112" t="inlineStr">
        <is>
          <t>L02</t>
        </is>
      </c>
      <c r="C198" s="101" t="inlineStr">
        <is>
          <t>United Arab Emirates</t>
        </is>
      </c>
      <c r="D198" s="101" t="inlineStr">
        <is>
          <t>Dubai</t>
        </is>
      </c>
      <c r="E198" s="101" t="inlineStr">
        <is>
          <t>B1  0 to 30 kg</t>
        </is>
      </c>
      <c r="F198" s="123" t="n">
        <v>15.3</v>
      </c>
      <c r="G198" s="86">
        <f>F198*0.006477</f>
        <v/>
      </c>
      <c r="H198" s="123">
        <f>F198*1.079436</f>
        <v/>
      </c>
      <c r="I198" s="122">
        <f>MAX(1,ROUNDUP(G198/0.096,0))</f>
        <v/>
      </c>
      <c r="J198" s="84" t="n">
        <v>46625</v>
      </c>
      <c r="K198" s="87">
        <f>J198-WEEKDAY(J198,2)+1</f>
        <v/>
      </c>
      <c r="L198" s="84">
        <f>J198</f>
        <v/>
      </c>
      <c r="M198" s="52">
        <f>INDEX(LR_Target,MATCH(B198,LR_Lane,0))</f>
        <v/>
      </c>
      <c r="N198" s="84">
        <f>WORKDAY.INTL(L198,M198,INDEX(LR_Code,MATCH(B198,LR_Lane,0)),INDEX(DH_Table,0,MATCH(B198&amp;"*",DH_Head,0)))</f>
        <v/>
      </c>
      <c r="O198" s="65">
        <f>IF(W198&lt;&gt;"",W198,IF(U198="Helmond",IF(COUNTIFS(RC_Lane,B198,RC_Band,E198,RC_Transit,"&lt;&gt;")=0,"",SUMIFS(RC_Transit,RC_Lane,B198,RC_Band,E198)),IF(U198="Other","",IF(INDEX(RS_Transit,MATCH(B198,RS_Lane,0))="","",INDEX(RS_Transit,MATCH(B198,RS_Lane,0))))))</f>
        <v/>
      </c>
      <c r="P198" s="140" t="n"/>
      <c r="Q198" s="84">
        <f>IF(P198&lt;&gt;"",P198,IF(O198="","",WORKDAY.INTL(L198,ROUNDUP(O198,0),INDEX(LR_Code,MATCH(B198,LR_Lane,0)),INDEX(DH_Table,0,MATCH(B198&amp;"*",DH_Head,0)))))</f>
        <v/>
      </c>
      <c r="R198" s="100">
        <f>IF(Q198="","",IF(Q198&lt;=N198,"Yes","No"))</f>
        <v/>
      </c>
      <c r="S198" s="52">
        <f>IF(Q198="","",IF(Q198&lt;=N198,0,NETWORKDAYS.INTL(N198,Q198,INDEX(LR_Code,MATCH(B198,LR_Lane,0)),INDEX(DH_Table,0,MATCH(B198&amp;"*",DH_Head,0)))-1))</f>
        <v/>
      </c>
      <c r="T198" s="127" t="n"/>
      <c r="U198" s="112">
        <f>IF(V198&lt;&gt;"",V198,IF(IFERROR(INDEX(RS_Flag,MATCH(B198,RS_Lane,0)),"")="Yes",IF(IFERROR(INDEX(RS_Loc,MATCH(B198,RS_Lane,0)),"")="","Regional stock",IFERROR(INDEX(RS_Loc,MATCH(B198,RS_Lane,0)),"")),"Helmond"))</f>
        <v/>
      </c>
      <c r="V198" s="141" t="n"/>
      <c r="W198" s="142" t="n"/>
      <c r="X198" s="143" t="n"/>
      <c r="Y198" s="116">
        <f>IF(X198&lt;&gt;"",X198,IF(U198="Helmond",IF(COUNTIFS(RC_Lane,B198,RC_Band,E198,RC_CostPS,"&gt;0")=0,"",SUMIFS(RC_CostPS,RC_Lane,B198,RC_Band,E198)*(1-SUMIFS(RC_Disc,RC_Lane,B198,RC_Band,E198))),IF(U198="Other","",IF(INDEX(RS_Rate,MATCH(B198,RS_Lane,0))="","",INDEX(RS_Rate,MATCH(B198,RS_Lane,0))))))</f>
        <v/>
      </c>
    </row>
    <row r="199">
      <c r="A199" s="95" t="inlineStr">
        <is>
          <t>B-195</t>
        </is>
      </c>
      <c r="B199" s="112" t="inlineStr">
        <is>
          <t>L06</t>
        </is>
      </c>
      <c r="C199" s="101" t="inlineStr">
        <is>
          <t>Morocco</t>
        </is>
      </c>
      <c r="D199" s="101" t="inlineStr">
        <is>
          <t>Casablanca area</t>
        </is>
      </c>
      <c r="E199" s="101" t="inlineStr">
        <is>
          <t>B1  0 to 30 kg</t>
        </is>
      </c>
      <c r="F199" s="123" t="n">
        <v>6.5</v>
      </c>
      <c r="G199" s="86">
        <f>F199*0.006477</f>
        <v/>
      </c>
      <c r="H199" s="123">
        <f>F199*1.079436</f>
        <v/>
      </c>
      <c r="I199" s="122">
        <f>MAX(1,ROUNDUP(G199/0.096,0))</f>
        <v/>
      </c>
      <c r="J199" s="84" t="n">
        <v>46625</v>
      </c>
      <c r="K199" s="87">
        <f>J199-WEEKDAY(J199,2)+1</f>
        <v/>
      </c>
      <c r="L199" s="84">
        <f>J199</f>
        <v/>
      </c>
      <c r="M199" s="52">
        <f>INDEX(LR_Target,MATCH(B199,LR_Lane,0))</f>
        <v/>
      </c>
      <c r="N199" s="84">
        <f>WORKDAY.INTL(L199,M199,INDEX(LR_Code,MATCH(B199,LR_Lane,0)),INDEX(DH_Table,0,MATCH(B199&amp;"*",DH_Head,0)))</f>
        <v/>
      </c>
      <c r="O199" s="65">
        <f>IF(W199&lt;&gt;"",W199,IF(U199="Helmond",IF(COUNTIFS(RC_Lane,B199,RC_Band,E199,RC_Transit,"&lt;&gt;")=0,"",SUMIFS(RC_Transit,RC_Lane,B199,RC_Band,E199)),IF(U199="Other","",IF(INDEX(RS_Transit,MATCH(B199,RS_Lane,0))="","",INDEX(RS_Transit,MATCH(B199,RS_Lane,0))))))</f>
        <v/>
      </c>
      <c r="P199" s="140" t="n"/>
      <c r="Q199" s="84">
        <f>IF(P199&lt;&gt;"",P199,IF(O199="","",WORKDAY.INTL(L199,ROUNDUP(O199,0),INDEX(LR_Code,MATCH(B199,LR_Lane,0)),INDEX(DH_Table,0,MATCH(B199&amp;"*",DH_Head,0)))))</f>
        <v/>
      </c>
      <c r="R199" s="100">
        <f>IF(Q199="","",IF(Q199&lt;=N199,"Yes","No"))</f>
        <v/>
      </c>
      <c r="S199" s="52">
        <f>IF(Q199="","",IF(Q199&lt;=N199,0,NETWORKDAYS.INTL(N199,Q199,INDEX(LR_Code,MATCH(B199,LR_Lane,0)),INDEX(DH_Table,0,MATCH(B199&amp;"*",DH_Head,0)))-1))</f>
        <v/>
      </c>
      <c r="T199" s="127" t="n"/>
      <c r="U199" s="112">
        <f>IF(V199&lt;&gt;"",V199,IF(IFERROR(INDEX(RS_Flag,MATCH(B199,RS_Lane,0)),"")="Yes",IF(IFERROR(INDEX(RS_Loc,MATCH(B199,RS_Lane,0)),"")="","Regional stock",IFERROR(INDEX(RS_Loc,MATCH(B199,RS_Lane,0)),"")),"Helmond"))</f>
        <v/>
      </c>
      <c r="V199" s="141" t="n"/>
      <c r="W199" s="142" t="n"/>
      <c r="X199" s="143" t="n"/>
      <c r="Y199" s="116">
        <f>IF(X199&lt;&gt;"",X199,IF(U199="Helmond",IF(COUNTIFS(RC_Lane,B199,RC_Band,E199,RC_CostPS,"&gt;0")=0,"",SUMIFS(RC_CostPS,RC_Lane,B199,RC_Band,E199)*(1-SUMIFS(RC_Disc,RC_Lane,B199,RC_Band,E199))),IF(U199="Other","",IF(INDEX(RS_Rate,MATCH(B199,RS_Lane,0))="","",INDEX(RS_Rate,MATCH(B199,RS_Lane,0))))))</f>
        <v/>
      </c>
    </row>
    <row r="200">
      <c r="A200" s="95" t="inlineStr">
        <is>
          <t>B-196</t>
        </is>
      </c>
      <c r="B200" s="112" t="inlineStr">
        <is>
          <t>L01</t>
        </is>
      </c>
      <c r="C200" s="101" t="inlineStr">
        <is>
          <t>Saudi Arabia</t>
        </is>
      </c>
      <c r="D200" s="101" t="inlineStr">
        <is>
          <t>Jeddah</t>
        </is>
      </c>
      <c r="E200" s="101" t="inlineStr">
        <is>
          <t>B4  500 to 2,000 kg</t>
        </is>
      </c>
      <c r="F200" s="123" t="n">
        <v>727.6</v>
      </c>
      <c r="G200" s="86">
        <f>F200*0.006477</f>
        <v/>
      </c>
      <c r="H200" s="123">
        <f>F200*1.079436</f>
        <v/>
      </c>
      <c r="I200" s="122">
        <f>MAX(1,ROUNDUP(G200/0.096,0))</f>
        <v/>
      </c>
      <c r="J200" s="84" t="n">
        <v>46626</v>
      </c>
      <c r="K200" s="87">
        <f>J200-WEEKDAY(J200,2)+1</f>
        <v/>
      </c>
      <c r="L200" s="84">
        <f>J200</f>
        <v/>
      </c>
      <c r="M200" s="52">
        <f>INDEX(LR_Target,MATCH(B200,LR_Lane,0))</f>
        <v/>
      </c>
      <c r="N200" s="84">
        <f>WORKDAY.INTL(L200,M200,INDEX(LR_Code,MATCH(B200,LR_Lane,0)),INDEX(DH_Table,0,MATCH(B200&amp;"*",DH_Head,0)))</f>
        <v/>
      </c>
      <c r="O200" s="65">
        <f>IF(W200&lt;&gt;"",W200,IF(U200="Helmond",IF(COUNTIFS(RC_Lane,B200,RC_Band,E200,RC_Transit,"&lt;&gt;")=0,"",SUMIFS(RC_Transit,RC_Lane,B200,RC_Band,E200)),IF(U200="Other","",IF(INDEX(RS_Transit,MATCH(B200,RS_Lane,0))="","",INDEX(RS_Transit,MATCH(B200,RS_Lane,0))))))</f>
        <v/>
      </c>
      <c r="P200" s="140" t="n"/>
      <c r="Q200" s="84">
        <f>IF(P200&lt;&gt;"",P200,IF(O200="","",WORKDAY.INTL(L200,ROUNDUP(O200,0),INDEX(LR_Code,MATCH(B200,LR_Lane,0)),INDEX(DH_Table,0,MATCH(B200&amp;"*",DH_Head,0)))))</f>
        <v/>
      </c>
      <c r="R200" s="100">
        <f>IF(Q200="","",IF(Q200&lt;=N200,"Yes","No"))</f>
        <v/>
      </c>
      <c r="S200" s="52">
        <f>IF(Q200="","",IF(Q200&lt;=N200,0,NETWORKDAYS.INTL(N200,Q200,INDEX(LR_Code,MATCH(B200,LR_Lane,0)),INDEX(DH_Table,0,MATCH(B200&amp;"*",DH_Head,0)))-1))</f>
        <v/>
      </c>
      <c r="T200" s="127" t="n"/>
      <c r="U200" s="112">
        <f>IF(V200&lt;&gt;"",V200,IF(IFERROR(INDEX(RS_Flag,MATCH(B200,RS_Lane,0)),"")="Yes",IF(IFERROR(INDEX(RS_Loc,MATCH(B200,RS_Lane,0)),"")="","Regional stock",IFERROR(INDEX(RS_Loc,MATCH(B200,RS_Lane,0)),"")),"Helmond"))</f>
        <v/>
      </c>
      <c r="V200" s="141" t="n"/>
      <c r="W200" s="142" t="n"/>
      <c r="X200" s="143" t="n"/>
      <c r="Y200" s="116">
        <f>IF(X200&lt;&gt;"",X200,IF(U200="Helmond",IF(COUNTIFS(RC_Lane,B200,RC_Band,E200,RC_CostPS,"&gt;0")=0,"",SUMIFS(RC_CostPS,RC_Lane,B200,RC_Band,E200)*(1-SUMIFS(RC_Disc,RC_Lane,B200,RC_Band,E200))),IF(U200="Other","",IF(INDEX(RS_Rate,MATCH(B200,RS_Lane,0))="","",INDEX(RS_Rate,MATCH(B200,RS_Lane,0))))))</f>
        <v/>
      </c>
    </row>
    <row r="201">
      <c r="A201" s="95" t="inlineStr">
        <is>
          <t>B-197</t>
        </is>
      </c>
      <c r="B201" s="112" t="inlineStr">
        <is>
          <t>L01</t>
        </is>
      </c>
      <c r="C201" s="101" t="inlineStr">
        <is>
          <t>Saudi Arabia</t>
        </is>
      </c>
      <c r="D201" s="101" t="inlineStr">
        <is>
          <t>Riyadh</t>
        </is>
      </c>
      <c r="E201" s="101" t="inlineStr">
        <is>
          <t>B1  0 to 30 kg</t>
        </is>
      </c>
      <c r="F201" s="123" t="n">
        <v>4.8</v>
      </c>
      <c r="G201" s="86">
        <f>F201*0.006477</f>
        <v/>
      </c>
      <c r="H201" s="123">
        <f>F201*1.079436</f>
        <v/>
      </c>
      <c r="I201" s="122">
        <f>MAX(1,ROUNDUP(G201/0.096,0))</f>
        <v/>
      </c>
      <c r="J201" s="84" t="n">
        <v>46626</v>
      </c>
      <c r="K201" s="87">
        <f>J201-WEEKDAY(J201,2)+1</f>
        <v/>
      </c>
      <c r="L201" s="84">
        <f>J201</f>
        <v/>
      </c>
      <c r="M201" s="52">
        <f>INDEX(LR_Target,MATCH(B201,LR_Lane,0))</f>
        <v/>
      </c>
      <c r="N201" s="84">
        <f>WORKDAY.INTL(L201,M201,INDEX(LR_Code,MATCH(B201,LR_Lane,0)),INDEX(DH_Table,0,MATCH(B201&amp;"*",DH_Head,0)))</f>
        <v/>
      </c>
      <c r="O201" s="65">
        <f>IF(W201&lt;&gt;"",W201,IF(U201="Helmond",IF(COUNTIFS(RC_Lane,B201,RC_Band,E201,RC_Transit,"&lt;&gt;")=0,"",SUMIFS(RC_Transit,RC_Lane,B201,RC_Band,E201)),IF(U201="Other","",IF(INDEX(RS_Transit,MATCH(B201,RS_Lane,0))="","",INDEX(RS_Transit,MATCH(B201,RS_Lane,0))))))</f>
        <v/>
      </c>
      <c r="P201" s="140" t="n"/>
      <c r="Q201" s="84">
        <f>IF(P201&lt;&gt;"",P201,IF(O201="","",WORKDAY.INTL(L201,ROUNDUP(O201,0),INDEX(LR_Code,MATCH(B201,LR_Lane,0)),INDEX(DH_Table,0,MATCH(B201&amp;"*",DH_Head,0)))))</f>
        <v/>
      </c>
      <c r="R201" s="100">
        <f>IF(Q201="","",IF(Q201&lt;=N201,"Yes","No"))</f>
        <v/>
      </c>
      <c r="S201" s="52">
        <f>IF(Q201="","",IF(Q201&lt;=N201,0,NETWORKDAYS.INTL(N201,Q201,INDEX(LR_Code,MATCH(B201,LR_Lane,0)),INDEX(DH_Table,0,MATCH(B201&amp;"*",DH_Head,0)))-1))</f>
        <v/>
      </c>
      <c r="T201" s="127" t="n"/>
      <c r="U201" s="112">
        <f>IF(V201&lt;&gt;"",V201,IF(IFERROR(INDEX(RS_Flag,MATCH(B201,RS_Lane,0)),"")="Yes",IF(IFERROR(INDEX(RS_Loc,MATCH(B201,RS_Lane,0)),"")="","Regional stock",IFERROR(INDEX(RS_Loc,MATCH(B201,RS_Lane,0)),"")),"Helmond"))</f>
        <v/>
      </c>
      <c r="V201" s="141" t="n"/>
      <c r="W201" s="142" t="n"/>
      <c r="X201" s="143" t="n"/>
      <c r="Y201" s="116">
        <f>IF(X201&lt;&gt;"",X201,IF(U201="Helmond",IF(COUNTIFS(RC_Lane,B201,RC_Band,E201,RC_CostPS,"&gt;0")=0,"",SUMIFS(RC_CostPS,RC_Lane,B201,RC_Band,E201)*(1-SUMIFS(RC_Disc,RC_Lane,B201,RC_Band,E201))),IF(U201="Other","",IF(INDEX(RS_Rate,MATCH(B201,RS_Lane,0))="","",INDEX(RS_Rate,MATCH(B201,RS_Lane,0))))))</f>
        <v/>
      </c>
    </row>
    <row r="202">
      <c r="A202" s="95" t="inlineStr">
        <is>
          <t>B-198</t>
        </is>
      </c>
      <c r="B202" s="112" t="inlineStr">
        <is>
          <t>L02</t>
        </is>
      </c>
      <c r="C202" s="101" t="inlineStr">
        <is>
          <t>United Arab Emirates</t>
        </is>
      </c>
      <c r="D202" s="101" t="inlineStr">
        <is>
          <t>Dubai</t>
        </is>
      </c>
      <c r="E202" s="101" t="inlineStr">
        <is>
          <t>B3  100 to 500 kg</t>
        </is>
      </c>
      <c r="F202" s="123" t="n">
        <v>234.1</v>
      </c>
      <c r="G202" s="86">
        <f>F202*0.006477</f>
        <v/>
      </c>
      <c r="H202" s="123">
        <f>F202*1.079436</f>
        <v/>
      </c>
      <c r="I202" s="122">
        <f>MAX(1,ROUNDUP(G202/0.096,0))</f>
        <v/>
      </c>
      <c r="J202" s="84" t="n">
        <v>46626</v>
      </c>
      <c r="K202" s="87">
        <f>J202-WEEKDAY(J202,2)+1</f>
        <v/>
      </c>
      <c r="L202" s="84">
        <f>J202</f>
        <v/>
      </c>
      <c r="M202" s="52">
        <f>INDEX(LR_Target,MATCH(B202,LR_Lane,0))</f>
        <v/>
      </c>
      <c r="N202" s="84">
        <f>WORKDAY.INTL(L202,M202,INDEX(LR_Code,MATCH(B202,LR_Lane,0)),INDEX(DH_Table,0,MATCH(B202&amp;"*",DH_Head,0)))</f>
        <v/>
      </c>
      <c r="O202" s="65">
        <f>IF(W202&lt;&gt;"",W202,IF(U202="Helmond",IF(COUNTIFS(RC_Lane,B202,RC_Band,E202,RC_Transit,"&lt;&gt;")=0,"",SUMIFS(RC_Transit,RC_Lane,B202,RC_Band,E202)),IF(U202="Other","",IF(INDEX(RS_Transit,MATCH(B202,RS_Lane,0))="","",INDEX(RS_Transit,MATCH(B202,RS_Lane,0))))))</f>
        <v/>
      </c>
      <c r="P202" s="140" t="n"/>
      <c r="Q202" s="84">
        <f>IF(P202&lt;&gt;"",P202,IF(O202="","",WORKDAY.INTL(L202,ROUNDUP(O202,0),INDEX(LR_Code,MATCH(B202,LR_Lane,0)),INDEX(DH_Table,0,MATCH(B202&amp;"*",DH_Head,0)))))</f>
        <v/>
      </c>
      <c r="R202" s="100">
        <f>IF(Q202="","",IF(Q202&lt;=N202,"Yes","No"))</f>
        <v/>
      </c>
      <c r="S202" s="52">
        <f>IF(Q202="","",IF(Q202&lt;=N202,0,NETWORKDAYS.INTL(N202,Q202,INDEX(LR_Code,MATCH(B202,LR_Lane,0)),INDEX(DH_Table,0,MATCH(B202&amp;"*",DH_Head,0)))-1))</f>
        <v/>
      </c>
      <c r="T202" s="127" t="n"/>
      <c r="U202" s="112">
        <f>IF(V202&lt;&gt;"",V202,IF(IFERROR(INDEX(RS_Flag,MATCH(B202,RS_Lane,0)),"")="Yes",IF(IFERROR(INDEX(RS_Loc,MATCH(B202,RS_Lane,0)),"")="","Regional stock",IFERROR(INDEX(RS_Loc,MATCH(B202,RS_Lane,0)),"")),"Helmond"))</f>
        <v/>
      </c>
      <c r="V202" s="141" t="n"/>
      <c r="W202" s="142" t="n"/>
      <c r="X202" s="143" t="n"/>
      <c r="Y202" s="116">
        <f>IF(X202&lt;&gt;"",X202,IF(U202="Helmond",IF(COUNTIFS(RC_Lane,B202,RC_Band,E202,RC_CostPS,"&gt;0")=0,"",SUMIFS(RC_CostPS,RC_Lane,B202,RC_Band,E202)*(1-SUMIFS(RC_Disc,RC_Lane,B202,RC_Band,E202))),IF(U202="Other","",IF(INDEX(RS_Rate,MATCH(B202,RS_Lane,0))="","",INDEX(RS_Rate,MATCH(B202,RS_Lane,0))))))</f>
        <v/>
      </c>
    </row>
    <row r="203">
      <c r="A203" s="95" t="inlineStr">
        <is>
          <t>B-199</t>
        </is>
      </c>
      <c r="B203" s="112" t="inlineStr">
        <is>
          <t>L01</t>
        </is>
      </c>
      <c r="C203" s="101" t="inlineStr">
        <is>
          <t>Saudi Arabia</t>
        </is>
      </c>
      <c r="D203" s="101" t="inlineStr">
        <is>
          <t>Jeddah</t>
        </is>
      </c>
      <c r="E203" s="101" t="inlineStr">
        <is>
          <t>B1  0 to 30 kg</t>
        </is>
      </c>
      <c r="F203" s="123" t="n">
        <v>2.3</v>
      </c>
      <c r="G203" s="86">
        <f>F203*0.006477</f>
        <v/>
      </c>
      <c r="H203" s="123">
        <f>F203*1.079436</f>
        <v/>
      </c>
      <c r="I203" s="122">
        <f>MAX(1,ROUNDUP(G203/0.096,0))</f>
        <v/>
      </c>
      <c r="J203" s="84" t="n">
        <v>46629</v>
      </c>
      <c r="K203" s="87">
        <f>J203-WEEKDAY(J203,2)+1</f>
        <v/>
      </c>
      <c r="L203" s="84">
        <f>J203</f>
        <v/>
      </c>
      <c r="M203" s="52">
        <f>INDEX(LR_Target,MATCH(B203,LR_Lane,0))</f>
        <v/>
      </c>
      <c r="N203" s="84">
        <f>WORKDAY.INTL(L203,M203,INDEX(LR_Code,MATCH(B203,LR_Lane,0)),INDEX(DH_Table,0,MATCH(B203&amp;"*",DH_Head,0)))</f>
        <v/>
      </c>
      <c r="O203" s="65">
        <f>IF(W203&lt;&gt;"",W203,IF(U203="Helmond",IF(COUNTIFS(RC_Lane,B203,RC_Band,E203,RC_Transit,"&lt;&gt;")=0,"",SUMIFS(RC_Transit,RC_Lane,B203,RC_Band,E203)),IF(U203="Other","",IF(INDEX(RS_Transit,MATCH(B203,RS_Lane,0))="","",INDEX(RS_Transit,MATCH(B203,RS_Lane,0))))))</f>
        <v/>
      </c>
      <c r="P203" s="140" t="n"/>
      <c r="Q203" s="84">
        <f>IF(P203&lt;&gt;"",P203,IF(O203="","",WORKDAY.INTL(L203,ROUNDUP(O203,0),INDEX(LR_Code,MATCH(B203,LR_Lane,0)),INDEX(DH_Table,0,MATCH(B203&amp;"*",DH_Head,0)))))</f>
        <v/>
      </c>
      <c r="R203" s="100">
        <f>IF(Q203="","",IF(Q203&lt;=N203,"Yes","No"))</f>
        <v/>
      </c>
      <c r="S203" s="52">
        <f>IF(Q203="","",IF(Q203&lt;=N203,0,NETWORKDAYS.INTL(N203,Q203,INDEX(LR_Code,MATCH(B203,LR_Lane,0)),INDEX(DH_Table,0,MATCH(B203&amp;"*",DH_Head,0)))-1))</f>
        <v/>
      </c>
      <c r="T203" s="127" t="n"/>
      <c r="U203" s="112">
        <f>IF(V203&lt;&gt;"",V203,IF(IFERROR(INDEX(RS_Flag,MATCH(B203,RS_Lane,0)),"")="Yes",IF(IFERROR(INDEX(RS_Loc,MATCH(B203,RS_Lane,0)),"")="","Regional stock",IFERROR(INDEX(RS_Loc,MATCH(B203,RS_Lane,0)),"")),"Helmond"))</f>
        <v/>
      </c>
      <c r="V203" s="141" t="n"/>
      <c r="W203" s="142" t="n"/>
      <c r="X203" s="143" t="n"/>
      <c r="Y203" s="116">
        <f>IF(X203&lt;&gt;"",X203,IF(U203="Helmond",IF(COUNTIFS(RC_Lane,B203,RC_Band,E203,RC_CostPS,"&gt;0")=0,"",SUMIFS(RC_CostPS,RC_Lane,B203,RC_Band,E203)*(1-SUMIFS(RC_Disc,RC_Lane,B203,RC_Band,E203))),IF(U203="Other","",IF(INDEX(RS_Rate,MATCH(B203,RS_Lane,0))="","",INDEX(RS_Rate,MATCH(B203,RS_Lane,0))))))</f>
        <v/>
      </c>
    </row>
    <row r="204">
      <c r="A204" s="95" t="inlineStr">
        <is>
          <t>B-200</t>
        </is>
      </c>
      <c r="B204" s="112" t="inlineStr">
        <is>
          <t>L03</t>
        </is>
      </c>
      <c r="C204" s="101" t="inlineStr">
        <is>
          <t>Kuwait</t>
        </is>
      </c>
      <c r="D204" s="101" t="inlineStr">
        <is>
          <t>Kuwait City</t>
        </is>
      </c>
      <c r="E204" s="101" t="inlineStr">
        <is>
          <t>B3  100 to 500 kg</t>
        </is>
      </c>
      <c r="F204" s="123" t="n">
        <v>409.8</v>
      </c>
      <c r="G204" s="86">
        <f>F204*0.006477</f>
        <v/>
      </c>
      <c r="H204" s="123">
        <f>F204*1.079436</f>
        <v/>
      </c>
      <c r="I204" s="122">
        <f>MAX(1,ROUNDUP(G204/0.096,0))</f>
        <v/>
      </c>
      <c r="J204" s="84" t="n">
        <v>46630</v>
      </c>
      <c r="K204" s="87">
        <f>J204-WEEKDAY(J204,2)+1</f>
        <v/>
      </c>
      <c r="L204" s="84">
        <f>J204</f>
        <v/>
      </c>
      <c r="M204" s="52">
        <f>INDEX(LR_Target,MATCH(B204,LR_Lane,0))</f>
        <v/>
      </c>
      <c r="N204" s="84">
        <f>WORKDAY.INTL(L204,M204,INDEX(LR_Code,MATCH(B204,LR_Lane,0)),INDEX(DH_Table,0,MATCH(B204&amp;"*",DH_Head,0)))</f>
        <v/>
      </c>
      <c r="O204" s="65">
        <f>IF(W204&lt;&gt;"",W204,IF(U204="Helmond",IF(COUNTIFS(RC_Lane,B204,RC_Band,E204,RC_Transit,"&lt;&gt;")=0,"",SUMIFS(RC_Transit,RC_Lane,B204,RC_Band,E204)),IF(U204="Other","",IF(INDEX(RS_Transit,MATCH(B204,RS_Lane,0))="","",INDEX(RS_Transit,MATCH(B204,RS_Lane,0))))))</f>
        <v/>
      </c>
      <c r="P204" s="140" t="n"/>
      <c r="Q204" s="84">
        <f>IF(P204&lt;&gt;"",P204,IF(O204="","",WORKDAY.INTL(L204,ROUNDUP(O204,0),INDEX(LR_Code,MATCH(B204,LR_Lane,0)),INDEX(DH_Table,0,MATCH(B204&amp;"*",DH_Head,0)))))</f>
        <v/>
      </c>
      <c r="R204" s="100">
        <f>IF(Q204="","",IF(Q204&lt;=N204,"Yes","No"))</f>
        <v/>
      </c>
      <c r="S204" s="52">
        <f>IF(Q204="","",IF(Q204&lt;=N204,0,NETWORKDAYS.INTL(N204,Q204,INDEX(LR_Code,MATCH(B204,LR_Lane,0)),INDEX(DH_Table,0,MATCH(B204&amp;"*",DH_Head,0)))-1))</f>
        <v/>
      </c>
      <c r="T204" s="127" t="n"/>
      <c r="U204" s="112">
        <f>IF(V204&lt;&gt;"",V204,IF(IFERROR(INDEX(RS_Flag,MATCH(B204,RS_Lane,0)),"")="Yes",IF(IFERROR(INDEX(RS_Loc,MATCH(B204,RS_Lane,0)),"")="","Regional stock",IFERROR(INDEX(RS_Loc,MATCH(B204,RS_Lane,0)),"")),"Helmond"))</f>
        <v/>
      </c>
      <c r="V204" s="141" t="n"/>
      <c r="W204" s="142" t="n"/>
      <c r="X204" s="143" t="n"/>
      <c r="Y204" s="116">
        <f>IF(X204&lt;&gt;"",X204,IF(U204="Helmond",IF(COUNTIFS(RC_Lane,B204,RC_Band,E204,RC_CostPS,"&gt;0")=0,"",SUMIFS(RC_CostPS,RC_Lane,B204,RC_Band,E204)*(1-SUMIFS(RC_Disc,RC_Lane,B204,RC_Band,E204))),IF(U204="Other","",IF(INDEX(RS_Rate,MATCH(B204,RS_Lane,0))="","",INDEX(RS_Rate,MATCH(B204,RS_Lane,0))))))</f>
        <v/>
      </c>
    </row>
    <row r="205">
      <c r="A205" s="95" t="inlineStr">
        <is>
          <t>B-201</t>
        </is>
      </c>
      <c r="B205" s="112" t="inlineStr">
        <is>
          <t>L01</t>
        </is>
      </c>
      <c r="C205" s="101" t="inlineStr">
        <is>
          <t>Saudi Arabia</t>
        </is>
      </c>
      <c r="D205" s="101" t="inlineStr">
        <is>
          <t>Jeddah</t>
        </is>
      </c>
      <c r="E205" s="101" t="inlineStr">
        <is>
          <t>B2  30 to 100 kg</t>
        </is>
      </c>
      <c r="F205" s="123" t="n">
        <v>40.4</v>
      </c>
      <c r="G205" s="86">
        <f>F205*0.006477</f>
        <v/>
      </c>
      <c r="H205" s="123">
        <f>F205*1.079436</f>
        <v/>
      </c>
      <c r="I205" s="122">
        <f>MAX(1,ROUNDUP(G205/0.096,0))</f>
        <v/>
      </c>
      <c r="J205" s="84" t="n">
        <v>46631</v>
      </c>
      <c r="K205" s="87">
        <f>J205-WEEKDAY(J205,2)+1</f>
        <v/>
      </c>
      <c r="L205" s="84">
        <f>J205</f>
        <v/>
      </c>
      <c r="M205" s="52">
        <f>INDEX(LR_Target,MATCH(B205,LR_Lane,0))</f>
        <v/>
      </c>
      <c r="N205" s="84">
        <f>WORKDAY.INTL(L205,M205,INDEX(LR_Code,MATCH(B205,LR_Lane,0)),INDEX(DH_Table,0,MATCH(B205&amp;"*",DH_Head,0)))</f>
        <v/>
      </c>
      <c r="O205" s="65">
        <f>IF(W205&lt;&gt;"",W205,IF(U205="Helmond",IF(COUNTIFS(RC_Lane,B205,RC_Band,E205,RC_Transit,"&lt;&gt;")=0,"",SUMIFS(RC_Transit,RC_Lane,B205,RC_Band,E205)),IF(U205="Other","",IF(INDEX(RS_Transit,MATCH(B205,RS_Lane,0))="","",INDEX(RS_Transit,MATCH(B205,RS_Lane,0))))))</f>
        <v/>
      </c>
      <c r="P205" s="140" t="n"/>
      <c r="Q205" s="84">
        <f>IF(P205&lt;&gt;"",P205,IF(O205="","",WORKDAY.INTL(L205,ROUNDUP(O205,0),INDEX(LR_Code,MATCH(B205,LR_Lane,0)),INDEX(DH_Table,0,MATCH(B205&amp;"*",DH_Head,0)))))</f>
        <v/>
      </c>
      <c r="R205" s="100">
        <f>IF(Q205="","",IF(Q205&lt;=N205,"Yes","No"))</f>
        <v/>
      </c>
      <c r="S205" s="52">
        <f>IF(Q205="","",IF(Q205&lt;=N205,0,NETWORKDAYS.INTL(N205,Q205,INDEX(LR_Code,MATCH(B205,LR_Lane,0)),INDEX(DH_Table,0,MATCH(B205&amp;"*",DH_Head,0)))-1))</f>
        <v/>
      </c>
      <c r="T205" s="127" t="n"/>
      <c r="U205" s="112">
        <f>IF(V205&lt;&gt;"",V205,IF(IFERROR(INDEX(RS_Flag,MATCH(B205,RS_Lane,0)),"")="Yes",IF(IFERROR(INDEX(RS_Loc,MATCH(B205,RS_Lane,0)),"")="","Regional stock",IFERROR(INDEX(RS_Loc,MATCH(B205,RS_Lane,0)),"")),"Helmond"))</f>
        <v/>
      </c>
      <c r="V205" s="141" t="n"/>
      <c r="W205" s="142" t="n"/>
      <c r="X205" s="143" t="n"/>
      <c r="Y205" s="116">
        <f>IF(X205&lt;&gt;"",X205,IF(U205="Helmond",IF(COUNTIFS(RC_Lane,B205,RC_Band,E205,RC_CostPS,"&gt;0")=0,"",SUMIFS(RC_CostPS,RC_Lane,B205,RC_Band,E205)*(1-SUMIFS(RC_Disc,RC_Lane,B205,RC_Band,E205))),IF(U205="Other","",IF(INDEX(RS_Rate,MATCH(B205,RS_Lane,0))="","",INDEX(RS_Rate,MATCH(B205,RS_Lane,0))))))</f>
        <v/>
      </c>
    </row>
    <row r="206">
      <c r="A206" s="95" t="inlineStr">
        <is>
          <t>B-202</t>
        </is>
      </c>
      <c r="B206" s="112" t="inlineStr">
        <is>
          <t>L01</t>
        </is>
      </c>
      <c r="C206" s="101" t="inlineStr">
        <is>
          <t>Saudi Arabia</t>
        </is>
      </c>
      <c r="D206" s="101" t="inlineStr">
        <is>
          <t>Jeddah</t>
        </is>
      </c>
      <c r="E206" s="101" t="inlineStr">
        <is>
          <t>B4  500 to 2,000 kg</t>
        </is>
      </c>
      <c r="F206" s="123" t="n">
        <v>1111.3</v>
      </c>
      <c r="G206" s="86">
        <f>F206*0.006477</f>
        <v/>
      </c>
      <c r="H206" s="123">
        <f>F206*1.079436</f>
        <v/>
      </c>
      <c r="I206" s="122">
        <f>MAX(1,ROUNDUP(G206/0.096,0))</f>
        <v/>
      </c>
      <c r="J206" s="84" t="n">
        <v>46631</v>
      </c>
      <c r="K206" s="87">
        <f>J206-WEEKDAY(J206,2)+1</f>
        <v/>
      </c>
      <c r="L206" s="84">
        <f>J206</f>
        <v/>
      </c>
      <c r="M206" s="52">
        <f>INDEX(LR_Target,MATCH(B206,LR_Lane,0))</f>
        <v/>
      </c>
      <c r="N206" s="84">
        <f>WORKDAY.INTL(L206,M206,INDEX(LR_Code,MATCH(B206,LR_Lane,0)),INDEX(DH_Table,0,MATCH(B206&amp;"*",DH_Head,0)))</f>
        <v/>
      </c>
      <c r="O206" s="65">
        <f>IF(W206&lt;&gt;"",W206,IF(U206="Helmond",IF(COUNTIFS(RC_Lane,B206,RC_Band,E206,RC_Transit,"&lt;&gt;")=0,"",SUMIFS(RC_Transit,RC_Lane,B206,RC_Band,E206)),IF(U206="Other","",IF(INDEX(RS_Transit,MATCH(B206,RS_Lane,0))="","",INDEX(RS_Transit,MATCH(B206,RS_Lane,0))))))</f>
        <v/>
      </c>
      <c r="P206" s="140" t="n"/>
      <c r="Q206" s="84">
        <f>IF(P206&lt;&gt;"",P206,IF(O206="","",WORKDAY.INTL(L206,ROUNDUP(O206,0),INDEX(LR_Code,MATCH(B206,LR_Lane,0)),INDEX(DH_Table,0,MATCH(B206&amp;"*",DH_Head,0)))))</f>
        <v/>
      </c>
      <c r="R206" s="100">
        <f>IF(Q206="","",IF(Q206&lt;=N206,"Yes","No"))</f>
        <v/>
      </c>
      <c r="S206" s="52">
        <f>IF(Q206="","",IF(Q206&lt;=N206,0,NETWORKDAYS.INTL(N206,Q206,INDEX(LR_Code,MATCH(B206,LR_Lane,0)),INDEX(DH_Table,0,MATCH(B206&amp;"*",DH_Head,0)))-1))</f>
        <v/>
      </c>
      <c r="T206" s="127" t="n"/>
      <c r="U206" s="112">
        <f>IF(V206&lt;&gt;"",V206,IF(IFERROR(INDEX(RS_Flag,MATCH(B206,RS_Lane,0)),"")="Yes",IF(IFERROR(INDEX(RS_Loc,MATCH(B206,RS_Lane,0)),"")="","Regional stock",IFERROR(INDEX(RS_Loc,MATCH(B206,RS_Lane,0)),"")),"Helmond"))</f>
        <v/>
      </c>
      <c r="V206" s="141" t="n"/>
      <c r="W206" s="142" t="n"/>
      <c r="X206" s="143" t="n"/>
      <c r="Y206" s="116">
        <f>IF(X206&lt;&gt;"",X206,IF(U206="Helmond",IF(COUNTIFS(RC_Lane,B206,RC_Band,E206,RC_CostPS,"&gt;0")=0,"",SUMIFS(RC_CostPS,RC_Lane,B206,RC_Band,E206)*(1-SUMIFS(RC_Disc,RC_Lane,B206,RC_Band,E206))),IF(U206="Other","",IF(INDEX(RS_Rate,MATCH(B206,RS_Lane,0))="","",INDEX(RS_Rate,MATCH(B206,RS_Lane,0))))))</f>
        <v/>
      </c>
    </row>
    <row r="207">
      <c r="A207" s="95" t="inlineStr">
        <is>
          <t>B-203</t>
        </is>
      </c>
      <c r="B207" s="112" t="inlineStr">
        <is>
          <t>L02</t>
        </is>
      </c>
      <c r="C207" s="101" t="inlineStr">
        <is>
          <t>United Arab Emirates</t>
        </is>
      </c>
      <c r="D207" s="101" t="inlineStr">
        <is>
          <t>Dubai</t>
        </is>
      </c>
      <c r="E207" s="101" t="inlineStr">
        <is>
          <t>B1  0 to 30 kg</t>
        </is>
      </c>
      <c r="F207" s="123" t="n">
        <v>13.3</v>
      </c>
      <c r="G207" s="86">
        <f>F207*0.006477</f>
        <v/>
      </c>
      <c r="H207" s="123">
        <f>F207*1.079436</f>
        <v/>
      </c>
      <c r="I207" s="122">
        <f>MAX(1,ROUNDUP(G207/0.096,0))</f>
        <v/>
      </c>
      <c r="J207" s="84" t="n">
        <v>46631</v>
      </c>
      <c r="K207" s="87">
        <f>J207-WEEKDAY(J207,2)+1</f>
        <v/>
      </c>
      <c r="L207" s="84">
        <f>J207</f>
        <v/>
      </c>
      <c r="M207" s="52">
        <f>INDEX(LR_Target,MATCH(B207,LR_Lane,0))</f>
        <v/>
      </c>
      <c r="N207" s="84">
        <f>WORKDAY.INTL(L207,M207,INDEX(LR_Code,MATCH(B207,LR_Lane,0)),INDEX(DH_Table,0,MATCH(B207&amp;"*",DH_Head,0)))</f>
        <v/>
      </c>
      <c r="O207" s="65">
        <f>IF(W207&lt;&gt;"",W207,IF(U207="Helmond",IF(COUNTIFS(RC_Lane,B207,RC_Band,E207,RC_Transit,"&lt;&gt;")=0,"",SUMIFS(RC_Transit,RC_Lane,B207,RC_Band,E207)),IF(U207="Other","",IF(INDEX(RS_Transit,MATCH(B207,RS_Lane,0))="","",INDEX(RS_Transit,MATCH(B207,RS_Lane,0))))))</f>
        <v/>
      </c>
      <c r="P207" s="140" t="n"/>
      <c r="Q207" s="84">
        <f>IF(P207&lt;&gt;"",P207,IF(O207="","",WORKDAY.INTL(L207,ROUNDUP(O207,0),INDEX(LR_Code,MATCH(B207,LR_Lane,0)),INDEX(DH_Table,0,MATCH(B207&amp;"*",DH_Head,0)))))</f>
        <v/>
      </c>
      <c r="R207" s="100">
        <f>IF(Q207="","",IF(Q207&lt;=N207,"Yes","No"))</f>
        <v/>
      </c>
      <c r="S207" s="52">
        <f>IF(Q207="","",IF(Q207&lt;=N207,0,NETWORKDAYS.INTL(N207,Q207,INDEX(LR_Code,MATCH(B207,LR_Lane,0)),INDEX(DH_Table,0,MATCH(B207&amp;"*",DH_Head,0)))-1))</f>
        <v/>
      </c>
      <c r="T207" s="127" t="n"/>
      <c r="U207" s="112">
        <f>IF(V207&lt;&gt;"",V207,IF(IFERROR(INDEX(RS_Flag,MATCH(B207,RS_Lane,0)),"")="Yes",IF(IFERROR(INDEX(RS_Loc,MATCH(B207,RS_Lane,0)),"")="","Regional stock",IFERROR(INDEX(RS_Loc,MATCH(B207,RS_Lane,0)),"")),"Helmond"))</f>
        <v/>
      </c>
      <c r="V207" s="141" t="n"/>
      <c r="W207" s="142" t="n"/>
      <c r="X207" s="143" t="n"/>
      <c r="Y207" s="116">
        <f>IF(X207&lt;&gt;"",X207,IF(U207="Helmond",IF(COUNTIFS(RC_Lane,B207,RC_Band,E207,RC_CostPS,"&gt;0")=0,"",SUMIFS(RC_CostPS,RC_Lane,B207,RC_Band,E207)*(1-SUMIFS(RC_Disc,RC_Lane,B207,RC_Band,E207))),IF(U207="Other","",IF(INDEX(RS_Rate,MATCH(B207,RS_Lane,0))="","",INDEX(RS_Rate,MATCH(B207,RS_Lane,0))))))</f>
        <v/>
      </c>
    </row>
    <row r="208">
      <c r="A208" s="95" t="inlineStr">
        <is>
          <t>B-204</t>
        </is>
      </c>
      <c r="B208" s="112" t="inlineStr">
        <is>
          <t>L03</t>
        </is>
      </c>
      <c r="C208" s="101" t="inlineStr">
        <is>
          <t>Kuwait</t>
        </is>
      </c>
      <c r="D208" s="101" t="inlineStr">
        <is>
          <t>Kuwait City</t>
        </is>
      </c>
      <c r="E208" s="101" t="inlineStr">
        <is>
          <t>B4  500 to 2,000 kg</t>
        </is>
      </c>
      <c r="F208" s="123" t="n">
        <v>1182.5</v>
      </c>
      <c r="G208" s="86">
        <f>F208*0.006477</f>
        <v/>
      </c>
      <c r="H208" s="123">
        <f>F208*1.079436</f>
        <v/>
      </c>
      <c r="I208" s="122">
        <f>MAX(1,ROUNDUP(G208/0.096,0))</f>
        <v/>
      </c>
      <c r="J208" s="84" t="n">
        <v>46631</v>
      </c>
      <c r="K208" s="87">
        <f>J208-WEEKDAY(J208,2)+1</f>
        <v/>
      </c>
      <c r="L208" s="84">
        <f>J208</f>
        <v/>
      </c>
      <c r="M208" s="52">
        <f>INDEX(LR_Target,MATCH(B208,LR_Lane,0))</f>
        <v/>
      </c>
      <c r="N208" s="84">
        <f>WORKDAY.INTL(L208,M208,INDEX(LR_Code,MATCH(B208,LR_Lane,0)),INDEX(DH_Table,0,MATCH(B208&amp;"*",DH_Head,0)))</f>
        <v/>
      </c>
      <c r="O208" s="65">
        <f>IF(W208&lt;&gt;"",W208,IF(U208="Helmond",IF(COUNTIFS(RC_Lane,B208,RC_Band,E208,RC_Transit,"&lt;&gt;")=0,"",SUMIFS(RC_Transit,RC_Lane,B208,RC_Band,E208)),IF(U208="Other","",IF(INDEX(RS_Transit,MATCH(B208,RS_Lane,0))="","",INDEX(RS_Transit,MATCH(B208,RS_Lane,0))))))</f>
        <v/>
      </c>
      <c r="P208" s="140" t="n"/>
      <c r="Q208" s="84">
        <f>IF(P208&lt;&gt;"",P208,IF(O208="","",WORKDAY.INTL(L208,ROUNDUP(O208,0),INDEX(LR_Code,MATCH(B208,LR_Lane,0)),INDEX(DH_Table,0,MATCH(B208&amp;"*",DH_Head,0)))))</f>
        <v/>
      </c>
      <c r="R208" s="100">
        <f>IF(Q208="","",IF(Q208&lt;=N208,"Yes","No"))</f>
        <v/>
      </c>
      <c r="S208" s="52">
        <f>IF(Q208="","",IF(Q208&lt;=N208,0,NETWORKDAYS.INTL(N208,Q208,INDEX(LR_Code,MATCH(B208,LR_Lane,0)),INDEX(DH_Table,0,MATCH(B208&amp;"*",DH_Head,0)))-1))</f>
        <v/>
      </c>
      <c r="T208" s="127" t="n"/>
      <c r="U208" s="112">
        <f>IF(V208&lt;&gt;"",V208,IF(IFERROR(INDEX(RS_Flag,MATCH(B208,RS_Lane,0)),"")="Yes",IF(IFERROR(INDEX(RS_Loc,MATCH(B208,RS_Lane,0)),"")="","Regional stock",IFERROR(INDEX(RS_Loc,MATCH(B208,RS_Lane,0)),"")),"Helmond"))</f>
        <v/>
      </c>
      <c r="V208" s="141" t="n"/>
      <c r="W208" s="142" t="n"/>
      <c r="X208" s="143" t="n"/>
      <c r="Y208" s="116">
        <f>IF(X208&lt;&gt;"",X208,IF(U208="Helmond",IF(COUNTIFS(RC_Lane,B208,RC_Band,E208,RC_CostPS,"&gt;0")=0,"",SUMIFS(RC_CostPS,RC_Lane,B208,RC_Band,E208)*(1-SUMIFS(RC_Disc,RC_Lane,B208,RC_Band,E208))),IF(U208="Other","",IF(INDEX(RS_Rate,MATCH(B208,RS_Lane,0))="","",INDEX(RS_Rate,MATCH(B208,RS_Lane,0))))))</f>
        <v/>
      </c>
    </row>
    <row r="209">
      <c r="A209" s="95" t="inlineStr">
        <is>
          <t>B-205</t>
        </is>
      </c>
      <c r="B209" s="112" t="inlineStr">
        <is>
          <t>L04</t>
        </is>
      </c>
      <c r="C209" s="101" t="inlineStr">
        <is>
          <t>Qatar</t>
        </is>
      </c>
      <c r="D209" s="101" t="inlineStr">
        <is>
          <t>Doha</t>
        </is>
      </c>
      <c r="E209" s="101" t="inlineStr">
        <is>
          <t>B1  0 to 30 kg</t>
        </is>
      </c>
      <c r="F209" s="123" t="n">
        <v>7.8</v>
      </c>
      <c r="G209" s="86">
        <f>F209*0.006477</f>
        <v/>
      </c>
      <c r="H209" s="123">
        <f>F209*1.079436</f>
        <v/>
      </c>
      <c r="I209" s="122">
        <f>MAX(1,ROUNDUP(G209/0.096,0))</f>
        <v/>
      </c>
      <c r="J209" s="84" t="n">
        <v>46631</v>
      </c>
      <c r="K209" s="87">
        <f>J209-WEEKDAY(J209,2)+1</f>
        <v/>
      </c>
      <c r="L209" s="84">
        <f>J209</f>
        <v/>
      </c>
      <c r="M209" s="52">
        <f>INDEX(LR_Target,MATCH(B209,LR_Lane,0))</f>
        <v/>
      </c>
      <c r="N209" s="84">
        <f>WORKDAY.INTL(L209,M209,INDEX(LR_Code,MATCH(B209,LR_Lane,0)),INDEX(DH_Table,0,MATCH(B209&amp;"*",DH_Head,0)))</f>
        <v/>
      </c>
      <c r="O209" s="65">
        <f>IF(W209&lt;&gt;"",W209,IF(U209="Helmond",IF(COUNTIFS(RC_Lane,B209,RC_Band,E209,RC_Transit,"&lt;&gt;")=0,"",SUMIFS(RC_Transit,RC_Lane,B209,RC_Band,E209)),IF(U209="Other","",IF(INDEX(RS_Transit,MATCH(B209,RS_Lane,0))="","",INDEX(RS_Transit,MATCH(B209,RS_Lane,0))))))</f>
        <v/>
      </c>
      <c r="P209" s="140" t="n"/>
      <c r="Q209" s="84">
        <f>IF(P209&lt;&gt;"",P209,IF(O209="","",WORKDAY.INTL(L209,ROUNDUP(O209,0),INDEX(LR_Code,MATCH(B209,LR_Lane,0)),INDEX(DH_Table,0,MATCH(B209&amp;"*",DH_Head,0)))))</f>
        <v/>
      </c>
      <c r="R209" s="100">
        <f>IF(Q209="","",IF(Q209&lt;=N209,"Yes","No"))</f>
        <v/>
      </c>
      <c r="S209" s="52">
        <f>IF(Q209="","",IF(Q209&lt;=N209,0,NETWORKDAYS.INTL(N209,Q209,INDEX(LR_Code,MATCH(B209,LR_Lane,0)),INDEX(DH_Table,0,MATCH(B209&amp;"*",DH_Head,0)))-1))</f>
        <v/>
      </c>
      <c r="T209" s="127" t="n"/>
      <c r="U209" s="112">
        <f>IF(V209&lt;&gt;"",V209,IF(IFERROR(INDEX(RS_Flag,MATCH(B209,RS_Lane,0)),"")="Yes",IF(IFERROR(INDEX(RS_Loc,MATCH(B209,RS_Lane,0)),"")="","Regional stock",IFERROR(INDEX(RS_Loc,MATCH(B209,RS_Lane,0)),"")),"Helmond"))</f>
        <v/>
      </c>
      <c r="V209" s="141" t="n"/>
      <c r="W209" s="142" t="n"/>
      <c r="X209" s="143" t="n"/>
      <c r="Y209" s="116">
        <f>IF(X209&lt;&gt;"",X209,IF(U209="Helmond",IF(COUNTIFS(RC_Lane,B209,RC_Band,E209,RC_CostPS,"&gt;0")=0,"",SUMIFS(RC_CostPS,RC_Lane,B209,RC_Band,E209)*(1-SUMIFS(RC_Disc,RC_Lane,B209,RC_Band,E209))),IF(U209="Other","",IF(INDEX(RS_Rate,MATCH(B209,RS_Lane,0))="","",INDEX(RS_Rate,MATCH(B209,RS_Lane,0))))))</f>
        <v/>
      </c>
    </row>
    <row r="210">
      <c r="A210" s="95" t="inlineStr">
        <is>
          <t>B-206</t>
        </is>
      </c>
      <c r="B210" s="112" t="inlineStr">
        <is>
          <t>L01</t>
        </is>
      </c>
      <c r="C210" s="101" t="inlineStr">
        <is>
          <t>Saudi Arabia</t>
        </is>
      </c>
      <c r="D210" s="101" t="inlineStr">
        <is>
          <t>Jeddah</t>
        </is>
      </c>
      <c r="E210" s="101" t="inlineStr">
        <is>
          <t>B1  0 to 30 kg</t>
        </is>
      </c>
      <c r="F210" s="123" t="n">
        <v>3.8</v>
      </c>
      <c r="G210" s="86">
        <f>F210*0.006477</f>
        <v/>
      </c>
      <c r="H210" s="123">
        <f>F210*1.079436</f>
        <v/>
      </c>
      <c r="I210" s="122">
        <f>MAX(1,ROUNDUP(G210/0.096,0))</f>
        <v/>
      </c>
      <c r="J210" s="84" t="n">
        <v>46632</v>
      </c>
      <c r="K210" s="87">
        <f>J210-WEEKDAY(J210,2)+1</f>
        <v/>
      </c>
      <c r="L210" s="84">
        <f>J210</f>
        <v/>
      </c>
      <c r="M210" s="52">
        <f>INDEX(LR_Target,MATCH(B210,LR_Lane,0))</f>
        <v/>
      </c>
      <c r="N210" s="84">
        <f>WORKDAY.INTL(L210,M210,INDEX(LR_Code,MATCH(B210,LR_Lane,0)),INDEX(DH_Table,0,MATCH(B210&amp;"*",DH_Head,0)))</f>
        <v/>
      </c>
      <c r="O210" s="65">
        <f>IF(W210&lt;&gt;"",W210,IF(U210="Helmond",IF(COUNTIFS(RC_Lane,B210,RC_Band,E210,RC_Transit,"&lt;&gt;")=0,"",SUMIFS(RC_Transit,RC_Lane,B210,RC_Band,E210)),IF(U210="Other","",IF(INDEX(RS_Transit,MATCH(B210,RS_Lane,0))="","",INDEX(RS_Transit,MATCH(B210,RS_Lane,0))))))</f>
        <v/>
      </c>
      <c r="P210" s="140" t="n"/>
      <c r="Q210" s="84">
        <f>IF(P210&lt;&gt;"",P210,IF(O210="","",WORKDAY.INTL(L210,ROUNDUP(O210,0),INDEX(LR_Code,MATCH(B210,LR_Lane,0)),INDEX(DH_Table,0,MATCH(B210&amp;"*",DH_Head,0)))))</f>
        <v/>
      </c>
      <c r="R210" s="100">
        <f>IF(Q210="","",IF(Q210&lt;=N210,"Yes","No"))</f>
        <v/>
      </c>
      <c r="S210" s="52">
        <f>IF(Q210="","",IF(Q210&lt;=N210,0,NETWORKDAYS.INTL(N210,Q210,INDEX(LR_Code,MATCH(B210,LR_Lane,0)),INDEX(DH_Table,0,MATCH(B210&amp;"*",DH_Head,0)))-1))</f>
        <v/>
      </c>
      <c r="T210" s="127" t="n"/>
      <c r="U210" s="112">
        <f>IF(V210&lt;&gt;"",V210,IF(IFERROR(INDEX(RS_Flag,MATCH(B210,RS_Lane,0)),"")="Yes",IF(IFERROR(INDEX(RS_Loc,MATCH(B210,RS_Lane,0)),"")="","Regional stock",IFERROR(INDEX(RS_Loc,MATCH(B210,RS_Lane,0)),"")),"Helmond"))</f>
        <v/>
      </c>
      <c r="V210" s="141" t="n"/>
      <c r="W210" s="142" t="n"/>
      <c r="X210" s="143" t="n"/>
      <c r="Y210" s="116">
        <f>IF(X210&lt;&gt;"",X210,IF(U210="Helmond",IF(COUNTIFS(RC_Lane,B210,RC_Band,E210,RC_CostPS,"&gt;0")=0,"",SUMIFS(RC_CostPS,RC_Lane,B210,RC_Band,E210)*(1-SUMIFS(RC_Disc,RC_Lane,B210,RC_Band,E210))),IF(U210="Other","",IF(INDEX(RS_Rate,MATCH(B210,RS_Lane,0))="","",INDEX(RS_Rate,MATCH(B210,RS_Lane,0))))))</f>
        <v/>
      </c>
    </row>
    <row r="211">
      <c r="A211" s="95" t="inlineStr">
        <is>
          <t>B-207</t>
        </is>
      </c>
      <c r="B211" s="112" t="inlineStr">
        <is>
          <t>L07</t>
        </is>
      </c>
      <c r="C211" s="101" t="inlineStr">
        <is>
          <t>Algeria</t>
        </is>
      </c>
      <c r="D211" s="101" t="inlineStr">
        <is>
          <t>Algiers</t>
        </is>
      </c>
      <c r="E211" s="101" t="inlineStr">
        <is>
          <t>B3  100 to 500 kg</t>
        </is>
      </c>
      <c r="F211" s="123" t="n">
        <v>340</v>
      </c>
      <c r="G211" s="86">
        <f>F211*0.006477</f>
        <v/>
      </c>
      <c r="H211" s="123">
        <f>F211*1.079436</f>
        <v/>
      </c>
      <c r="I211" s="122">
        <f>MAX(1,ROUNDUP(G211/0.096,0))</f>
        <v/>
      </c>
      <c r="J211" s="84" t="n">
        <v>46632</v>
      </c>
      <c r="K211" s="87">
        <f>J211-WEEKDAY(J211,2)+1</f>
        <v/>
      </c>
      <c r="L211" s="84">
        <f>J211</f>
        <v/>
      </c>
      <c r="M211" s="52">
        <f>INDEX(LR_Target,MATCH(B211,LR_Lane,0))</f>
        <v/>
      </c>
      <c r="N211" s="84">
        <f>WORKDAY.INTL(L211,M211,INDEX(LR_Code,MATCH(B211,LR_Lane,0)),INDEX(DH_Table,0,MATCH(B211&amp;"*",DH_Head,0)))</f>
        <v/>
      </c>
      <c r="O211" s="65">
        <f>IF(W211&lt;&gt;"",W211,IF(U211="Helmond",IF(COUNTIFS(RC_Lane,B211,RC_Band,E211,RC_Transit,"&lt;&gt;")=0,"",SUMIFS(RC_Transit,RC_Lane,B211,RC_Band,E211)),IF(U211="Other","",IF(INDEX(RS_Transit,MATCH(B211,RS_Lane,0))="","",INDEX(RS_Transit,MATCH(B211,RS_Lane,0))))))</f>
        <v/>
      </c>
      <c r="P211" s="140" t="n"/>
      <c r="Q211" s="84">
        <f>IF(P211&lt;&gt;"",P211,IF(O211="","",WORKDAY.INTL(L211,ROUNDUP(O211,0),INDEX(LR_Code,MATCH(B211,LR_Lane,0)),INDEX(DH_Table,0,MATCH(B211&amp;"*",DH_Head,0)))))</f>
        <v/>
      </c>
      <c r="R211" s="100">
        <f>IF(Q211="","",IF(Q211&lt;=N211,"Yes","No"))</f>
        <v/>
      </c>
      <c r="S211" s="52">
        <f>IF(Q211="","",IF(Q211&lt;=N211,0,NETWORKDAYS.INTL(N211,Q211,INDEX(LR_Code,MATCH(B211,LR_Lane,0)),INDEX(DH_Table,0,MATCH(B211&amp;"*",DH_Head,0)))-1))</f>
        <v/>
      </c>
      <c r="T211" s="127" t="n"/>
      <c r="U211" s="112">
        <f>IF(V211&lt;&gt;"",V211,IF(IFERROR(INDEX(RS_Flag,MATCH(B211,RS_Lane,0)),"")="Yes",IF(IFERROR(INDEX(RS_Loc,MATCH(B211,RS_Lane,0)),"")="","Regional stock",IFERROR(INDEX(RS_Loc,MATCH(B211,RS_Lane,0)),"")),"Helmond"))</f>
        <v/>
      </c>
      <c r="V211" s="141" t="n"/>
      <c r="W211" s="142" t="n"/>
      <c r="X211" s="143" t="n"/>
      <c r="Y211" s="116">
        <f>IF(X211&lt;&gt;"",X211,IF(U211="Helmond",IF(COUNTIFS(RC_Lane,B211,RC_Band,E211,RC_CostPS,"&gt;0")=0,"",SUMIFS(RC_CostPS,RC_Lane,B211,RC_Band,E211)*(1-SUMIFS(RC_Disc,RC_Lane,B211,RC_Band,E211))),IF(U211="Other","",IF(INDEX(RS_Rate,MATCH(B211,RS_Lane,0))="","",INDEX(RS_Rate,MATCH(B211,RS_Lane,0))))))</f>
        <v/>
      </c>
    </row>
    <row r="212">
      <c r="A212" s="95" t="inlineStr">
        <is>
          <t>B-208</t>
        </is>
      </c>
      <c r="B212" s="112" t="inlineStr">
        <is>
          <t>L01</t>
        </is>
      </c>
      <c r="C212" s="101" t="inlineStr">
        <is>
          <t>Saudi Arabia</t>
        </is>
      </c>
      <c r="D212" s="101" t="inlineStr">
        <is>
          <t>Riyadh</t>
        </is>
      </c>
      <c r="E212" s="101" t="inlineStr">
        <is>
          <t>B1  0 to 30 kg</t>
        </is>
      </c>
      <c r="F212" s="123" t="n">
        <v>11.7</v>
      </c>
      <c r="G212" s="86">
        <f>F212*0.006477</f>
        <v/>
      </c>
      <c r="H212" s="123">
        <f>F212*1.079436</f>
        <v/>
      </c>
      <c r="I212" s="122">
        <f>MAX(1,ROUNDUP(G212/0.096,0))</f>
        <v/>
      </c>
      <c r="J212" s="84" t="n">
        <v>46633</v>
      </c>
      <c r="K212" s="87">
        <f>J212-WEEKDAY(J212,2)+1</f>
        <v/>
      </c>
      <c r="L212" s="84">
        <f>J212</f>
        <v/>
      </c>
      <c r="M212" s="52">
        <f>INDEX(LR_Target,MATCH(B212,LR_Lane,0))</f>
        <v/>
      </c>
      <c r="N212" s="84">
        <f>WORKDAY.INTL(L212,M212,INDEX(LR_Code,MATCH(B212,LR_Lane,0)),INDEX(DH_Table,0,MATCH(B212&amp;"*",DH_Head,0)))</f>
        <v/>
      </c>
      <c r="O212" s="65">
        <f>IF(W212&lt;&gt;"",W212,IF(U212="Helmond",IF(COUNTIFS(RC_Lane,B212,RC_Band,E212,RC_Transit,"&lt;&gt;")=0,"",SUMIFS(RC_Transit,RC_Lane,B212,RC_Band,E212)),IF(U212="Other","",IF(INDEX(RS_Transit,MATCH(B212,RS_Lane,0))="","",INDEX(RS_Transit,MATCH(B212,RS_Lane,0))))))</f>
        <v/>
      </c>
      <c r="P212" s="140" t="n"/>
      <c r="Q212" s="84">
        <f>IF(P212&lt;&gt;"",P212,IF(O212="","",WORKDAY.INTL(L212,ROUNDUP(O212,0),INDEX(LR_Code,MATCH(B212,LR_Lane,0)),INDEX(DH_Table,0,MATCH(B212&amp;"*",DH_Head,0)))))</f>
        <v/>
      </c>
      <c r="R212" s="100">
        <f>IF(Q212="","",IF(Q212&lt;=N212,"Yes","No"))</f>
        <v/>
      </c>
      <c r="S212" s="52">
        <f>IF(Q212="","",IF(Q212&lt;=N212,0,NETWORKDAYS.INTL(N212,Q212,INDEX(LR_Code,MATCH(B212,LR_Lane,0)),INDEX(DH_Table,0,MATCH(B212&amp;"*",DH_Head,0)))-1))</f>
        <v/>
      </c>
      <c r="T212" s="127" t="n"/>
      <c r="U212" s="112">
        <f>IF(V212&lt;&gt;"",V212,IF(IFERROR(INDEX(RS_Flag,MATCH(B212,RS_Lane,0)),"")="Yes",IF(IFERROR(INDEX(RS_Loc,MATCH(B212,RS_Lane,0)),"")="","Regional stock",IFERROR(INDEX(RS_Loc,MATCH(B212,RS_Lane,0)),"")),"Helmond"))</f>
        <v/>
      </c>
      <c r="V212" s="141" t="n"/>
      <c r="W212" s="142" t="n"/>
      <c r="X212" s="143" t="n"/>
      <c r="Y212" s="116">
        <f>IF(X212&lt;&gt;"",X212,IF(U212="Helmond",IF(COUNTIFS(RC_Lane,B212,RC_Band,E212,RC_CostPS,"&gt;0")=0,"",SUMIFS(RC_CostPS,RC_Lane,B212,RC_Band,E212)*(1-SUMIFS(RC_Disc,RC_Lane,B212,RC_Band,E212))),IF(U212="Other","",IF(INDEX(RS_Rate,MATCH(B212,RS_Lane,0))="","",INDEX(RS_Rate,MATCH(B212,RS_Lane,0))))))</f>
        <v/>
      </c>
    </row>
    <row r="213">
      <c r="A213" s="95" t="inlineStr">
        <is>
          <t>B-209</t>
        </is>
      </c>
      <c r="B213" s="112" t="inlineStr">
        <is>
          <t>L02</t>
        </is>
      </c>
      <c r="C213" s="101" t="inlineStr">
        <is>
          <t>United Arab Emirates</t>
        </is>
      </c>
      <c r="D213" s="101" t="inlineStr">
        <is>
          <t>Dubai</t>
        </is>
      </c>
      <c r="E213" s="101" t="inlineStr">
        <is>
          <t>B1  0 to 30 kg</t>
        </is>
      </c>
      <c r="F213" s="123" t="n">
        <v>11.2</v>
      </c>
      <c r="G213" s="86">
        <f>F213*0.006477</f>
        <v/>
      </c>
      <c r="H213" s="123">
        <f>F213*1.079436</f>
        <v/>
      </c>
      <c r="I213" s="122">
        <f>MAX(1,ROUNDUP(G213/0.096,0))</f>
        <v/>
      </c>
      <c r="J213" s="84" t="n">
        <v>46633</v>
      </c>
      <c r="K213" s="87">
        <f>J213-WEEKDAY(J213,2)+1</f>
        <v/>
      </c>
      <c r="L213" s="84">
        <f>J213</f>
        <v/>
      </c>
      <c r="M213" s="52">
        <f>INDEX(LR_Target,MATCH(B213,LR_Lane,0))</f>
        <v/>
      </c>
      <c r="N213" s="84">
        <f>WORKDAY.INTL(L213,M213,INDEX(LR_Code,MATCH(B213,LR_Lane,0)),INDEX(DH_Table,0,MATCH(B213&amp;"*",DH_Head,0)))</f>
        <v/>
      </c>
      <c r="O213" s="65">
        <f>IF(W213&lt;&gt;"",W213,IF(U213="Helmond",IF(COUNTIFS(RC_Lane,B213,RC_Band,E213,RC_Transit,"&lt;&gt;")=0,"",SUMIFS(RC_Transit,RC_Lane,B213,RC_Band,E213)),IF(U213="Other","",IF(INDEX(RS_Transit,MATCH(B213,RS_Lane,0))="","",INDEX(RS_Transit,MATCH(B213,RS_Lane,0))))))</f>
        <v/>
      </c>
      <c r="P213" s="140" t="n"/>
      <c r="Q213" s="84">
        <f>IF(P213&lt;&gt;"",P213,IF(O213="","",WORKDAY.INTL(L213,ROUNDUP(O213,0),INDEX(LR_Code,MATCH(B213,LR_Lane,0)),INDEX(DH_Table,0,MATCH(B213&amp;"*",DH_Head,0)))))</f>
        <v/>
      </c>
      <c r="R213" s="100">
        <f>IF(Q213="","",IF(Q213&lt;=N213,"Yes","No"))</f>
        <v/>
      </c>
      <c r="S213" s="52">
        <f>IF(Q213="","",IF(Q213&lt;=N213,0,NETWORKDAYS.INTL(N213,Q213,INDEX(LR_Code,MATCH(B213,LR_Lane,0)),INDEX(DH_Table,0,MATCH(B213&amp;"*",DH_Head,0)))-1))</f>
        <v/>
      </c>
      <c r="T213" s="127" t="n"/>
      <c r="U213" s="112">
        <f>IF(V213&lt;&gt;"",V213,IF(IFERROR(INDEX(RS_Flag,MATCH(B213,RS_Lane,0)),"")="Yes",IF(IFERROR(INDEX(RS_Loc,MATCH(B213,RS_Lane,0)),"")="","Regional stock",IFERROR(INDEX(RS_Loc,MATCH(B213,RS_Lane,0)),"")),"Helmond"))</f>
        <v/>
      </c>
      <c r="V213" s="141" t="n"/>
      <c r="W213" s="142" t="n"/>
      <c r="X213" s="143" t="n"/>
      <c r="Y213" s="116">
        <f>IF(X213&lt;&gt;"",X213,IF(U213="Helmond",IF(COUNTIFS(RC_Lane,B213,RC_Band,E213,RC_CostPS,"&gt;0")=0,"",SUMIFS(RC_CostPS,RC_Lane,B213,RC_Band,E213)*(1-SUMIFS(RC_Disc,RC_Lane,B213,RC_Band,E213))),IF(U213="Other","",IF(INDEX(RS_Rate,MATCH(B213,RS_Lane,0))="","",INDEX(RS_Rate,MATCH(B213,RS_Lane,0))))))</f>
        <v/>
      </c>
    </row>
    <row r="214">
      <c r="A214" s="95" t="inlineStr">
        <is>
          <t>B-210</t>
        </is>
      </c>
      <c r="B214" s="112" t="inlineStr">
        <is>
          <t>L02</t>
        </is>
      </c>
      <c r="C214" s="101" t="inlineStr">
        <is>
          <t>United Arab Emirates</t>
        </is>
      </c>
      <c r="D214" s="101" t="inlineStr">
        <is>
          <t>Dubai</t>
        </is>
      </c>
      <c r="E214" s="101" t="inlineStr">
        <is>
          <t>B1  0 to 30 kg</t>
        </is>
      </c>
      <c r="F214" s="123" t="n">
        <v>14.3</v>
      </c>
      <c r="G214" s="86">
        <f>F214*0.006477</f>
        <v/>
      </c>
      <c r="H214" s="123">
        <f>F214*1.079436</f>
        <v/>
      </c>
      <c r="I214" s="122">
        <f>MAX(1,ROUNDUP(G214/0.096,0))</f>
        <v/>
      </c>
      <c r="J214" s="84" t="n">
        <v>46633</v>
      </c>
      <c r="K214" s="87">
        <f>J214-WEEKDAY(J214,2)+1</f>
        <v/>
      </c>
      <c r="L214" s="84">
        <f>J214</f>
        <v/>
      </c>
      <c r="M214" s="52">
        <f>INDEX(LR_Target,MATCH(B214,LR_Lane,0))</f>
        <v/>
      </c>
      <c r="N214" s="84">
        <f>WORKDAY.INTL(L214,M214,INDEX(LR_Code,MATCH(B214,LR_Lane,0)),INDEX(DH_Table,0,MATCH(B214&amp;"*",DH_Head,0)))</f>
        <v/>
      </c>
      <c r="O214" s="65">
        <f>IF(W214&lt;&gt;"",W214,IF(U214="Helmond",IF(COUNTIFS(RC_Lane,B214,RC_Band,E214,RC_Transit,"&lt;&gt;")=0,"",SUMIFS(RC_Transit,RC_Lane,B214,RC_Band,E214)),IF(U214="Other","",IF(INDEX(RS_Transit,MATCH(B214,RS_Lane,0))="","",INDEX(RS_Transit,MATCH(B214,RS_Lane,0))))))</f>
        <v/>
      </c>
      <c r="P214" s="140" t="n"/>
      <c r="Q214" s="84">
        <f>IF(P214&lt;&gt;"",P214,IF(O214="","",WORKDAY.INTL(L214,ROUNDUP(O214,0),INDEX(LR_Code,MATCH(B214,LR_Lane,0)),INDEX(DH_Table,0,MATCH(B214&amp;"*",DH_Head,0)))))</f>
        <v/>
      </c>
      <c r="R214" s="100">
        <f>IF(Q214="","",IF(Q214&lt;=N214,"Yes","No"))</f>
        <v/>
      </c>
      <c r="S214" s="52">
        <f>IF(Q214="","",IF(Q214&lt;=N214,0,NETWORKDAYS.INTL(N214,Q214,INDEX(LR_Code,MATCH(B214,LR_Lane,0)),INDEX(DH_Table,0,MATCH(B214&amp;"*",DH_Head,0)))-1))</f>
        <v/>
      </c>
      <c r="T214" s="127" t="n"/>
      <c r="U214" s="112">
        <f>IF(V214&lt;&gt;"",V214,IF(IFERROR(INDEX(RS_Flag,MATCH(B214,RS_Lane,0)),"")="Yes",IF(IFERROR(INDEX(RS_Loc,MATCH(B214,RS_Lane,0)),"")="","Regional stock",IFERROR(INDEX(RS_Loc,MATCH(B214,RS_Lane,0)),"")),"Helmond"))</f>
        <v/>
      </c>
      <c r="V214" s="141" t="n"/>
      <c r="W214" s="142" t="n"/>
      <c r="X214" s="143" t="n"/>
      <c r="Y214" s="116">
        <f>IF(X214&lt;&gt;"",X214,IF(U214="Helmond",IF(COUNTIFS(RC_Lane,B214,RC_Band,E214,RC_CostPS,"&gt;0")=0,"",SUMIFS(RC_CostPS,RC_Lane,B214,RC_Band,E214)*(1-SUMIFS(RC_Disc,RC_Lane,B214,RC_Band,E214))),IF(U214="Other","",IF(INDEX(RS_Rate,MATCH(B214,RS_Lane,0))="","",INDEX(RS_Rate,MATCH(B214,RS_Lane,0))))))</f>
        <v/>
      </c>
    </row>
    <row r="215">
      <c r="A215" s="95" t="inlineStr">
        <is>
          <t>B-211</t>
        </is>
      </c>
      <c r="B215" s="112" t="inlineStr">
        <is>
          <t>L05</t>
        </is>
      </c>
      <c r="C215" s="101" t="inlineStr">
        <is>
          <t>Türkiye</t>
        </is>
      </c>
      <c r="D215" s="101" t="inlineStr">
        <is>
          <t>Istanbul</t>
        </is>
      </c>
      <c r="E215" s="101" t="inlineStr">
        <is>
          <t>B1  0 to 30 kg</t>
        </is>
      </c>
      <c r="F215" s="123" t="n">
        <v>7.2</v>
      </c>
      <c r="G215" s="86">
        <f>F215*0.006477</f>
        <v/>
      </c>
      <c r="H215" s="123">
        <f>F215*1.079436</f>
        <v/>
      </c>
      <c r="I215" s="122">
        <f>MAX(1,ROUNDUP(G215/0.096,0))</f>
        <v/>
      </c>
      <c r="J215" s="84" t="n">
        <v>46633</v>
      </c>
      <c r="K215" s="87">
        <f>J215-WEEKDAY(J215,2)+1</f>
        <v/>
      </c>
      <c r="L215" s="84">
        <f>J215</f>
        <v/>
      </c>
      <c r="M215" s="52">
        <f>INDEX(LR_Target,MATCH(B215,LR_Lane,0))</f>
        <v/>
      </c>
      <c r="N215" s="84">
        <f>WORKDAY.INTL(L215,M215,INDEX(LR_Code,MATCH(B215,LR_Lane,0)),INDEX(DH_Table,0,MATCH(B215&amp;"*",DH_Head,0)))</f>
        <v/>
      </c>
      <c r="O215" s="65">
        <f>IF(W215&lt;&gt;"",W215,IF(U215="Helmond",IF(COUNTIFS(RC_Lane,B215,RC_Band,E215,RC_Transit,"&lt;&gt;")=0,"",SUMIFS(RC_Transit,RC_Lane,B215,RC_Band,E215)),IF(U215="Other","",IF(INDEX(RS_Transit,MATCH(B215,RS_Lane,0))="","",INDEX(RS_Transit,MATCH(B215,RS_Lane,0))))))</f>
        <v/>
      </c>
      <c r="P215" s="140" t="n"/>
      <c r="Q215" s="84">
        <f>IF(P215&lt;&gt;"",P215,IF(O215="","",WORKDAY.INTL(L215,ROUNDUP(O215,0),INDEX(LR_Code,MATCH(B215,LR_Lane,0)),INDEX(DH_Table,0,MATCH(B215&amp;"*",DH_Head,0)))))</f>
        <v/>
      </c>
      <c r="R215" s="100">
        <f>IF(Q215="","",IF(Q215&lt;=N215,"Yes","No"))</f>
        <v/>
      </c>
      <c r="S215" s="52">
        <f>IF(Q215="","",IF(Q215&lt;=N215,0,NETWORKDAYS.INTL(N215,Q215,INDEX(LR_Code,MATCH(B215,LR_Lane,0)),INDEX(DH_Table,0,MATCH(B215&amp;"*",DH_Head,0)))-1))</f>
        <v/>
      </c>
      <c r="T215" s="127" t="n"/>
      <c r="U215" s="112">
        <f>IF(V215&lt;&gt;"",V215,IF(IFERROR(INDEX(RS_Flag,MATCH(B215,RS_Lane,0)),"")="Yes",IF(IFERROR(INDEX(RS_Loc,MATCH(B215,RS_Lane,0)),"")="","Regional stock",IFERROR(INDEX(RS_Loc,MATCH(B215,RS_Lane,0)),"")),"Helmond"))</f>
        <v/>
      </c>
      <c r="V215" s="141" t="n"/>
      <c r="W215" s="142" t="n"/>
      <c r="X215" s="143" t="n"/>
      <c r="Y215" s="116">
        <f>IF(X215&lt;&gt;"",X215,IF(U215="Helmond",IF(COUNTIFS(RC_Lane,B215,RC_Band,E215,RC_CostPS,"&gt;0")=0,"",SUMIFS(RC_CostPS,RC_Lane,B215,RC_Band,E215)*(1-SUMIFS(RC_Disc,RC_Lane,B215,RC_Band,E215))),IF(U215="Other","",IF(INDEX(RS_Rate,MATCH(B215,RS_Lane,0))="","",INDEX(RS_Rate,MATCH(B215,RS_Lane,0))))))</f>
        <v/>
      </c>
    </row>
    <row r="216">
      <c r="A216" s="95" t="inlineStr">
        <is>
          <t>B-212</t>
        </is>
      </c>
      <c r="B216" s="112" t="inlineStr">
        <is>
          <t>L08</t>
        </is>
      </c>
      <c r="C216" s="101" t="inlineStr">
        <is>
          <t>Egypt</t>
        </is>
      </c>
      <c r="D216" s="101" t="inlineStr">
        <is>
          <t>Cairo area</t>
        </is>
      </c>
      <c r="E216" s="101" t="inlineStr">
        <is>
          <t>B1  0 to 30 kg</t>
        </is>
      </c>
      <c r="F216" s="123" t="n">
        <v>3.4</v>
      </c>
      <c r="G216" s="86">
        <f>F216*0.006477</f>
        <v/>
      </c>
      <c r="H216" s="123">
        <f>F216*1.079436</f>
        <v/>
      </c>
      <c r="I216" s="122">
        <f>MAX(1,ROUNDUP(G216/0.096,0))</f>
        <v/>
      </c>
      <c r="J216" s="84" t="n">
        <v>46633</v>
      </c>
      <c r="K216" s="87">
        <f>J216-WEEKDAY(J216,2)+1</f>
        <v/>
      </c>
      <c r="L216" s="84">
        <f>J216</f>
        <v/>
      </c>
      <c r="M216" s="52">
        <f>INDEX(LR_Target,MATCH(B216,LR_Lane,0))</f>
        <v/>
      </c>
      <c r="N216" s="84">
        <f>WORKDAY.INTL(L216,M216,INDEX(LR_Code,MATCH(B216,LR_Lane,0)),INDEX(DH_Table,0,MATCH(B216&amp;"*",DH_Head,0)))</f>
        <v/>
      </c>
      <c r="O216" s="65">
        <f>IF(W216&lt;&gt;"",W216,IF(U216="Helmond",IF(COUNTIFS(RC_Lane,B216,RC_Band,E216,RC_Transit,"&lt;&gt;")=0,"",SUMIFS(RC_Transit,RC_Lane,B216,RC_Band,E216)),IF(U216="Other","",IF(INDEX(RS_Transit,MATCH(B216,RS_Lane,0))="","",INDEX(RS_Transit,MATCH(B216,RS_Lane,0))))))</f>
        <v/>
      </c>
      <c r="P216" s="140" t="n"/>
      <c r="Q216" s="84">
        <f>IF(P216&lt;&gt;"",P216,IF(O216="","",WORKDAY.INTL(L216,ROUNDUP(O216,0),INDEX(LR_Code,MATCH(B216,LR_Lane,0)),INDEX(DH_Table,0,MATCH(B216&amp;"*",DH_Head,0)))))</f>
        <v/>
      </c>
      <c r="R216" s="100">
        <f>IF(Q216="","",IF(Q216&lt;=N216,"Yes","No"))</f>
        <v/>
      </c>
      <c r="S216" s="52">
        <f>IF(Q216="","",IF(Q216&lt;=N216,0,NETWORKDAYS.INTL(N216,Q216,INDEX(LR_Code,MATCH(B216,LR_Lane,0)),INDEX(DH_Table,0,MATCH(B216&amp;"*",DH_Head,0)))-1))</f>
        <v/>
      </c>
      <c r="T216" s="127" t="n"/>
      <c r="U216" s="112">
        <f>IF(V216&lt;&gt;"",V216,IF(IFERROR(INDEX(RS_Flag,MATCH(B216,RS_Lane,0)),"")="Yes",IF(IFERROR(INDEX(RS_Loc,MATCH(B216,RS_Lane,0)),"")="","Regional stock",IFERROR(INDEX(RS_Loc,MATCH(B216,RS_Lane,0)),"")),"Helmond"))</f>
        <v/>
      </c>
      <c r="V216" s="141" t="n"/>
      <c r="W216" s="142" t="n"/>
      <c r="X216" s="143" t="n"/>
      <c r="Y216" s="116">
        <f>IF(X216&lt;&gt;"",X216,IF(U216="Helmond",IF(COUNTIFS(RC_Lane,B216,RC_Band,E216,RC_CostPS,"&gt;0")=0,"",SUMIFS(RC_CostPS,RC_Lane,B216,RC_Band,E216)*(1-SUMIFS(RC_Disc,RC_Lane,B216,RC_Band,E216))),IF(U216="Other","",IF(INDEX(RS_Rate,MATCH(B216,RS_Lane,0))="","",INDEX(RS_Rate,MATCH(B216,RS_Lane,0))))))</f>
        <v/>
      </c>
    </row>
    <row r="217">
      <c r="A217" s="95" t="inlineStr">
        <is>
          <t>B-213</t>
        </is>
      </c>
      <c r="B217" s="112" t="inlineStr">
        <is>
          <t>L02</t>
        </is>
      </c>
      <c r="C217" s="101" t="inlineStr">
        <is>
          <t>United Arab Emirates</t>
        </is>
      </c>
      <c r="D217" s="101" t="inlineStr">
        <is>
          <t>Dubai</t>
        </is>
      </c>
      <c r="E217" s="101" t="inlineStr">
        <is>
          <t>B1  0 to 30 kg</t>
        </is>
      </c>
      <c r="F217" s="123" t="n">
        <v>5.3</v>
      </c>
      <c r="G217" s="86">
        <f>F217*0.006477</f>
        <v/>
      </c>
      <c r="H217" s="123">
        <f>F217*1.079436</f>
        <v/>
      </c>
      <c r="I217" s="122">
        <f>MAX(1,ROUNDUP(G217/0.096,0))</f>
        <v/>
      </c>
      <c r="J217" s="84" t="n">
        <v>46636</v>
      </c>
      <c r="K217" s="87">
        <f>J217-WEEKDAY(J217,2)+1</f>
        <v/>
      </c>
      <c r="L217" s="84">
        <f>J217</f>
        <v/>
      </c>
      <c r="M217" s="52">
        <f>INDEX(LR_Target,MATCH(B217,LR_Lane,0))</f>
        <v/>
      </c>
      <c r="N217" s="84">
        <f>WORKDAY.INTL(L217,M217,INDEX(LR_Code,MATCH(B217,LR_Lane,0)),INDEX(DH_Table,0,MATCH(B217&amp;"*",DH_Head,0)))</f>
        <v/>
      </c>
      <c r="O217" s="65">
        <f>IF(W217&lt;&gt;"",W217,IF(U217="Helmond",IF(COUNTIFS(RC_Lane,B217,RC_Band,E217,RC_Transit,"&lt;&gt;")=0,"",SUMIFS(RC_Transit,RC_Lane,B217,RC_Band,E217)),IF(U217="Other","",IF(INDEX(RS_Transit,MATCH(B217,RS_Lane,0))="","",INDEX(RS_Transit,MATCH(B217,RS_Lane,0))))))</f>
        <v/>
      </c>
      <c r="P217" s="140" t="n"/>
      <c r="Q217" s="84">
        <f>IF(P217&lt;&gt;"",P217,IF(O217="","",WORKDAY.INTL(L217,ROUNDUP(O217,0),INDEX(LR_Code,MATCH(B217,LR_Lane,0)),INDEX(DH_Table,0,MATCH(B217&amp;"*",DH_Head,0)))))</f>
        <v/>
      </c>
      <c r="R217" s="100">
        <f>IF(Q217="","",IF(Q217&lt;=N217,"Yes","No"))</f>
        <v/>
      </c>
      <c r="S217" s="52">
        <f>IF(Q217="","",IF(Q217&lt;=N217,0,NETWORKDAYS.INTL(N217,Q217,INDEX(LR_Code,MATCH(B217,LR_Lane,0)),INDEX(DH_Table,0,MATCH(B217&amp;"*",DH_Head,0)))-1))</f>
        <v/>
      </c>
      <c r="T217" s="127" t="n"/>
      <c r="U217" s="112">
        <f>IF(V217&lt;&gt;"",V217,IF(IFERROR(INDEX(RS_Flag,MATCH(B217,RS_Lane,0)),"")="Yes",IF(IFERROR(INDEX(RS_Loc,MATCH(B217,RS_Lane,0)),"")="","Regional stock",IFERROR(INDEX(RS_Loc,MATCH(B217,RS_Lane,0)),"")),"Helmond"))</f>
        <v/>
      </c>
      <c r="V217" s="141" t="n"/>
      <c r="W217" s="142" t="n"/>
      <c r="X217" s="143" t="n"/>
      <c r="Y217" s="116">
        <f>IF(X217&lt;&gt;"",X217,IF(U217="Helmond",IF(COUNTIFS(RC_Lane,B217,RC_Band,E217,RC_CostPS,"&gt;0")=0,"",SUMIFS(RC_CostPS,RC_Lane,B217,RC_Band,E217)*(1-SUMIFS(RC_Disc,RC_Lane,B217,RC_Band,E217))),IF(U217="Other","",IF(INDEX(RS_Rate,MATCH(B217,RS_Lane,0))="","",INDEX(RS_Rate,MATCH(B217,RS_Lane,0))))))</f>
        <v/>
      </c>
    </row>
    <row r="218">
      <c r="A218" s="95" t="inlineStr">
        <is>
          <t>B-214</t>
        </is>
      </c>
      <c r="B218" s="112" t="inlineStr">
        <is>
          <t>L01</t>
        </is>
      </c>
      <c r="C218" s="101" t="inlineStr">
        <is>
          <t>Saudi Arabia</t>
        </is>
      </c>
      <c r="D218" s="101" t="inlineStr">
        <is>
          <t>Riyadh</t>
        </is>
      </c>
      <c r="E218" s="101" t="inlineStr">
        <is>
          <t>B4  500 to 2,000 kg</t>
        </is>
      </c>
      <c r="F218" s="123" t="n">
        <v>824.7</v>
      </c>
      <c r="G218" s="86">
        <f>F218*0.006477</f>
        <v/>
      </c>
      <c r="H218" s="123">
        <f>F218*1.079436</f>
        <v/>
      </c>
      <c r="I218" s="122">
        <f>MAX(1,ROUNDUP(G218/0.096,0))</f>
        <v/>
      </c>
      <c r="J218" s="84" t="n">
        <v>46638</v>
      </c>
      <c r="K218" s="87">
        <f>J218-WEEKDAY(J218,2)+1</f>
        <v/>
      </c>
      <c r="L218" s="84">
        <f>J218</f>
        <v/>
      </c>
      <c r="M218" s="52">
        <f>INDEX(LR_Target,MATCH(B218,LR_Lane,0))</f>
        <v/>
      </c>
      <c r="N218" s="84">
        <f>WORKDAY.INTL(L218,M218,INDEX(LR_Code,MATCH(B218,LR_Lane,0)),INDEX(DH_Table,0,MATCH(B218&amp;"*",DH_Head,0)))</f>
        <v/>
      </c>
      <c r="O218" s="65">
        <f>IF(W218&lt;&gt;"",W218,IF(U218="Helmond",IF(COUNTIFS(RC_Lane,B218,RC_Band,E218,RC_Transit,"&lt;&gt;")=0,"",SUMIFS(RC_Transit,RC_Lane,B218,RC_Band,E218)),IF(U218="Other","",IF(INDEX(RS_Transit,MATCH(B218,RS_Lane,0))="","",INDEX(RS_Transit,MATCH(B218,RS_Lane,0))))))</f>
        <v/>
      </c>
      <c r="P218" s="140" t="n"/>
      <c r="Q218" s="84">
        <f>IF(P218&lt;&gt;"",P218,IF(O218="","",WORKDAY.INTL(L218,ROUNDUP(O218,0),INDEX(LR_Code,MATCH(B218,LR_Lane,0)),INDEX(DH_Table,0,MATCH(B218&amp;"*",DH_Head,0)))))</f>
        <v/>
      </c>
      <c r="R218" s="100">
        <f>IF(Q218="","",IF(Q218&lt;=N218,"Yes","No"))</f>
        <v/>
      </c>
      <c r="S218" s="52">
        <f>IF(Q218="","",IF(Q218&lt;=N218,0,NETWORKDAYS.INTL(N218,Q218,INDEX(LR_Code,MATCH(B218,LR_Lane,0)),INDEX(DH_Table,0,MATCH(B218&amp;"*",DH_Head,0)))-1))</f>
        <v/>
      </c>
      <c r="T218" s="127" t="n"/>
      <c r="U218" s="112">
        <f>IF(V218&lt;&gt;"",V218,IF(IFERROR(INDEX(RS_Flag,MATCH(B218,RS_Lane,0)),"")="Yes",IF(IFERROR(INDEX(RS_Loc,MATCH(B218,RS_Lane,0)),"")="","Regional stock",IFERROR(INDEX(RS_Loc,MATCH(B218,RS_Lane,0)),"")),"Helmond"))</f>
        <v/>
      </c>
      <c r="V218" s="141" t="n"/>
      <c r="W218" s="142" t="n"/>
      <c r="X218" s="143" t="n"/>
      <c r="Y218" s="116">
        <f>IF(X218&lt;&gt;"",X218,IF(U218="Helmond",IF(COUNTIFS(RC_Lane,B218,RC_Band,E218,RC_CostPS,"&gt;0")=0,"",SUMIFS(RC_CostPS,RC_Lane,B218,RC_Band,E218)*(1-SUMIFS(RC_Disc,RC_Lane,B218,RC_Band,E218))),IF(U218="Other","",IF(INDEX(RS_Rate,MATCH(B218,RS_Lane,0))="","",INDEX(RS_Rate,MATCH(B218,RS_Lane,0))))))</f>
        <v/>
      </c>
    </row>
    <row r="219">
      <c r="A219" s="95" t="inlineStr">
        <is>
          <t>B-215</t>
        </is>
      </c>
      <c r="B219" s="112" t="inlineStr">
        <is>
          <t>L01</t>
        </is>
      </c>
      <c r="C219" s="101" t="inlineStr">
        <is>
          <t>Saudi Arabia</t>
        </is>
      </c>
      <c r="D219" s="101" t="inlineStr">
        <is>
          <t>Jeddah</t>
        </is>
      </c>
      <c r="E219" s="101" t="inlineStr">
        <is>
          <t>B1  0 to 30 kg</t>
        </is>
      </c>
      <c r="F219" s="123" t="n">
        <v>7.2</v>
      </c>
      <c r="G219" s="86">
        <f>F219*0.006477</f>
        <v/>
      </c>
      <c r="H219" s="123">
        <f>F219*1.079436</f>
        <v/>
      </c>
      <c r="I219" s="122">
        <f>MAX(1,ROUNDUP(G219/0.096,0))</f>
        <v/>
      </c>
      <c r="J219" s="84" t="n">
        <v>46639</v>
      </c>
      <c r="K219" s="87">
        <f>J219-WEEKDAY(J219,2)+1</f>
        <v/>
      </c>
      <c r="L219" s="84">
        <f>J219</f>
        <v/>
      </c>
      <c r="M219" s="52">
        <f>INDEX(LR_Target,MATCH(B219,LR_Lane,0))</f>
        <v/>
      </c>
      <c r="N219" s="84">
        <f>WORKDAY.INTL(L219,M219,INDEX(LR_Code,MATCH(B219,LR_Lane,0)),INDEX(DH_Table,0,MATCH(B219&amp;"*",DH_Head,0)))</f>
        <v/>
      </c>
      <c r="O219" s="65">
        <f>IF(W219&lt;&gt;"",W219,IF(U219="Helmond",IF(COUNTIFS(RC_Lane,B219,RC_Band,E219,RC_Transit,"&lt;&gt;")=0,"",SUMIFS(RC_Transit,RC_Lane,B219,RC_Band,E219)),IF(U219="Other","",IF(INDEX(RS_Transit,MATCH(B219,RS_Lane,0))="","",INDEX(RS_Transit,MATCH(B219,RS_Lane,0))))))</f>
        <v/>
      </c>
      <c r="P219" s="140" t="n"/>
      <c r="Q219" s="84">
        <f>IF(P219&lt;&gt;"",P219,IF(O219="","",WORKDAY.INTL(L219,ROUNDUP(O219,0),INDEX(LR_Code,MATCH(B219,LR_Lane,0)),INDEX(DH_Table,0,MATCH(B219&amp;"*",DH_Head,0)))))</f>
        <v/>
      </c>
      <c r="R219" s="100">
        <f>IF(Q219="","",IF(Q219&lt;=N219,"Yes","No"))</f>
        <v/>
      </c>
      <c r="S219" s="52">
        <f>IF(Q219="","",IF(Q219&lt;=N219,0,NETWORKDAYS.INTL(N219,Q219,INDEX(LR_Code,MATCH(B219,LR_Lane,0)),INDEX(DH_Table,0,MATCH(B219&amp;"*",DH_Head,0)))-1))</f>
        <v/>
      </c>
      <c r="T219" s="127" t="n"/>
      <c r="U219" s="112">
        <f>IF(V219&lt;&gt;"",V219,IF(IFERROR(INDEX(RS_Flag,MATCH(B219,RS_Lane,0)),"")="Yes",IF(IFERROR(INDEX(RS_Loc,MATCH(B219,RS_Lane,0)),"")="","Regional stock",IFERROR(INDEX(RS_Loc,MATCH(B219,RS_Lane,0)),"")),"Helmond"))</f>
        <v/>
      </c>
      <c r="V219" s="141" t="n"/>
      <c r="W219" s="142" t="n"/>
      <c r="X219" s="143" t="n"/>
      <c r="Y219" s="116">
        <f>IF(X219&lt;&gt;"",X219,IF(U219="Helmond",IF(COUNTIFS(RC_Lane,B219,RC_Band,E219,RC_CostPS,"&gt;0")=0,"",SUMIFS(RC_CostPS,RC_Lane,B219,RC_Band,E219)*(1-SUMIFS(RC_Disc,RC_Lane,B219,RC_Band,E219))),IF(U219="Other","",IF(INDEX(RS_Rate,MATCH(B219,RS_Lane,0))="","",INDEX(RS_Rate,MATCH(B219,RS_Lane,0))))))</f>
        <v/>
      </c>
    </row>
    <row r="220">
      <c r="A220" s="95" t="inlineStr">
        <is>
          <t>B-216</t>
        </is>
      </c>
      <c r="B220" s="112" t="inlineStr">
        <is>
          <t>L01</t>
        </is>
      </c>
      <c r="C220" s="101" t="inlineStr">
        <is>
          <t>Saudi Arabia</t>
        </is>
      </c>
      <c r="D220" s="101" t="inlineStr">
        <is>
          <t>Jeddah</t>
        </is>
      </c>
      <c r="E220" s="101" t="inlineStr">
        <is>
          <t>B1  0 to 30 kg</t>
        </is>
      </c>
      <c r="F220" s="123" t="n">
        <v>12.3</v>
      </c>
      <c r="G220" s="86">
        <f>F220*0.006477</f>
        <v/>
      </c>
      <c r="H220" s="123">
        <f>F220*1.079436</f>
        <v/>
      </c>
      <c r="I220" s="122">
        <f>MAX(1,ROUNDUP(G220/0.096,0))</f>
        <v/>
      </c>
      <c r="J220" s="84" t="n">
        <v>46643</v>
      </c>
      <c r="K220" s="87">
        <f>J220-WEEKDAY(J220,2)+1</f>
        <v/>
      </c>
      <c r="L220" s="84">
        <f>J220</f>
        <v/>
      </c>
      <c r="M220" s="52">
        <f>INDEX(LR_Target,MATCH(B220,LR_Lane,0))</f>
        <v/>
      </c>
      <c r="N220" s="84">
        <f>WORKDAY.INTL(L220,M220,INDEX(LR_Code,MATCH(B220,LR_Lane,0)),INDEX(DH_Table,0,MATCH(B220&amp;"*",DH_Head,0)))</f>
        <v/>
      </c>
      <c r="O220" s="65">
        <f>IF(W220&lt;&gt;"",W220,IF(U220="Helmond",IF(COUNTIFS(RC_Lane,B220,RC_Band,E220,RC_Transit,"&lt;&gt;")=0,"",SUMIFS(RC_Transit,RC_Lane,B220,RC_Band,E220)),IF(U220="Other","",IF(INDEX(RS_Transit,MATCH(B220,RS_Lane,0))="","",INDEX(RS_Transit,MATCH(B220,RS_Lane,0))))))</f>
        <v/>
      </c>
      <c r="P220" s="140" t="n"/>
      <c r="Q220" s="84">
        <f>IF(P220&lt;&gt;"",P220,IF(O220="","",WORKDAY.INTL(L220,ROUNDUP(O220,0),INDEX(LR_Code,MATCH(B220,LR_Lane,0)),INDEX(DH_Table,0,MATCH(B220&amp;"*",DH_Head,0)))))</f>
        <v/>
      </c>
      <c r="R220" s="100">
        <f>IF(Q220="","",IF(Q220&lt;=N220,"Yes","No"))</f>
        <v/>
      </c>
      <c r="S220" s="52">
        <f>IF(Q220="","",IF(Q220&lt;=N220,0,NETWORKDAYS.INTL(N220,Q220,INDEX(LR_Code,MATCH(B220,LR_Lane,0)),INDEX(DH_Table,0,MATCH(B220&amp;"*",DH_Head,0)))-1))</f>
        <v/>
      </c>
      <c r="T220" s="127" t="n"/>
      <c r="U220" s="112">
        <f>IF(V220&lt;&gt;"",V220,IF(IFERROR(INDEX(RS_Flag,MATCH(B220,RS_Lane,0)),"")="Yes",IF(IFERROR(INDEX(RS_Loc,MATCH(B220,RS_Lane,0)),"")="","Regional stock",IFERROR(INDEX(RS_Loc,MATCH(B220,RS_Lane,0)),"")),"Helmond"))</f>
        <v/>
      </c>
      <c r="V220" s="141" t="n"/>
      <c r="W220" s="142" t="n"/>
      <c r="X220" s="143" t="n"/>
      <c r="Y220" s="116">
        <f>IF(X220&lt;&gt;"",X220,IF(U220="Helmond",IF(COUNTIFS(RC_Lane,B220,RC_Band,E220,RC_CostPS,"&gt;0")=0,"",SUMIFS(RC_CostPS,RC_Lane,B220,RC_Band,E220)*(1-SUMIFS(RC_Disc,RC_Lane,B220,RC_Band,E220))),IF(U220="Other","",IF(INDEX(RS_Rate,MATCH(B220,RS_Lane,0))="","",INDEX(RS_Rate,MATCH(B220,RS_Lane,0))))))</f>
        <v/>
      </c>
    </row>
    <row r="221">
      <c r="A221" s="95" t="inlineStr">
        <is>
          <t>B-217</t>
        </is>
      </c>
      <c r="B221" s="112" t="inlineStr">
        <is>
          <t>L01</t>
        </is>
      </c>
      <c r="C221" s="101" t="inlineStr">
        <is>
          <t>Saudi Arabia</t>
        </is>
      </c>
      <c r="D221" s="101" t="inlineStr">
        <is>
          <t>Riyadh</t>
        </is>
      </c>
      <c r="E221" s="101" t="inlineStr">
        <is>
          <t>B3  100 to 500 kg</t>
        </is>
      </c>
      <c r="F221" s="123" t="n">
        <v>194.8</v>
      </c>
      <c r="G221" s="86">
        <f>F221*0.006477</f>
        <v/>
      </c>
      <c r="H221" s="123">
        <f>F221*1.079436</f>
        <v/>
      </c>
      <c r="I221" s="122">
        <f>MAX(1,ROUNDUP(G221/0.096,0))</f>
        <v/>
      </c>
      <c r="J221" s="84" t="n">
        <v>46644</v>
      </c>
      <c r="K221" s="87">
        <f>J221-WEEKDAY(J221,2)+1</f>
        <v/>
      </c>
      <c r="L221" s="84">
        <f>J221</f>
        <v/>
      </c>
      <c r="M221" s="52">
        <f>INDEX(LR_Target,MATCH(B221,LR_Lane,0))</f>
        <v/>
      </c>
      <c r="N221" s="84">
        <f>WORKDAY.INTL(L221,M221,INDEX(LR_Code,MATCH(B221,LR_Lane,0)),INDEX(DH_Table,0,MATCH(B221&amp;"*",DH_Head,0)))</f>
        <v/>
      </c>
      <c r="O221" s="65">
        <f>IF(W221&lt;&gt;"",W221,IF(U221="Helmond",IF(COUNTIFS(RC_Lane,B221,RC_Band,E221,RC_Transit,"&lt;&gt;")=0,"",SUMIFS(RC_Transit,RC_Lane,B221,RC_Band,E221)),IF(U221="Other","",IF(INDEX(RS_Transit,MATCH(B221,RS_Lane,0))="","",INDEX(RS_Transit,MATCH(B221,RS_Lane,0))))))</f>
        <v/>
      </c>
      <c r="P221" s="140" t="n"/>
      <c r="Q221" s="84">
        <f>IF(P221&lt;&gt;"",P221,IF(O221="","",WORKDAY.INTL(L221,ROUNDUP(O221,0),INDEX(LR_Code,MATCH(B221,LR_Lane,0)),INDEX(DH_Table,0,MATCH(B221&amp;"*",DH_Head,0)))))</f>
        <v/>
      </c>
      <c r="R221" s="100">
        <f>IF(Q221="","",IF(Q221&lt;=N221,"Yes","No"))</f>
        <v/>
      </c>
      <c r="S221" s="52">
        <f>IF(Q221="","",IF(Q221&lt;=N221,0,NETWORKDAYS.INTL(N221,Q221,INDEX(LR_Code,MATCH(B221,LR_Lane,0)),INDEX(DH_Table,0,MATCH(B221&amp;"*",DH_Head,0)))-1))</f>
        <v/>
      </c>
      <c r="T221" s="127" t="n"/>
      <c r="U221" s="112">
        <f>IF(V221&lt;&gt;"",V221,IF(IFERROR(INDEX(RS_Flag,MATCH(B221,RS_Lane,0)),"")="Yes",IF(IFERROR(INDEX(RS_Loc,MATCH(B221,RS_Lane,0)),"")="","Regional stock",IFERROR(INDEX(RS_Loc,MATCH(B221,RS_Lane,0)),"")),"Helmond"))</f>
        <v/>
      </c>
      <c r="V221" s="141" t="n"/>
      <c r="W221" s="142" t="n"/>
      <c r="X221" s="143" t="n"/>
      <c r="Y221" s="116">
        <f>IF(X221&lt;&gt;"",X221,IF(U221="Helmond",IF(COUNTIFS(RC_Lane,B221,RC_Band,E221,RC_CostPS,"&gt;0")=0,"",SUMIFS(RC_CostPS,RC_Lane,B221,RC_Band,E221)*(1-SUMIFS(RC_Disc,RC_Lane,B221,RC_Band,E221))),IF(U221="Other","",IF(INDEX(RS_Rate,MATCH(B221,RS_Lane,0))="","",INDEX(RS_Rate,MATCH(B221,RS_Lane,0))))))</f>
        <v/>
      </c>
    </row>
    <row r="222">
      <c r="A222" s="95" t="inlineStr">
        <is>
          <t>B-218</t>
        </is>
      </c>
      <c r="B222" s="112" t="inlineStr">
        <is>
          <t>L02</t>
        </is>
      </c>
      <c r="C222" s="101" t="inlineStr">
        <is>
          <t>United Arab Emirates</t>
        </is>
      </c>
      <c r="D222" s="101" t="inlineStr">
        <is>
          <t>Dubai</t>
        </is>
      </c>
      <c r="E222" s="101" t="inlineStr">
        <is>
          <t>B1  0 to 30 kg</t>
        </is>
      </c>
      <c r="F222" s="123" t="n">
        <v>2.1</v>
      </c>
      <c r="G222" s="86">
        <f>F222*0.006477</f>
        <v/>
      </c>
      <c r="H222" s="123">
        <f>F222*1.079436</f>
        <v/>
      </c>
      <c r="I222" s="122">
        <f>MAX(1,ROUNDUP(G222/0.096,0))</f>
        <v/>
      </c>
      <c r="J222" s="84" t="n">
        <v>46646</v>
      </c>
      <c r="K222" s="87">
        <f>J222-WEEKDAY(J222,2)+1</f>
        <v/>
      </c>
      <c r="L222" s="84">
        <f>J222</f>
        <v/>
      </c>
      <c r="M222" s="52">
        <f>INDEX(LR_Target,MATCH(B222,LR_Lane,0))</f>
        <v/>
      </c>
      <c r="N222" s="84">
        <f>WORKDAY.INTL(L222,M222,INDEX(LR_Code,MATCH(B222,LR_Lane,0)),INDEX(DH_Table,0,MATCH(B222&amp;"*",DH_Head,0)))</f>
        <v/>
      </c>
      <c r="O222" s="65">
        <f>IF(W222&lt;&gt;"",W222,IF(U222="Helmond",IF(COUNTIFS(RC_Lane,B222,RC_Band,E222,RC_Transit,"&lt;&gt;")=0,"",SUMIFS(RC_Transit,RC_Lane,B222,RC_Band,E222)),IF(U222="Other","",IF(INDEX(RS_Transit,MATCH(B222,RS_Lane,0))="","",INDEX(RS_Transit,MATCH(B222,RS_Lane,0))))))</f>
        <v/>
      </c>
      <c r="P222" s="140" t="n"/>
      <c r="Q222" s="84">
        <f>IF(P222&lt;&gt;"",P222,IF(O222="","",WORKDAY.INTL(L222,ROUNDUP(O222,0),INDEX(LR_Code,MATCH(B222,LR_Lane,0)),INDEX(DH_Table,0,MATCH(B222&amp;"*",DH_Head,0)))))</f>
        <v/>
      </c>
      <c r="R222" s="100">
        <f>IF(Q222="","",IF(Q222&lt;=N222,"Yes","No"))</f>
        <v/>
      </c>
      <c r="S222" s="52">
        <f>IF(Q222="","",IF(Q222&lt;=N222,0,NETWORKDAYS.INTL(N222,Q222,INDEX(LR_Code,MATCH(B222,LR_Lane,0)),INDEX(DH_Table,0,MATCH(B222&amp;"*",DH_Head,0)))-1))</f>
        <v/>
      </c>
      <c r="T222" s="127" t="n"/>
      <c r="U222" s="112">
        <f>IF(V222&lt;&gt;"",V222,IF(IFERROR(INDEX(RS_Flag,MATCH(B222,RS_Lane,0)),"")="Yes",IF(IFERROR(INDEX(RS_Loc,MATCH(B222,RS_Lane,0)),"")="","Regional stock",IFERROR(INDEX(RS_Loc,MATCH(B222,RS_Lane,0)),"")),"Helmond"))</f>
        <v/>
      </c>
      <c r="V222" s="141" t="n"/>
      <c r="W222" s="142" t="n"/>
      <c r="X222" s="143" t="n"/>
      <c r="Y222" s="116">
        <f>IF(X222&lt;&gt;"",X222,IF(U222="Helmond",IF(COUNTIFS(RC_Lane,B222,RC_Band,E222,RC_CostPS,"&gt;0")=0,"",SUMIFS(RC_CostPS,RC_Lane,B222,RC_Band,E222)*(1-SUMIFS(RC_Disc,RC_Lane,B222,RC_Band,E222))),IF(U222="Other","",IF(INDEX(RS_Rate,MATCH(B222,RS_Lane,0))="","",INDEX(RS_Rate,MATCH(B222,RS_Lane,0))))))</f>
        <v/>
      </c>
    </row>
    <row r="223">
      <c r="A223" s="95" t="inlineStr">
        <is>
          <t>B-219</t>
        </is>
      </c>
      <c r="B223" s="112" t="inlineStr">
        <is>
          <t>L03</t>
        </is>
      </c>
      <c r="C223" s="101" t="inlineStr">
        <is>
          <t>Kuwait</t>
        </is>
      </c>
      <c r="D223" s="101" t="inlineStr">
        <is>
          <t>Kuwait City</t>
        </is>
      </c>
      <c r="E223" s="101" t="inlineStr">
        <is>
          <t>B3  100 to 500 kg</t>
        </is>
      </c>
      <c r="F223" s="123" t="n">
        <v>161.5</v>
      </c>
      <c r="G223" s="86">
        <f>F223*0.006477</f>
        <v/>
      </c>
      <c r="H223" s="123">
        <f>F223*1.079436</f>
        <v/>
      </c>
      <c r="I223" s="122">
        <f>MAX(1,ROUNDUP(G223/0.096,0))</f>
        <v/>
      </c>
      <c r="J223" s="84" t="n">
        <v>46646</v>
      </c>
      <c r="K223" s="87">
        <f>J223-WEEKDAY(J223,2)+1</f>
        <v/>
      </c>
      <c r="L223" s="84">
        <f>J223</f>
        <v/>
      </c>
      <c r="M223" s="52">
        <f>INDEX(LR_Target,MATCH(B223,LR_Lane,0))</f>
        <v/>
      </c>
      <c r="N223" s="84">
        <f>WORKDAY.INTL(L223,M223,INDEX(LR_Code,MATCH(B223,LR_Lane,0)),INDEX(DH_Table,0,MATCH(B223&amp;"*",DH_Head,0)))</f>
        <v/>
      </c>
      <c r="O223" s="65">
        <f>IF(W223&lt;&gt;"",W223,IF(U223="Helmond",IF(COUNTIFS(RC_Lane,B223,RC_Band,E223,RC_Transit,"&lt;&gt;")=0,"",SUMIFS(RC_Transit,RC_Lane,B223,RC_Band,E223)),IF(U223="Other","",IF(INDEX(RS_Transit,MATCH(B223,RS_Lane,0))="","",INDEX(RS_Transit,MATCH(B223,RS_Lane,0))))))</f>
        <v/>
      </c>
      <c r="P223" s="140" t="n"/>
      <c r="Q223" s="84">
        <f>IF(P223&lt;&gt;"",P223,IF(O223="","",WORKDAY.INTL(L223,ROUNDUP(O223,0),INDEX(LR_Code,MATCH(B223,LR_Lane,0)),INDEX(DH_Table,0,MATCH(B223&amp;"*",DH_Head,0)))))</f>
        <v/>
      </c>
      <c r="R223" s="100">
        <f>IF(Q223="","",IF(Q223&lt;=N223,"Yes","No"))</f>
        <v/>
      </c>
      <c r="S223" s="52">
        <f>IF(Q223="","",IF(Q223&lt;=N223,0,NETWORKDAYS.INTL(N223,Q223,INDEX(LR_Code,MATCH(B223,LR_Lane,0)),INDEX(DH_Table,0,MATCH(B223&amp;"*",DH_Head,0)))-1))</f>
        <v/>
      </c>
      <c r="T223" s="127" t="n"/>
      <c r="U223" s="112">
        <f>IF(V223&lt;&gt;"",V223,IF(IFERROR(INDEX(RS_Flag,MATCH(B223,RS_Lane,0)),"")="Yes",IF(IFERROR(INDEX(RS_Loc,MATCH(B223,RS_Lane,0)),"")="","Regional stock",IFERROR(INDEX(RS_Loc,MATCH(B223,RS_Lane,0)),"")),"Helmond"))</f>
        <v/>
      </c>
      <c r="V223" s="141" t="n"/>
      <c r="W223" s="142" t="n"/>
      <c r="X223" s="143" t="n"/>
      <c r="Y223" s="116">
        <f>IF(X223&lt;&gt;"",X223,IF(U223="Helmond",IF(COUNTIFS(RC_Lane,B223,RC_Band,E223,RC_CostPS,"&gt;0")=0,"",SUMIFS(RC_CostPS,RC_Lane,B223,RC_Band,E223)*(1-SUMIFS(RC_Disc,RC_Lane,B223,RC_Band,E223))),IF(U223="Other","",IF(INDEX(RS_Rate,MATCH(B223,RS_Lane,0))="","",INDEX(RS_Rate,MATCH(B223,RS_Lane,0))))))</f>
        <v/>
      </c>
    </row>
    <row r="224">
      <c r="A224" s="95" t="inlineStr">
        <is>
          <t>B-220</t>
        </is>
      </c>
      <c r="B224" s="112" t="inlineStr">
        <is>
          <t>L05</t>
        </is>
      </c>
      <c r="C224" s="101" t="inlineStr">
        <is>
          <t>Türkiye</t>
        </is>
      </c>
      <c r="D224" s="101" t="inlineStr">
        <is>
          <t>Istanbul</t>
        </is>
      </c>
      <c r="E224" s="101" t="inlineStr">
        <is>
          <t>B2  30 to 100 kg</t>
        </is>
      </c>
      <c r="F224" s="123" t="n">
        <v>47.4</v>
      </c>
      <c r="G224" s="86">
        <f>F224*0.006477</f>
        <v/>
      </c>
      <c r="H224" s="123">
        <f>F224*1.079436</f>
        <v/>
      </c>
      <c r="I224" s="122">
        <f>MAX(1,ROUNDUP(G224/0.096,0))</f>
        <v/>
      </c>
      <c r="J224" s="84" t="n">
        <v>46646</v>
      </c>
      <c r="K224" s="87">
        <f>J224-WEEKDAY(J224,2)+1</f>
        <v/>
      </c>
      <c r="L224" s="84">
        <f>J224</f>
        <v/>
      </c>
      <c r="M224" s="52">
        <f>INDEX(LR_Target,MATCH(B224,LR_Lane,0))</f>
        <v/>
      </c>
      <c r="N224" s="84">
        <f>WORKDAY.INTL(L224,M224,INDEX(LR_Code,MATCH(B224,LR_Lane,0)),INDEX(DH_Table,0,MATCH(B224&amp;"*",DH_Head,0)))</f>
        <v/>
      </c>
      <c r="O224" s="65">
        <f>IF(W224&lt;&gt;"",W224,IF(U224="Helmond",IF(COUNTIFS(RC_Lane,B224,RC_Band,E224,RC_Transit,"&lt;&gt;")=0,"",SUMIFS(RC_Transit,RC_Lane,B224,RC_Band,E224)),IF(U224="Other","",IF(INDEX(RS_Transit,MATCH(B224,RS_Lane,0))="","",INDEX(RS_Transit,MATCH(B224,RS_Lane,0))))))</f>
        <v/>
      </c>
      <c r="P224" s="140" t="n"/>
      <c r="Q224" s="84">
        <f>IF(P224&lt;&gt;"",P224,IF(O224="","",WORKDAY.INTL(L224,ROUNDUP(O224,0),INDEX(LR_Code,MATCH(B224,LR_Lane,0)),INDEX(DH_Table,0,MATCH(B224&amp;"*",DH_Head,0)))))</f>
        <v/>
      </c>
      <c r="R224" s="100">
        <f>IF(Q224="","",IF(Q224&lt;=N224,"Yes","No"))</f>
        <v/>
      </c>
      <c r="S224" s="52">
        <f>IF(Q224="","",IF(Q224&lt;=N224,0,NETWORKDAYS.INTL(N224,Q224,INDEX(LR_Code,MATCH(B224,LR_Lane,0)),INDEX(DH_Table,0,MATCH(B224&amp;"*",DH_Head,0)))-1))</f>
        <v/>
      </c>
      <c r="T224" s="127" t="n"/>
      <c r="U224" s="112">
        <f>IF(V224&lt;&gt;"",V224,IF(IFERROR(INDEX(RS_Flag,MATCH(B224,RS_Lane,0)),"")="Yes",IF(IFERROR(INDEX(RS_Loc,MATCH(B224,RS_Lane,0)),"")="","Regional stock",IFERROR(INDEX(RS_Loc,MATCH(B224,RS_Lane,0)),"")),"Helmond"))</f>
        <v/>
      </c>
      <c r="V224" s="141" t="n"/>
      <c r="W224" s="142" t="n"/>
      <c r="X224" s="143" t="n"/>
      <c r="Y224" s="116">
        <f>IF(X224&lt;&gt;"",X224,IF(U224="Helmond",IF(COUNTIFS(RC_Lane,B224,RC_Band,E224,RC_CostPS,"&gt;0")=0,"",SUMIFS(RC_CostPS,RC_Lane,B224,RC_Band,E224)*(1-SUMIFS(RC_Disc,RC_Lane,B224,RC_Band,E224))),IF(U224="Other","",IF(INDEX(RS_Rate,MATCH(B224,RS_Lane,0))="","",INDEX(RS_Rate,MATCH(B224,RS_Lane,0))))))</f>
        <v/>
      </c>
    </row>
    <row r="225">
      <c r="A225" s="95" t="inlineStr">
        <is>
          <t>B-221</t>
        </is>
      </c>
      <c r="B225" s="112" t="inlineStr">
        <is>
          <t>L06</t>
        </is>
      </c>
      <c r="C225" s="101" t="inlineStr">
        <is>
          <t>Morocco</t>
        </is>
      </c>
      <c r="D225" s="101" t="inlineStr">
        <is>
          <t>Rabat</t>
        </is>
      </c>
      <c r="E225" s="101" t="inlineStr">
        <is>
          <t>B1  0 to 30 kg</t>
        </is>
      </c>
      <c r="F225" s="123" t="n">
        <v>5</v>
      </c>
      <c r="G225" s="86">
        <f>F225*0.006477</f>
        <v/>
      </c>
      <c r="H225" s="123">
        <f>F225*1.079436</f>
        <v/>
      </c>
      <c r="I225" s="122">
        <f>MAX(1,ROUNDUP(G225/0.096,0))</f>
        <v/>
      </c>
      <c r="J225" s="84" t="n">
        <v>46650</v>
      </c>
      <c r="K225" s="87">
        <f>J225-WEEKDAY(J225,2)+1</f>
        <v/>
      </c>
      <c r="L225" s="84">
        <f>J225</f>
        <v/>
      </c>
      <c r="M225" s="52">
        <f>INDEX(LR_Target,MATCH(B225,LR_Lane,0))</f>
        <v/>
      </c>
      <c r="N225" s="84">
        <f>WORKDAY.INTL(L225,M225,INDEX(LR_Code,MATCH(B225,LR_Lane,0)),INDEX(DH_Table,0,MATCH(B225&amp;"*",DH_Head,0)))</f>
        <v/>
      </c>
      <c r="O225" s="65">
        <f>IF(W225&lt;&gt;"",W225,IF(U225="Helmond",IF(COUNTIFS(RC_Lane,B225,RC_Band,E225,RC_Transit,"&lt;&gt;")=0,"",SUMIFS(RC_Transit,RC_Lane,B225,RC_Band,E225)),IF(U225="Other","",IF(INDEX(RS_Transit,MATCH(B225,RS_Lane,0))="","",INDEX(RS_Transit,MATCH(B225,RS_Lane,0))))))</f>
        <v/>
      </c>
      <c r="P225" s="140" t="n"/>
      <c r="Q225" s="84">
        <f>IF(P225&lt;&gt;"",P225,IF(O225="","",WORKDAY.INTL(L225,ROUNDUP(O225,0),INDEX(LR_Code,MATCH(B225,LR_Lane,0)),INDEX(DH_Table,0,MATCH(B225&amp;"*",DH_Head,0)))))</f>
        <v/>
      </c>
      <c r="R225" s="100">
        <f>IF(Q225="","",IF(Q225&lt;=N225,"Yes","No"))</f>
        <v/>
      </c>
      <c r="S225" s="52">
        <f>IF(Q225="","",IF(Q225&lt;=N225,0,NETWORKDAYS.INTL(N225,Q225,INDEX(LR_Code,MATCH(B225,LR_Lane,0)),INDEX(DH_Table,0,MATCH(B225&amp;"*",DH_Head,0)))-1))</f>
        <v/>
      </c>
      <c r="T225" s="127" t="n"/>
      <c r="U225" s="112">
        <f>IF(V225&lt;&gt;"",V225,IF(IFERROR(INDEX(RS_Flag,MATCH(B225,RS_Lane,0)),"")="Yes",IF(IFERROR(INDEX(RS_Loc,MATCH(B225,RS_Lane,0)),"")="","Regional stock",IFERROR(INDEX(RS_Loc,MATCH(B225,RS_Lane,0)),"")),"Helmond"))</f>
        <v/>
      </c>
      <c r="V225" s="141" t="n"/>
      <c r="W225" s="142" t="n"/>
      <c r="X225" s="143" t="n"/>
      <c r="Y225" s="116">
        <f>IF(X225&lt;&gt;"",X225,IF(U225="Helmond",IF(COUNTIFS(RC_Lane,B225,RC_Band,E225,RC_CostPS,"&gt;0")=0,"",SUMIFS(RC_CostPS,RC_Lane,B225,RC_Band,E225)*(1-SUMIFS(RC_Disc,RC_Lane,B225,RC_Band,E225))),IF(U225="Other","",IF(INDEX(RS_Rate,MATCH(B225,RS_Lane,0))="","",INDEX(RS_Rate,MATCH(B225,RS_Lane,0))))))</f>
        <v/>
      </c>
    </row>
    <row r="226">
      <c r="A226" s="95" t="inlineStr">
        <is>
          <t>B-222</t>
        </is>
      </c>
      <c r="B226" s="112" t="inlineStr">
        <is>
          <t>L09</t>
        </is>
      </c>
      <c r="C226" s="101" t="inlineStr">
        <is>
          <t>Tunisia</t>
        </is>
      </c>
      <c r="D226" s="101" t="inlineStr">
        <is>
          <t>Sousse</t>
        </is>
      </c>
      <c r="E226" s="101" t="inlineStr">
        <is>
          <t>B3  100 to 500 kg</t>
        </is>
      </c>
      <c r="F226" s="123" t="n">
        <v>260.6</v>
      </c>
      <c r="G226" s="86">
        <f>F226*0.006477</f>
        <v/>
      </c>
      <c r="H226" s="123">
        <f>F226*1.079436</f>
        <v/>
      </c>
      <c r="I226" s="122">
        <f>MAX(1,ROUNDUP(G226/0.096,0))</f>
        <v/>
      </c>
      <c r="J226" s="84" t="n">
        <v>46650</v>
      </c>
      <c r="K226" s="87">
        <f>J226-WEEKDAY(J226,2)+1</f>
        <v/>
      </c>
      <c r="L226" s="84">
        <f>J226</f>
        <v/>
      </c>
      <c r="M226" s="52">
        <f>INDEX(LR_Target,MATCH(B226,LR_Lane,0))</f>
        <v/>
      </c>
      <c r="N226" s="84">
        <f>WORKDAY.INTL(L226,M226,INDEX(LR_Code,MATCH(B226,LR_Lane,0)),INDEX(DH_Table,0,MATCH(B226&amp;"*",DH_Head,0)))</f>
        <v/>
      </c>
      <c r="O226" s="65">
        <f>IF(W226&lt;&gt;"",W226,IF(U226="Helmond",IF(COUNTIFS(RC_Lane,B226,RC_Band,E226,RC_Transit,"&lt;&gt;")=0,"",SUMIFS(RC_Transit,RC_Lane,B226,RC_Band,E226)),IF(U226="Other","",IF(INDEX(RS_Transit,MATCH(B226,RS_Lane,0))="","",INDEX(RS_Transit,MATCH(B226,RS_Lane,0))))))</f>
        <v/>
      </c>
      <c r="P226" s="140" t="n"/>
      <c r="Q226" s="84">
        <f>IF(P226&lt;&gt;"",P226,IF(O226="","",WORKDAY.INTL(L226,ROUNDUP(O226,0),INDEX(LR_Code,MATCH(B226,LR_Lane,0)),INDEX(DH_Table,0,MATCH(B226&amp;"*",DH_Head,0)))))</f>
        <v/>
      </c>
      <c r="R226" s="100">
        <f>IF(Q226="","",IF(Q226&lt;=N226,"Yes","No"))</f>
        <v/>
      </c>
      <c r="S226" s="52">
        <f>IF(Q226="","",IF(Q226&lt;=N226,0,NETWORKDAYS.INTL(N226,Q226,INDEX(LR_Code,MATCH(B226,LR_Lane,0)),INDEX(DH_Table,0,MATCH(B226&amp;"*",DH_Head,0)))-1))</f>
        <v/>
      </c>
      <c r="T226" s="127" t="n"/>
      <c r="U226" s="112">
        <f>IF(V226&lt;&gt;"",V226,IF(IFERROR(INDEX(RS_Flag,MATCH(B226,RS_Lane,0)),"")="Yes",IF(IFERROR(INDEX(RS_Loc,MATCH(B226,RS_Lane,0)),"")="","Regional stock",IFERROR(INDEX(RS_Loc,MATCH(B226,RS_Lane,0)),"")),"Helmond"))</f>
        <v/>
      </c>
      <c r="V226" s="141" t="n"/>
      <c r="W226" s="142" t="n"/>
      <c r="X226" s="143" t="n"/>
      <c r="Y226" s="116">
        <f>IF(X226&lt;&gt;"",X226,IF(U226="Helmond",IF(COUNTIFS(RC_Lane,B226,RC_Band,E226,RC_CostPS,"&gt;0")=0,"",SUMIFS(RC_CostPS,RC_Lane,B226,RC_Band,E226)*(1-SUMIFS(RC_Disc,RC_Lane,B226,RC_Band,E226))),IF(U226="Other","",IF(INDEX(RS_Rate,MATCH(B226,RS_Lane,0))="","",INDEX(RS_Rate,MATCH(B226,RS_Lane,0))))))</f>
        <v/>
      </c>
    </row>
    <row r="227">
      <c r="A227" s="95" t="inlineStr">
        <is>
          <t>B-223</t>
        </is>
      </c>
      <c r="B227" s="112" t="inlineStr">
        <is>
          <t>L02</t>
        </is>
      </c>
      <c r="C227" s="101" t="inlineStr">
        <is>
          <t>United Arab Emirates</t>
        </is>
      </c>
      <c r="D227" s="101" t="inlineStr">
        <is>
          <t>Dubai</t>
        </is>
      </c>
      <c r="E227" s="101" t="inlineStr">
        <is>
          <t>B1  0 to 30 kg</t>
        </is>
      </c>
      <c r="F227" s="123" t="n">
        <v>12.7</v>
      </c>
      <c r="G227" s="86">
        <f>F227*0.006477</f>
        <v/>
      </c>
      <c r="H227" s="123">
        <f>F227*1.079436</f>
        <v/>
      </c>
      <c r="I227" s="122">
        <f>MAX(1,ROUNDUP(G227/0.096,0))</f>
        <v/>
      </c>
      <c r="J227" s="84" t="n">
        <v>46651</v>
      </c>
      <c r="K227" s="87">
        <f>J227-WEEKDAY(J227,2)+1</f>
        <v/>
      </c>
      <c r="L227" s="84">
        <f>J227</f>
        <v/>
      </c>
      <c r="M227" s="52">
        <f>INDEX(LR_Target,MATCH(B227,LR_Lane,0))</f>
        <v/>
      </c>
      <c r="N227" s="84">
        <f>WORKDAY.INTL(L227,M227,INDEX(LR_Code,MATCH(B227,LR_Lane,0)),INDEX(DH_Table,0,MATCH(B227&amp;"*",DH_Head,0)))</f>
        <v/>
      </c>
      <c r="O227" s="65">
        <f>IF(W227&lt;&gt;"",W227,IF(U227="Helmond",IF(COUNTIFS(RC_Lane,B227,RC_Band,E227,RC_Transit,"&lt;&gt;")=0,"",SUMIFS(RC_Transit,RC_Lane,B227,RC_Band,E227)),IF(U227="Other","",IF(INDEX(RS_Transit,MATCH(B227,RS_Lane,0))="","",INDEX(RS_Transit,MATCH(B227,RS_Lane,0))))))</f>
        <v/>
      </c>
      <c r="P227" s="140" t="n"/>
      <c r="Q227" s="84">
        <f>IF(P227&lt;&gt;"",P227,IF(O227="","",WORKDAY.INTL(L227,ROUNDUP(O227,0),INDEX(LR_Code,MATCH(B227,LR_Lane,0)),INDEX(DH_Table,0,MATCH(B227&amp;"*",DH_Head,0)))))</f>
        <v/>
      </c>
      <c r="R227" s="100">
        <f>IF(Q227="","",IF(Q227&lt;=N227,"Yes","No"))</f>
        <v/>
      </c>
      <c r="S227" s="52">
        <f>IF(Q227="","",IF(Q227&lt;=N227,0,NETWORKDAYS.INTL(N227,Q227,INDEX(LR_Code,MATCH(B227,LR_Lane,0)),INDEX(DH_Table,0,MATCH(B227&amp;"*",DH_Head,0)))-1))</f>
        <v/>
      </c>
      <c r="T227" s="127" t="n"/>
      <c r="U227" s="112">
        <f>IF(V227&lt;&gt;"",V227,IF(IFERROR(INDEX(RS_Flag,MATCH(B227,RS_Lane,0)),"")="Yes",IF(IFERROR(INDEX(RS_Loc,MATCH(B227,RS_Lane,0)),"")="","Regional stock",IFERROR(INDEX(RS_Loc,MATCH(B227,RS_Lane,0)),"")),"Helmond"))</f>
        <v/>
      </c>
      <c r="V227" s="141" t="n"/>
      <c r="W227" s="142" t="n"/>
      <c r="X227" s="143" t="n"/>
      <c r="Y227" s="116">
        <f>IF(X227&lt;&gt;"",X227,IF(U227="Helmond",IF(COUNTIFS(RC_Lane,B227,RC_Band,E227,RC_CostPS,"&gt;0")=0,"",SUMIFS(RC_CostPS,RC_Lane,B227,RC_Band,E227)*(1-SUMIFS(RC_Disc,RC_Lane,B227,RC_Band,E227))),IF(U227="Other","",IF(INDEX(RS_Rate,MATCH(B227,RS_Lane,0))="","",INDEX(RS_Rate,MATCH(B227,RS_Lane,0))))))</f>
        <v/>
      </c>
    </row>
    <row r="228">
      <c r="A228" s="95" t="inlineStr">
        <is>
          <t>B-224</t>
        </is>
      </c>
      <c r="B228" s="112" t="inlineStr">
        <is>
          <t>L02</t>
        </is>
      </c>
      <c r="C228" s="101" t="inlineStr">
        <is>
          <t>United Arab Emirates</t>
        </is>
      </c>
      <c r="D228" s="101" t="inlineStr">
        <is>
          <t>Dubai</t>
        </is>
      </c>
      <c r="E228" s="101" t="inlineStr">
        <is>
          <t>B1  0 to 30 kg</t>
        </is>
      </c>
      <c r="F228" s="123" t="n">
        <v>12.5</v>
      </c>
      <c r="G228" s="86">
        <f>F228*0.006477</f>
        <v/>
      </c>
      <c r="H228" s="123">
        <f>F228*1.079436</f>
        <v/>
      </c>
      <c r="I228" s="122">
        <f>MAX(1,ROUNDUP(G228/0.096,0))</f>
        <v/>
      </c>
      <c r="J228" s="84" t="n">
        <v>46653</v>
      </c>
      <c r="K228" s="87">
        <f>J228-WEEKDAY(J228,2)+1</f>
        <v/>
      </c>
      <c r="L228" s="84">
        <f>J228</f>
        <v/>
      </c>
      <c r="M228" s="52">
        <f>INDEX(LR_Target,MATCH(B228,LR_Lane,0))</f>
        <v/>
      </c>
      <c r="N228" s="84">
        <f>WORKDAY.INTL(L228,M228,INDEX(LR_Code,MATCH(B228,LR_Lane,0)),INDEX(DH_Table,0,MATCH(B228&amp;"*",DH_Head,0)))</f>
        <v/>
      </c>
      <c r="O228" s="65">
        <f>IF(W228&lt;&gt;"",W228,IF(U228="Helmond",IF(COUNTIFS(RC_Lane,B228,RC_Band,E228,RC_Transit,"&lt;&gt;")=0,"",SUMIFS(RC_Transit,RC_Lane,B228,RC_Band,E228)),IF(U228="Other","",IF(INDEX(RS_Transit,MATCH(B228,RS_Lane,0))="","",INDEX(RS_Transit,MATCH(B228,RS_Lane,0))))))</f>
        <v/>
      </c>
      <c r="P228" s="140" t="n"/>
      <c r="Q228" s="84">
        <f>IF(P228&lt;&gt;"",P228,IF(O228="","",WORKDAY.INTL(L228,ROUNDUP(O228,0),INDEX(LR_Code,MATCH(B228,LR_Lane,0)),INDEX(DH_Table,0,MATCH(B228&amp;"*",DH_Head,0)))))</f>
        <v/>
      </c>
      <c r="R228" s="100">
        <f>IF(Q228="","",IF(Q228&lt;=N228,"Yes","No"))</f>
        <v/>
      </c>
      <c r="S228" s="52">
        <f>IF(Q228="","",IF(Q228&lt;=N228,0,NETWORKDAYS.INTL(N228,Q228,INDEX(LR_Code,MATCH(B228,LR_Lane,0)),INDEX(DH_Table,0,MATCH(B228&amp;"*",DH_Head,0)))-1))</f>
        <v/>
      </c>
      <c r="T228" s="127" t="n"/>
      <c r="U228" s="112">
        <f>IF(V228&lt;&gt;"",V228,IF(IFERROR(INDEX(RS_Flag,MATCH(B228,RS_Lane,0)),"")="Yes",IF(IFERROR(INDEX(RS_Loc,MATCH(B228,RS_Lane,0)),"")="","Regional stock",IFERROR(INDEX(RS_Loc,MATCH(B228,RS_Lane,0)),"")),"Helmond"))</f>
        <v/>
      </c>
      <c r="V228" s="141" t="n"/>
      <c r="W228" s="142" t="n"/>
      <c r="X228" s="143" t="n"/>
      <c r="Y228" s="116">
        <f>IF(X228&lt;&gt;"",X228,IF(U228="Helmond",IF(COUNTIFS(RC_Lane,B228,RC_Band,E228,RC_CostPS,"&gt;0")=0,"",SUMIFS(RC_CostPS,RC_Lane,B228,RC_Band,E228)*(1-SUMIFS(RC_Disc,RC_Lane,B228,RC_Band,E228))),IF(U228="Other","",IF(INDEX(RS_Rate,MATCH(B228,RS_Lane,0))="","",INDEX(RS_Rate,MATCH(B228,RS_Lane,0))))))</f>
        <v/>
      </c>
    </row>
    <row r="229">
      <c r="A229" s="95" t="inlineStr">
        <is>
          <t>B-225</t>
        </is>
      </c>
      <c r="B229" s="112" t="inlineStr">
        <is>
          <t>L04</t>
        </is>
      </c>
      <c r="C229" s="101" t="inlineStr">
        <is>
          <t>Qatar</t>
        </is>
      </c>
      <c r="D229" s="101" t="inlineStr">
        <is>
          <t>Doha</t>
        </is>
      </c>
      <c r="E229" s="101" t="inlineStr">
        <is>
          <t>B1  0 to 30 kg</t>
        </is>
      </c>
      <c r="F229" s="123" t="n">
        <v>12.4</v>
      </c>
      <c r="G229" s="86">
        <f>F229*0.006477</f>
        <v/>
      </c>
      <c r="H229" s="123">
        <f>F229*1.079436</f>
        <v/>
      </c>
      <c r="I229" s="122">
        <f>MAX(1,ROUNDUP(G229/0.096,0))</f>
        <v/>
      </c>
      <c r="J229" s="84" t="n">
        <v>46653</v>
      </c>
      <c r="K229" s="87">
        <f>J229-WEEKDAY(J229,2)+1</f>
        <v/>
      </c>
      <c r="L229" s="84">
        <f>J229</f>
        <v/>
      </c>
      <c r="M229" s="52">
        <f>INDEX(LR_Target,MATCH(B229,LR_Lane,0))</f>
        <v/>
      </c>
      <c r="N229" s="84">
        <f>WORKDAY.INTL(L229,M229,INDEX(LR_Code,MATCH(B229,LR_Lane,0)),INDEX(DH_Table,0,MATCH(B229&amp;"*",DH_Head,0)))</f>
        <v/>
      </c>
      <c r="O229" s="65">
        <f>IF(W229&lt;&gt;"",W229,IF(U229="Helmond",IF(COUNTIFS(RC_Lane,B229,RC_Band,E229,RC_Transit,"&lt;&gt;")=0,"",SUMIFS(RC_Transit,RC_Lane,B229,RC_Band,E229)),IF(U229="Other","",IF(INDEX(RS_Transit,MATCH(B229,RS_Lane,0))="","",INDEX(RS_Transit,MATCH(B229,RS_Lane,0))))))</f>
        <v/>
      </c>
      <c r="P229" s="140" t="n"/>
      <c r="Q229" s="84">
        <f>IF(P229&lt;&gt;"",P229,IF(O229="","",WORKDAY.INTL(L229,ROUNDUP(O229,0),INDEX(LR_Code,MATCH(B229,LR_Lane,0)),INDEX(DH_Table,0,MATCH(B229&amp;"*",DH_Head,0)))))</f>
        <v/>
      </c>
      <c r="R229" s="100">
        <f>IF(Q229="","",IF(Q229&lt;=N229,"Yes","No"))</f>
        <v/>
      </c>
      <c r="S229" s="52">
        <f>IF(Q229="","",IF(Q229&lt;=N229,0,NETWORKDAYS.INTL(N229,Q229,INDEX(LR_Code,MATCH(B229,LR_Lane,0)),INDEX(DH_Table,0,MATCH(B229&amp;"*",DH_Head,0)))-1))</f>
        <v/>
      </c>
      <c r="T229" s="127" t="n"/>
      <c r="U229" s="112">
        <f>IF(V229&lt;&gt;"",V229,IF(IFERROR(INDEX(RS_Flag,MATCH(B229,RS_Lane,0)),"")="Yes",IF(IFERROR(INDEX(RS_Loc,MATCH(B229,RS_Lane,0)),"")="","Regional stock",IFERROR(INDEX(RS_Loc,MATCH(B229,RS_Lane,0)),"")),"Helmond"))</f>
        <v/>
      </c>
      <c r="V229" s="141" t="n"/>
      <c r="W229" s="142" t="n"/>
      <c r="X229" s="143" t="n"/>
      <c r="Y229" s="116">
        <f>IF(X229&lt;&gt;"",X229,IF(U229="Helmond",IF(COUNTIFS(RC_Lane,B229,RC_Band,E229,RC_CostPS,"&gt;0")=0,"",SUMIFS(RC_CostPS,RC_Lane,B229,RC_Band,E229)*(1-SUMIFS(RC_Disc,RC_Lane,B229,RC_Band,E229))),IF(U229="Other","",IF(INDEX(RS_Rate,MATCH(B229,RS_Lane,0))="","",INDEX(RS_Rate,MATCH(B229,RS_Lane,0))))))</f>
        <v/>
      </c>
    </row>
    <row r="230">
      <c r="A230" s="95" t="inlineStr">
        <is>
          <t>B-226</t>
        </is>
      </c>
      <c r="B230" s="112" t="inlineStr">
        <is>
          <t>L08</t>
        </is>
      </c>
      <c r="C230" s="101" t="inlineStr">
        <is>
          <t>Egypt</t>
        </is>
      </c>
      <c r="D230" s="101" t="inlineStr">
        <is>
          <t>Cairo area</t>
        </is>
      </c>
      <c r="E230" s="101" t="inlineStr">
        <is>
          <t>B2  30 to 100 kg</t>
        </is>
      </c>
      <c r="F230" s="123" t="n">
        <v>49.7</v>
      </c>
      <c r="G230" s="86">
        <f>F230*0.006477</f>
        <v/>
      </c>
      <c r="H230" s="123">
        <f>F230*1.079436</f>
        <v/>
      </c>
      <c r="I230" s="122">
        <f>MAX(1,ROUNDUP(G230/0.096,0))</f>
        <v/>
      </c>
      <c r="J230" s="84" t="n">
        <v>46653</v>
      </c>
      <c r="K230" s="87">
        <f>J230-WEEKDAY(J230,2)+1</f>
        <v/>
      </c>
      <c r="L230" s="84">
        <f>J230</f>
        <v/>
      </c>
      <c r="M230" s="52">
        <f>INDEX(LR_Target,MATCH(B230,LR_Lane,0))</f>
        <v/>
      </c>
      <c r="N230" s="84">
        <f>WORKDAY.INTL(L230,M230,INDEX(LR_Code,MATCH(B230,LR_Lane,0)),INDEX(DH_Table,0,MATCH(B230&amp;"*",DH_Head,0)))</f>
        <v/>
      </c>
      <c r="O230" s="65">
        <f>IF(W230&lt;&gt;"",W230,IF(U230="Helmond",IF(COUNTIFS(RC_Lane,B230,RC_Band,E230,RC_Transit,"&lt;&gt;")=0,"",SUMIFS(RC_Transit,RC_Lane,B230,RC_Band,E230)),IF(U230="Other","",IF(INDEX(RS_Transit,MATCH(B230,RS_Lane,0))="","",INDEX(RS_Transit,MATCH(B230,RS_Lane,0))))))</f>
        <v/>
      </c>
      <c r="P230" s="140" t="n"/>
      <c r="Q230" s="84">
        <f>IF(P230&lt;&gt;"",P230,IF(O230="","",WORKDAY.INTL(L230,ROUNDUP(O230,0),INDEX(LR_Code,MATCH(B230,LR_Lane,0)),INDEX(DH_Table,0,MATCH(B230&amp;"*",DH_Head,0)))))</f>
        <v/>
      </c>
      <c r="R230" s="100">
        <f>IF(Q230="","",IF(Q230&lt;=N230,"Yes","No"))</f>
        <v/>
      </c>
      <c r="S230" s="52">
        <f>IF(Q230="","",IF(Q230&lt;=N230,0,NETWORKDAYS.INTL(N230,Q230,INDEX(LR_Code,MATCH(B230,LR_Lane,0)),INDEX(DH_Table,0,MATCH(B230&amp;"*",DH_Head,0)))-1))</f>
        <v/>
      </c>
      <c r="T230" s="127" t="n"/>
      <c r="U230" s="112">
        <f>IF(V230&lt;&gt;"",V230,IF(IFERROR(INDEX(RS_Flag,MATCH(B230,RS_Lane,0)),"")="Yes",IF(IFERROR(INDEX(RS_Loc,MATCH(B230,RS_Lane,0)),"")="","Regional stock",IFERROR(INDEX(RS_Loc,MATCH(B230,RS_Lane,0)),"")),"Helmond"))</f>
        <v/>
      </c>
      <c r="V230" s="141" t="n"/>
      <c r="W230" s="142" t="n"/>
      <c r="X230" s="143" t="n"/>
      <c r="Y230" s="116">
        <f>IF(X230&lt;&gt;"",X230,IF(U230="Helmond",IF(COUNTIFS(RC_Lane,B230,RC_Band,E230,RC_CostPS,"&gt;0")=0,"",SUMIFS(RC_CostPS,RC_Lane,B230,RC_Band,E230)*(1-SUMIFS(RC_Disc,RC_Lane,B230,RC_Band,E230))),IF(U230="Other","",IF(INDEX(RS_Rate,MATCH(B230,RS_Lane,0))="","",INDEX(RS_Rate,MATCH(B230,RS_Lane,0))))))</f>
        <v/>
      </c>
    </row>
    <row r="231">
      <c r="A231" s="95" t="inlineStr">
        <is>
          <t>B-227</t>
        </is>
      </c>
      <c r="B231" s="112" t="inlineStr">
        <is>
          <t>L01</t>
        </is>
      </c>
      <c r="C231" s="101" t="inlineStr">
        <is>
          <t>Saudi Arabia</t>
        </is>
      </c>
      <c r="D231" s="101" t="inlineStr">
        <is>
          <t>Jeddah</t>
        </is>
      </c>
      <c r="E231" s="101" t="inlineStr">
        <is>
          <t>B3  100 to 500 kg</t>
        </is>
      </c>
      <c r="F231" s="123" t="n">
        <v>264.4</v>
      </c>
      <c r="G231" s="86">
        <f>F231*0.006477</f>
        <v/>
      </c>
      <c r="H231" s="123">
        <f>F231*1.079436</f>
        <v/>
      </c>
      <c r="I231" s="122">
        <f>MAX(1,ROUNDUP(G231/0.096,0))</f>
        <v/>
      </c>
      <c r="J231" s="84" t="n">
        <v>46657</v>
      </c>
      <c r="K231" s="87">
        <f>J231-WEEKDAY(J231,2)+1</f>
        <v/>
      </c>
      <c r="L231" s="84">
        <f>J231</f>
        <v/>
      </c>
      <c r="M231" s="52">
        <f>INDEX(LR_Target,MATCH(B231,LR_Lane,0))</f>
        <v/>
      </c>
      <c r="N231" s="84">
        <f>WORKDAY.INTL(L231,M231,INDEX(LR_Code,MATCH(B231,LR_Lane,0)),INDEX(DH_Table,0,MATCH(B231&amp;"*",DH_Head,0)))</f>
        <v/>
      </c>
      <c r="O231" s="65">
        <f>IF(W231&lt;&gt;"",W231,IF(U231="Helmond",IF(COUNTIFS(RC_Lane,B231,RC_Band,E231,RC_Transit,"&lt;&gt;")=0,"",SUMIFS(RC_Transit,RC_Lane,B231,RC_Band,E231)),IF(U231="Other","",IF(INDEX(RS_Transit,MATCH(B231,RS_Lane,0))="","",INDEX(RS_Transit,MATCH(B231,RS_Lane,0))))))</f>
        <v/>
      </c>
      <c r="P231" s="140" t="n"/>
      <c r="Q231" s="84">
        <f>IF(P231&lt;&gt;"",P231,IF(O231="","",WORKDAY.INTL(L231,ROUNDUP(O231,0),INDEX(LR_Code,MATCH(B231,LR_Lane,0)),INDEX(DH_Table,0,MATCH(B231&amp;"*",DH_Head,0)))))</f>
        <v/>
      </c>
      <c r="R231" s="100">
        <f>IF(Q231="","",IF(Q231&lt;=N231,"Yes","No"))</f>
        <v/>
      </c>
      <c r="S231" s="52">
        <f>IF(Q231="","",IF(Q231&lt;=N231,0,NETWORKDAYS.INTL(N231,Q231,INDEX(LR_Code,MATCH(B231,LR_Lane,0)),INDEX(DH_Table,0,MATCH(B231&amp;"*",DH_Head,0)))-1))</f>
        <v/>
      </c>
      <c r="T231" s="127" t="n"/>
      <c r="U231" s="112">
        <f>IF(V231&lt;&gt;"",V231,IF(IFERROR(INDEX(RS_Flag,MATCH(B231,RS_Lane,0)),"")="Yes",IF(IFERROR(INDEX(RS_Loc,MATCH(B231,RS_Lane,0)),"")="","Regional stock",IFERROR(INDEX(RS_Loc,MATCH(B231,RS_Lane,0)),"")),"Helmond"))</f>
        <v/>
      </c>
      <c r="V231" s="141" t="n"/>
      <c r="W231" s="142" t="n"/>
      <c r="X231" s="143" t="n"/>
      <c r="Y231" s="116">
        <f>IF(X231&lt;&gt;"",X231,IF(U231="Helmond",IF(COUNTIFS(RC_Lane,B231,RC_Band,E231,RC_CostPS,"&gt;0")=0,"",SUMIFS(RC_CostPS,RC_Lane,B231,RC_Band,E231)*(1-SUMIFS(RC_Disc,RC_Lane,B231,RC_Band,E231))),IF(U231="Other","",IF(INDEX(RS_Rate,MATCH(B231,RS_Lane,0))="","",INDEX(RS_Rate,MATCH(B231,RS_Lane,0))))))</f>
        <v/>
      </c>
    </row>
    <row r="232">
      <c r="A232" s="95" t="inlineStr">
        <is>
          <t>B-228</t>
        </is>
      </c>
      <c r="B232" s="112" t="inlineStr">
        <is>
          <t>L03</t>
        </is>
      </c>
      <c r="C232" s="101" t="inlineStr">
        <is>
          <t>Kuwait</t>
        </is>
      </c>
      <c r="D232" s="101" t="inlineStr">
        <is>
          <t>Kuwait City</t>
        </is>
      </c>
      <c r="E232" s="101" t="inlineStr">
        <is>
          <t>B3  100 to 500 kg</t>
        </is>
      </c>
      <c r="F232" s="123" t="n">
        <v>224.4</v>
      </c>
      <c r="G232" s="86">
        <f>F232*0.006477</f>
        <v/>
      </c>
      <c r="H232" s="123">
        <f>F232*1.079436</f>
        <v/>
      </c>
      <c r="I232" s="122">
        <f>MAX(1,ROUNDUP(G232/0.096,0))</f>
        <v/>
      </c>
      <c r="J232" s="84" t="n">
        <v>46657</v>
      </c>
      <c r="K232" s="87">
        <f>J232-WEEKDAY(J232,2)+1</f>
        <v/>
      </c>
      <c r="L232" s="84">
        <f>J232</f>
        <v/>
      </c>
      <c r="M232" s="52">
        <f>INDEX(LR_Target,MATCH(B232,LR_Lane,0))</f>
        <v/>
      </c>
      <c r="N232" s="84">
        <f>WORKDAY.INTL(L232,M232,INDEX(LR_Code,MATCH(B232,LR_Lane,0)),INDEX(DH_Table,0,MATCH(B232&amp;"*",DH_Head,0)))</f>
        <v/>
      </c>
      <c r="O232" s="65">
        <f>IF(W232&lt;&gt;"",W232,IF(U232="Helmond",IF(COUNTIFS(RC_Lane,B232,RC_Band,E232,RC_Transit,"&lt;&gt;")=0,"",SUMIFS(RC_Transit,RC_Lane,B232,RC_Band,E232)),IF(U232="Other","",IF(INDEX(RS_Transit,MATCH(B232,RS_Lane,0))="","",INDEX(RS_Transit,MATCH(B232,RS_Lane,0))))))</f>
        <v/>
      </c>
      <c r="P232" s="140" t="n"/>
      <c r="Q232" s="84">
        <f>IF(P232&lt;&gt;"",P232,IF(O232="","",WORKDAY.INTL(L232,ROUNDUP(O232,0),INDEX(LR_Code,MATCH(B232,LR_Lane,0)),INDEX(DH_Table,0,MATCH(B232&amp;"*",DH_Head,0)))))</f>
        <v/>
      </c>
      <c r="R232" s="100">
        <f>IF(Q232="","",IF(Q232&lt;=N232,"Yes","No"))</f>
        <v/>
      </c>
      <c r="S232" s="52">
        <f>IF(Q232="","",IF(Q232&lt;=N232,0,NETWORKDAYS.INTL(N232,Q232,INDEX(LR_Code,MATCH(B232,LR_Lane,0)),INDEX(DH_Table,0,MATCH(B232&amp;"*",DH_Head,0)))-1))</f>
        <v/>
      </c>
      <c r="T232" s="127" t="n"/>
      <c r="U232" s="112">
        <f>IF(V232&lt;&gt;"",V232,IF(IFERROR(INDEX(RS_Flag,MATCH(B232,RS_Lane,0)),"")="Yes",IF(IFERROR(INDEX(RS_Loc,MATCH(B232,RS_Lane,0)),"")="","Regional stock",IFERROR(INDEX(RS_Loc,MATCH(B232,RS_Lane,0)),"")),"Helmond"))</f>
        <v/>
      </c>
      <c r="V232" s="141" t="n"/>
      <c r="W232" s="142" t="n"/>
      <c r="X232" s="143" t="n"/>
      <c r="Y232" s="116">
        <f>IF(X232&lt;&gt;"",X232,IF(U232="Helmond",IF(COUNTIFS(RC_Lane,B232,RC_Band,E232,RC_CostPS,"&gt;0")=0,"",SUMIFS(RC_CostPS,RC_Lane,B232,RC_Band,E232)*(1-SUMIFS(RC_Disc,RC_Lane,B232,RC_Band,E232))),IF(U232="Other","",IF(INDEX(RS_Rate,MATCH(B232,RS_Lane,0))="","",INDEX(RS_Rate,MATCH(B232,RS_Lane,0))))))</f>
        <v/>
      </c>
    </row>
    <row r="233">
      <c r="A233" s="95" t="inlineStr">
        <is>
          <t>B-229</t>
        </is>
      </c>
      <c r="B233" s="112" t="inlineStr">
        <is>
          <t>L05</t>
        </is>
      </c>
      <c r="C233" s="101" t="inlineStr">
        <is>
          <t>Türkiye</t>
        </is>
      </c>
      <c r="D233" s="101" t="inlineStr">
        <is>
          <t>Istanbul</t>
        </is>
      </c>
      <c r="E233" s="101" t="inlineStr">
        <is>
          <t>B3  100 to 500 kg</t>
        </is>
      </c>
      <c r="F233" s="123" t="n">
        <v>162</v>
      </c>
      <c r="G233" s="86">
        <f>F233*0.006477</f>
        <v/>
      </c>
      <c r="H233" s="123">
        <f>F233*1.079436</f>
        <v/>
      </c>
      <c r="I233" s="122">
        <f>MAX(1,ROUNDUP(G233/0.096,0))</f>
        <v/>
      </c>
      <c r="J233" s="84" t="n">
        <v>46657</v>
      </c>
      <c r="K233" s="87">
        <f>J233-WEEKDAY(J233,2)+1</f>
        <v/>
      </c>
      <c r="L233" s="84">
        <f>J233</f>
        <v/>
      </c>
      <c r="M233" s="52">
        <f>INDEX(LR_Target,MATCH(B233,LR_Lane,0))</f>
        <v/>
      </c>
      <c r="N233" s="84">
        <f>WORKDAY.INTL(L233,M233,INDEX(LR_Code,MATCH(B233,LR_Lane,0)),INDEX(DH_Table,0,MATCH(B233&amp;"*",DH_Head,0)))</f>
        <v/>
      </c>
      <c r="O233" s="65">
        <f>IF(W233&lt;&gt;"",W233,IF(U233="Helmond",IF(COUNTIFS(RC_Lane,B233,RC_Band,E233,RC_Transit,"&lt;&gt;")=0,"",SUMIFS(RC_Transit,RC_Lane,B233,RC_Band,E233)),IF(U233="Other","",IF(INDEX(RS_Transit,MATCH(B233,RS_Lane,0))="","",INDEX(RS_Transit,MATCH(B233,RS_Lane,0))))))</f>
        <v/>
      </c>
      <c r="P233" s="140" t="n"/>
      <c r="Q233" s="84">
        <f>IF(P233&lt;&gt;"",P233,IF(O233="","",WORKDAY.INTL(L233,ROUNDUP(O233,0),INDEX(LR_Code,MATCH(B233,LR_Lane,0)),INDEX(DH_Table,0,MATCH(B233&amp;"*",DH_Head,0)))))</f>
        <v/>
      </c>
      <c r="R233" s="100">
        <f>IF(Q233="","",IF(Q233&lt;=N233,"Yes","No"))</f>
        <v/>
      </c>
      <c r="S233" s="52">
        <f>IF(Q233="","",IF(Q233&lt;=N233,0,NETWORKDAYS.INTL(N233,Q233,INDEX(LR_Code,MATCH(B233,LR_Lane,0)),INDEX(DH_Table,0,MATCH(B233&amp;"*",DH_Head,0)))-1))</f>
        <v/>
      </c>
      <c r="T233" s="127" t="n"/>
      <c r="U233" s="112">
        <f>IF(V233&lt;&gt;"",V233,IF(IFERROR(INDEX(RS_Flag,MATCH(B233,RS_Lane,0)),"")="Yes",IF(IFERROR(INDEX(RS_Loc,MATCH(B233,RS_Lane,0)),"")="","Regional stock",IFERROR(INDEX(RS_Loc,MATCH(B233,RS_Lane,0)),"")),"Helmond"))</f>
        <v/>
      </c>
      <c r="V233" s="141" t="n"/>
      <c r="W233" s="142" t="n"/>
      <c r="X233" s="143" t="n"/>
      <c r="Y233" s="116">
        <f>IF(X233&lt;&gt;"",X233,IF(U233="Helmond",IF(COUNTIFS(RC_Lane,B233,RC_Band,E233,RC_CostPS,"&gt;0")=0,"",SUMIFS(RC_CostPS,RC_Lane,B233,RC_Band,E233)*(1-SUMIFS(RC_Disc,RC_Lane,B233,RC_Band,E233))),IF(U233="Other","",IF(INDEX(RS_Rate,MATCH(B233,RS_Lane,0))="","",INDEX(RS_Rate,MATCH(B233,RS_Lane,0))))))</f>
        <v/>
      </c>
    </row>
    <row r="234">
      <c r="A234" s="95" t="inlineStr">
        <is>
          <t>B-230</t>
        </is>
      </c>
      <c r="B234" s="112" t="inlineStr">
        <is>
          <t>L06</t>
        </is>
      </c>
      <c r="C234" s="101" t="inlineStr">
        <is>
          <t>Morocco</t>
        </is>
      </c>
      <c r="D234" s="101" t="inlineStr">
        <is>
          <t>Casablanca area</t>
        </is>
      </c>
      <c r="E234" s="101" t="inlineStr">
        <is>
          <t>B2  30 to 100 kg</t>
        </is>
      </c>
      <c r="F234" s="123" t="n">
        <v>44.2</v>
      </c>
      <c r="G234" s="86">
        <f>F234*0.006477</f>
        <v/>
      </c>
      <c r="H234" s="123">
        <f>F234*1.079436</f>
        <v/>
      </c>
      <c r="I234" s="122">
        <f>MAX(1,ROUNDUP(G234/0.096,0))</f>
        <v/>
      </c>
      <c r="J234" s="84" t="n">
        <v>46658</v>
      </c>
      <c r="K234" s="87">
        <f>J234-WEEKDAY(J234,2)+1</f>
        <v/>
      </c>
      <c r="L234" s="84">
        <f>J234</f>
        <v/>
      </c>
      <c r="M234" s="52">
        <f>INDEX(LR_Target,MATCH(B234,LR_Lane,0))</f>
        <v/>
      </c>
      <c r="N234" s="84">
        <f>WORKDAY.INTL(L234,M234,INDEX(LR_Code,MATCH(B234,LR_Lane,0)),INDEX(DH_Table,0,MATCH(B234&amp;"*",DH_Head,0)))</f>
        <v/>
      </c>
      <c r="O234" s="65">
        <f>IF(W234&lt;&gt;"",W234,IF(U234="Helmond",IF(COUNTIFS(RC_Lane,B234,RC_Band,E234,RC_Transit,"&lt;&gt;")=0,"",SUMIFS(RC_Transit,RC_Lane,B234,RC_Band,E234)),IF(U234="Other","",IF(INDEX(RS_Transit,MATCH(B234,RS_Lane,0))="","",INDEX(RS_Transit,MATCH(B234,RS_Lane,0))))))</f>
        <v/>
      </c>
      <c r="P234" s="140" t="n"/>
      <c r="Q234" s="84">
        <f>IF(P234&lt;&gt;"",P234,IF(O234="","",WORKDAY.INTL(L234,ROUNDUP(O234,0),INDEX(LR_Code,MATCH(B234,LR_Lane,0)),INDEX(DH_Table,0,MATCH(B234&amp;"*",DH_Head,0)))))</f>
        <v/>
      </c>
      <c r="R234" s="100">
        <f>IF(Q234="","",IF(Q234&lt;=N234,"Yes","No"))</f>
        <v/>
      </c>
      <c r="S234" s="52">
        <f>IF(Q234="","",IF(Q234&lt;=N234,0,NETWORKDAYS.INTL(N234,Q234,INDEX(LR_Code,MATCH(B234,LR_Lane,0)),INDEX(DH_Table,0,MATCH(B234&amp;"*",DH_Head,0)))-1))</f>
        <v/>
      </c>
      <c r="T234" s="127" t="n"/>
      <c r="U234" s="112">
        <f>IF(V234&lt;&gt;"",V234,IF(IFERROR(INDEX(RS_Flag,MATCH(B234,RS_Lane,0)),"")="Yes",IF(IFERROR(INDEX(RS_Loc,MATCH(B234,RS_Lane,0)),"")="","Regional stock",IFERROR(INDEX(RS_Loc,MATCH(B234,RS_Lane,0)),"")),"Helmond"))</f>
        <v/>
      </c>
      <c r="V234" s="141" t="n"/>
      <c r="W234" s="142" t="n"/>
      <c r="X234" s="143" t="n"/>
      <c r="Y234" s="116">
        <f>IF(X234&lt;&gt;"",X234,IF(U234="Helmond",IF(COUNTIFS(RC_Lane,B234,RC_Band,E234,RC_CostPS,"&gt;0")=0,"",SUMIFS(RC_CostPS,RC_Lane,B234,RC_Band,E234)*(1-SUMIFS(RC_Disc,RC_Lane,B234,RC_Band,E234))),IF(U234="Other","",IF(INDEX(RS_Rate,MATCH(B234,RS_Lane,0))="","",INDEX(RS_Rate,MATCH(B234,RS_Lane,0))))))</f>
        <v/>
      </c>
    </row>
    <row r="235">
      <c r="A235" s="95" t="inlineStr">
        <is>
          <t>B-231</t>
        </is>
      </c>
      <c r="B235" s="112" t="inlineStr">
        <is>
          <t>L01</t>
        </is>
      </c>
      <c r="C235" s="101" t="inlineStr">
        <is>
          <t>Saudi Arabia</t>
        </is>
      </c>
      <c r="D235" s="101" t="inlineStr">
        <is>
          <t>Riyadh</t>
        </is>
      </c>
      <c r="E235" s="101" t="inlineStr">
        <is>
          <t>B2  30 to 100 kg</t>
        </is>
      </c>
      <c r="F235" s="123" t="n">
        <v>59</v>
      </c>
      <c r="G235" s="86">
        <f>F235*0.006477</f>
        <v/>
      </c>
      <c r="H235" s="123">
        <f>F235*1.079436</f>
        <v/>
      </c>
      <c r="I235" s="122">
        <f>MAX(1,ROUNDUP(G235/0.096,0))</f>
        <v/>
      </c>
      <c r="J235" s="84" t="n">
        <v>46660</v>
      </c>
      <c r="K235" s="87">
        <f>J235-WEEKDAY(J235,2)+1</f>
        <v/>
      </c>
      <c r="L235" s="84">
        <f>J235</f>
        <v/>
      </c>
      <c r="M235" s="52">
        <f>INDEX(LR_Target,MATCH(B235,LR_Lane,0))</f>
        <v/>
      </c>
      <c r="N235" s="84">
        <f>WORKDAY.INTL(L235,M235,INDEX(LR_Code,MATCH(B235,LR_Lane,0)),INDEX(DH_Table,0,MATCH(B235&amp;"*",DH_Head,0)))</f>
        <v/>
      </c>
      <c r="O235" s="65">
        <f>IF(W235&lt;&gt;"",W235,IF(U235="Helmond",IF(COUNTIFS(RC_Lane,B235,RC_Band,E235,RC_Transit,"&lt;&gt;")=0,"",SUMIFS(RC_Transit,RC_Lane,B235,RC_Band,E235)),IF(U235="Other","",IF(INDEX(RS_Transit,MATCH(B235,RS_Lane,0))="","",INDEX(RS_Transit,MATCH(B235,RS_Lane,0))))))</f>
        <v/>
      </c>
      <c r="P235" s="140" t="n"/>
      <c r="Q235" s="84">
        <f>IF(P235&lt;&gt;"",P235,IF(O235="","",WORKDAY.INTL(L235,ROUNDUP(O235,0),INDEX(LR_Code,MATCH(B235,LR_Lane,0)),INDEX(DH_Table,0,MATCH(B235&amp;"*",DH_Head,0)))))</f>
        <v/>
      </c>
      <c r="R235" s="100">
        <f>IF(Q235="","",IF(Q235&lt;=N235,"Yes","No"))</f>
        <v/>
      </c>
      <c r="S235" s="52">
        <f>IF(Q235="","",IF(Q235&lt;=N235,0,NETWORKDAYS.INTL(N235,Q235,INDEX(LR_Code,MATCH(B235,LR_Lane,0)),INDEX(DH_Table,0,MATCH(B235&amp;"*",DH_Head,0)))-1))</f>
        <v/>
      </c>
      <c r="T235" s="127" t="n"/>
      <c r="U235" s="112">
        <f>IF(V235&lt;&gt;"",V235,IF(IFERROR(INDEX(RS_Flag,MATCH(B235,RS_Lane,0)),"")="Yes",IF(IFERROR(INDEX(RS_Loc,MATCH(B235,RS_Lane,0)),"")="","Regional stock",IFERROR(INDEX(RS_Loc,MATCH(B235,RS_Lane,0)),"")),"Helmond"))</f>
        <v/>
      </c>
      <c r="V235" s="141" t="n"/>
      <c r="W235" s="142" t="n"/>
      <c r="X235" s="143" t="n"/>
      <c r="Y235" s="116">
        <f>IF(X235&lt;&gt;"",X235,IF(U235="Helmond",IF(COUNTIFS(RC_Lane,B235,RC_Band,E235,RC_CostPS,"&gt;0")=0,"",SUMIFS(RC_CostPS,RC_Lane,B235,RC_Band,E235)*(1-SUMIFS(RC_Disc,RC_Lane,B235,RC_Band,E235))),IF(U235="Other","",IF(INDEX(RS_Rate,MATCH(B235,RS_Lane,0))="","",INDEX(RS_Rate,MATCH(B235,RS_Lane,0))))))</f>
        <v/>
      </c>
    </row>
    <row r="236">
      <c r="A236" s="95" t="inlineStr">
        <is>
          <t>B-232</t>
        </is>
      </c>
      <c r="B236" s="112" t="inlineStr">
        <is>
          <t>L01</t>
        </is>
      </c>
      <c r="C236" s="101" t="inlineStr">
        <is>
          <t>Saudi Arabia</t>
        </is>
      </c>
      <c r="D236" s="101" t="inlineStr">
        <is>
          <t>Jeddah</t>
        </is>
      </c>
      <c r="E236" s="101" t="inlineStr">
        <is>
          <t>B1  0 to 30 kg</t>
        </is>
      </c>
      <c r="F236" s="123" t="n">
        <v>12.8</v>
      </c>
      <c r="G236" s="86">
        <f>F236*0.006477</f>
        <v/>
      </c>
      <c r="H236" s="123">
        <f>F236*1.079436</f>
        <v/>
      </c>
      <c r="I236" s="122">
        <f>MAX(1,ROUNDUP(G236/0.096,0))</f>
        <v/>
      </c>
      <c r="J236" s="84" t="n">
        <v>46660</v>
      </c>
      <c r="K236" s="87">
        <f>J236-WEEKDAY(J236,2)+1</f>
        <v/>
      </c>
      <c r="L236" s="84">
        <f>J236</f>
        <v/>
      </c>
      <c r="M236" s="52">
        <f>INDEX(LR_Target,MATCH(B236,LR_Lane,0))</f>
        <v/>
      </c>
      <c r="N236" s="84">
        <f>WORKDAY.INTL(L236,M236,INDEX(LR_Code,MATCH(B236,LR_Lane,0)),INDEX(DH_Table,0,MATCH(B236&amp;"*",DH_Head,0)))</f>
        <v/>
      </c>
      <c r="O236" s="65">
        <f>IF(W236&lt;&gt;"",W236,IF(U236="Helmond",IF(COUNTIFS(RC_Lane,B236,RC_Band,E236,RC_Transit,"&lt;&gt;")=0,"",SUMIFS(RC_Transit,RC_Lane,B236,RC_Band,E236)),IF(U236="Other","",IF(INDEX(RS_Transit,MATCH(B236,RS_Lane,0))="","",INDEX(RS_Transit,MATCH(B236,RS_Lane,0))))))</f>
        <v/>
      </c>
      <c r="P236" s="140" t="n"/>
      <c r="Q236" s="84">
        <f>IF(P236&lt;&gt;"",P236,IF(O236="","",WORKDAY.INTL(L236,ROUNDUP(O236,0),INDEX(LR_Code,MATCH(B236,LR_Lane,0)),INDEX(DH_Table,0,MATCH(B236&amp;"*",DH_Head,0)))))</f>
        <v/>
      </c>
      <c r="R236" s="100">
        <f>IF(Q236="","",IF(Q236&lt;=N236,"Yes","No"))</f>
        <v/>
      </c>
      <c r="S236" s="52">
        <f>IF(Q236="","",IF(Q236&lt;=N236,0,NETWORKDAYS.INTL(N236,Q236,INDEX(LR_Code,MATCH(B236,LR_Lane,0)),INDEX(DH_Table,0,MATCH(B236&amp;"*",DH_Head,0)))-1))</f>
        <v/>
      </c>
      <c r="T236" s="127" t="n"/>
      <c r="U236" s="112">
        <f>IF(V236&lt;&gt;"",V236,IF(IFERROR(INDEX(RS_Flag,MATCH(B236,RS_Lane,0)),"")="Yes",IF(IFERROR(INDEX(RS_Loc,MATCH(B236,RS_Lane,0)),"")="","Regional stock",IFERROR(INDEX(RS_Loc,MATCH(B236,RS_Lane,0)),"")),"Helmond"))</f>
        <v/>
      </c>
      <c r="V236" s="141" t="n"/>
      <c r="W236" s="142" t="n"/>
      <c r="X236" s="143" t="n"/>
      <c r="Y236" s="116">
        <f>IF(X236&lt;&gt;"",X236,IF(U236="Helmond",IF(COUNTIFS(RC_Lane,B236,RC_Band,E236,RC_CostPS,"&gt;0")=0,"",SUMIFS(RC_CostPS,RC_Lane,B236,RC_Band,E236)*(1-SUMIFS(RC_Disc,RC_Lane,B236,RC_Band,E236))),IF(U236="Other","",IF(INDEX(RS_Rate,MATCH(B236,RS_Lane,0))="","",INDEX(RS_Rate,MATCH(B236,RS_Lane,0))))))</f>
        <v/>
      </c>
    </row>
    <row r="237">
      <c r="A237" s="95" t="inlineStr">
        <is>
          <t>B-233</t>
        </is>
      </c>
      <c r="B237" s="112" t="inlineStr">
        <is>
          <t>L01</t>
        </is>
      </c>
      <c r="C237" s="101" t="inlineStr">
        <is>
          <t>Saudi Arabia</t>
        </is>
      </c>
      <c r="D237" s="101" t="inlineStr">
        <is>
          <t>Jeddah</t>
        </is>
      </c>
      <c r="E237" s="101" t="inlineStr">
        <is>
          <t>B3  100 to 500 kg</t>
        </is>
      </c>
      <c r="F237" s="123" t="n">
        <v>181.8</v>
      </c>
      <c r="G237" s="86">
        <f>F237*0.006477</f>
        <v/>
      </c>
      <c r="H237" s="123">
        <f>F237*1.079436</f>
        <v/>
      </c>
      <c r="I237" s="122">
        <f>MAX(1,ROUNDUP(G237/0.096,0))</f>
        <v/>
      </c>
      <c r="J237" s="84" t="n">
        <v>46660</v>
      </c>
      <c r="K237" s="87">
        <f>J237-WEEKDAY(J237,2)+1</f>
        <v/>
      </c>
      <c r="L237" s="84">
        <f>J237</f>
        <v/>
      </c>
      <c r="M237" s="52">
        <f>INDEX(LR_Target,MATCH(B237,LR_Lane,0))</f>
        <v/>
      </c>
      <c r="N237" s="84">
        <f>WORKDAY.INTL(L237,M237,INDEX(LR_Code,MATCH(B237,LR_Lane,0)),INDEX(DH_Table,0,MATCH(B237&amp;"*",DH_Head,0)))</f>
        <v/>
      </c>
      <c r="O237" s="65">
        <f>IF(W237&lt;&gt;"",W237,IF(U237="Helmond",IF(COUNTIFS(RC_Lane,B237,RC_Band,E237,RC_Transit,"&lt;&gt;")=0,"",SUMIFS(RC_Transit,RC_Lane,B237,RC_Band,E237)),IF(U237="Other","",IF(INDEX(RS_Transit,MATCH(B237,RS_Lane,0))="","",INDEX(RS_Transit,MATCH(B237,RS_Lane,0))))))</f>
        <v/>
      </c>
      <c r="P237" s="140" t="n"/>
      <c r="Q237" s="84">
        <f>IF(P237&lt;&gt;"",P237,IF(O237="","",WORKDAY.INTL(L237,ROUNDUP(O237,0),INDEX(LR_Code,MATCH(B237,LR_Lane,0)),INDEX(DH_Table,0,MATCH(B237&amp;"*",DH_Head,0)))))</f>
        <v/>
      </c>
      <c r="R237" s="100">
        <f>IF(Q237="","",IF(Q237&lt;=N237,"Yes","No"))</f>
        <v/>
      </c>
      <c r="S237" s="52">
        <f>IF(Q237="","",IF(Q237&lt;=N237,0,NETWORKDAYS.INTL(N237,Q237,INDEX(LR_Code,MATCH(B237,LR_Lane,0)),INDEX(DH_Table,0,MATCH(B237&amp;"*",DH_Head,0)))-1))</f>
        <v/>
      </c>
      <c r="T237" s="127" t="n"/>
      <c r="U237" s="112">
        <f>IF(V237&lt;&gt;"",V237,IF(IFERROR(INDEX(RS_Flag,MATCH(B237,RS_Lane,0)),"")="Yes",IF(IFERROR(INDEX(RS_Loc,MATCH(B237,RS_Lane,0)),"")="","Regional stock",IFERROR(INDEX(RS_Loc,MATCH(B237,RS_Lane,0)),"")),"Helmond"))</f>
        <v/>
      </c>
      <c r="V237" s="141" t="n"/>
      <c r="W237" s="142" t="n"/>
      <c r="X237" s="143" t="n"/>
      <c r="Y237" s="116">
        <f>IF(X237&lt;&gt;"",X237,IF(U237="Helmond",IF(COUNTIFS(RC_Lane,B237,RC_Band,E237,RC_CostPS,"&gt;0")=0,"",SUMIFS(RC_CostPS,RC_Lane,B237,RC_Band,E237)*(1-SUMIFS(RC_Disc,RC_Lane,B237,RC_Band,E237))),IF(U237="Other","",IF(INDEX(RS_Rate,MATCH(B237,RS_Lane,0))="","",INDEX(RS_Rate,MATCH(B237,RS_Lane,0))))))</f>
        <v/>
      </c>
    </row>
    <row r="238">
      <c r="A238" s="95" t="inlineStr">
        <is>
          <t>B-234</t>
        </is>
      </c>
      <c r="B238" s="112" t="inlineStr">
        <is>
          <t>L02</t>
        </is>
      </c>
      <c r="C238" s="101" t="inlineStr">
        <is>
          <t>United Arab Emirates</t>
        </is>
      </c>
      <c r="D238" s="101" t="inlineStr">
        <is>
          <t>Dubai</t>
        </is>
      </c>
      <c r="E238" s="101" t="inlineStr">
        <is>
          <t>B1  0 to 30 kg</t>
        </is>
      </c>
      <c r="F238" s="123" t="n">
        <v>6.5</v>
      </c>
      <c r="G238" s="86">
        <f>F238*0.006477</f>
        <v/>
      </c>
      <c r="H238" s="123">
        <f>F238*1.079436</f>
        <v/>
      </c>
      <c r="I238" s="122">
        <f>MAX(1,ROUNDUP(G238/0.096,0))</f>
        <v/>
      </c>
      <c r="J238" s="84" t="n">
        <v>46660</v>
      </c>
      <c r="K238" s="87">
        <f>J238-WEEKDAY(J238,2)+1</f>
        <v/>
      </c>
      <c r="L238" s="84">
        <f>J238</f>
        <v/>
      </c>
      <c r="M238" s="52">
        <f>INDEX(LR_Target,MATCH(B238,LR_Lane,0))</f>
        <v/>
      </c>
      <c r="N238" s="84">
        <f>WORKDAY.INTL(L238,M238,INDEX(LR_Code,MATCH(B238,LR_Lane,0)),INDEX(DH_Table,0,MATCH(B238&amp;"*",DH_Head,0)))</f>
        <v/>
      </c>
      <c r="O238" s="65">
        <f>IF(W238&lt;&gt;"",W238,IF(U238="Helmond",IF(COUNTIFS(RC_Lane,B238,RC_Band,E238,RC_Transit,"&lt;&gt;")=0,"",SUMIFS(RC_Transit,RC_Lane,B238,RC_Band,E238)),IF(U238="Other","",IF(INDEX(RS_Transit,MATCH(B238,RS_Lane,0))="","",INDEX(RS_Transit,MATCH(B238,RS_Lane,0))))))</f>
        <v/>
      </c>
      <c r="P238" s="140" t="n"/>
      <c r="Q238" s="84">
        <f>IF(P238&lt;&gt;"",P238,IF(O238="","",WORKDAY.INTL(L238,ROUNDUP(O238,0),INDEX(LR_Code,MATCH(B238,LR_Lane,0)),INDEX(DH_Table,0,MATCH(B238&amp;"*",DH_Head,0)))))</f>
        <v/>
      </c>
      <c r="R238" s="100">
        <f>IF(Q238="","",IF(Q238&lt;=N238,"Yes","No"))</f>
        <v/>
      </c>
      <c r="S238" s="52">
        <f>IF(Q238="","",IF(Q238&lt;=N238,0,NETWORKDAYS.INTL(N238,Q238,INDEX(LR_Code,MATCH(B238,LR_Lane,0)),INDEX(DH_Table,0,MATCH(B238&amp;"*",DH_Head,0)))-1))</f>
        <v/>
      </c>
      <c r="T238" s="127" t="n"/>
      <c r="U238" s="112">
        <f>IF(V238&lt;&gt;"",V238,IF(IFERROR(INDEX(RS_Flag,MATCH(B238,RS_Lane,0)),"")="Yes",IF(IFERROR(INDEX(RS_Loc,MATCH(B238,RS_Lane,0)),"")="","Regional stock",IFERROR(INDEX(RS_Loc,MATCH(B238,RS_Lane,0)),"")),"Helmond"))</f>
        <v/>
      </c>
      <c r="V238" s="141" t="n"/>
      <c r="W238" s="142" t="n"/>
      <c r="X238" s="143" t="n"/>
      <c r="Y238" s="116">
        <f>IF(X238&lt;&gt;"",X238,IF(U238="Helmond",IF(COUNTIFS(RC_Lane,B238,RC_Band,E238,RC_CostPS,"&gt;0")=0,"",SUMIFS(RC_CostPS,RC_Lane,B238,RC_Band,E238)*(1-SUMIFS(RC_Disc,RC_Lane,B238,RC_Band,E238))),IF(U238="Other","",IF(INDEX(RS_Rate,MATCH(B238,RS_Lane,0))="","",INDEX(RS_Rate,MATCH(B238,RS_Lane,0))))))</f>
        <v/>
      </c>
    </row>
    <row r="239">
      <c r="A239" s="95" t="inlineStr">
        <is>
          <t>B-235</t>
        </is>
      </c>
      <c r="B239" s="112" t="inlineStr">
        <is>
          <t>L01</t>
        </is>
      </c>
      <c r="C239" s="101" t="inlineStr">
        <is>
          <t>Saudi Arabia</t>
        </is>
      </c>
      <c r="D239" s="101" t="inlineStr">
        <is>
          <t>Riyadh</t>
        </is>
      </c>
      <c r="E239" s="101" t="inlineStr">
        <is>
          <t>B5  over 2,000 kg</t>
        </is>
      </c>
      <c r="F239" s="123" t="n">
        <v>2768.3</v>
      </c>
      <c r="G239" s="86">
        <f>F239*0.006477</f>
        <v/>
      </c>
      <c r="H239" s="123">
        <f>F239*1.079436</f>
        <v/>
      </c>
      <c r="I239" s="122">
        <f>MAX(1,ROUNDUP(G239/0.096,0))</f>
        <v/>
      </c>
      <c r="J239" s="84" t="n">
        <v>46661</v>
      </c>
      <c r="K239" s="87">
        <f>J239-WEEKDAY(J239,2)+1</f>
        <v/>
      </c>
      <c r="L239" s="84">
        <f>J239</f>
        <v/>
      </c>
      <c r="M239" s="52">
        <f>INDEX(LR_Target,MATCH(B239,LR_Lane,0))</f>
        <v/>
      </c>
      <c r="N239" s="84">
        <f>WORKDAY.INTL(L239,M239,INDEX(LR_Code,MATCH(B239,LR_Lane,0)),INDEX(DH_Table,0,MATCH(B239&amp;"*",DH_Head,0)))</f>
        <v/>
      </c>
      <c r="O239" s="65">
        <f>IF(W239&lt;&gt;"",W239,IF(U239="Helmond",IF(COUNTIFS(RC_Lane,B239,RC_Band,E239,RC_Transit,"&lt;&gt;")=0,"",SUMIFS(RC_Transit,RC_Lane,B239,RC_Band,E239)),IF(U239="Other","",IF(INDEX(RS_Transit,MATCH(B239,RS_Lane,0))="","",INDEX(RS_Transit,MATCH(B239,RS_Lane,0))))))</f>
        <v/>
      </c>
      <c r="P239" s="140" t="n"/>
      <c r="Q239" s="84">
        <f>IF(P239&lt;&gt;"",P239,IF(O239="","",WORKDAY.INTL(L239,ROUNDUP(O239,0),INDEX(LR_Code,MATCH(B239,LR_Lane,0)),INDEX(DH_Table,0,MATCH(B239&amp;"*",DH_Head,0)))))</f>
        <v/>
      </c>
      <c r="R239" s="100">
        <f>IF(Q239="","",IF(Q239&lt;=N239,"Yes","No"))</f>
        <v/>
      </c>
      <c r="S239" s="52">
        <f>IF(Q239="","",IF(Q239&lt;=N239,0,NETWORKDAYS.INTL(N239,Q239,INDEX(LR_Code,MATCH(B239,LR_Lane,0)),INDEX(DH_Table,0,MATCH(B239&amp;"*",DH_Head,0)))-1))</f>
        <v/>
      </c>
      <c r="T239" s="127" t="n"/>
      <c r="U239" s="112">
        <f>IF(V239&lt;&gt;"",V239,IF(IFERROR(INDEX(RS_Flag,MATCH(B239,RS_Lane,0)),"")="Yes",IF(IFERROR(INDEX(RS_Loc,MATCH(B239,RS_Lane,0)),"")="","Regional stock",IFERROR(INDEX(RS_Loc,MATCH(B239,RS_Lane,0)),"")),"Helmond"))</f>
        <v/>
      </c>
      <c r="V239" s="141" t="n"/>
      <c r="W239" s="142" t="n"/>
      <c r="X239" s="143" t="n"/>
      <c r="Y239" s="116">
        <f>IF(X239&lt;&gt;"",X239,IF(U239="Helmond",IF(COUNTIFS(RC_Lane,B239,RC_Band,E239,RC_CostPS,"&gt;0")=0,"",SUMIFS(RC_CostPS,RC_Lane,B239,RC_Band,E239)*(1-SUMIFS(RC_Disc,RC_Lane,B239,RC_Band,E239))),IF(U239="Other","",IF(INDEX(RS_Rate,MATCH(B239,RS_Lane,0))="","",INDEX(RS_Rate,MATCH(B239,RS_Lane,0))))))</f>
        <v/>
      </c>
    </row>
    <row r="240">
      <c r="A240" s="95" t="inlineStr">
        <is>
          <t>B-236</t>
        </is>
      </c>
      <c r="B240" s="112" t="inlineStr">
        <is>
          <t>L06</t>
        </is>
      </c>
      <c r="C240" s="101" t="inlineStr">
        <is>
          <t>Morocco</t>
        </is>
      </c>
      <c r="D240" s="101" t="inlineStr">
        <is>
          <t>Casablanca area</t>
        </is>
      </c>
      <c r="E240" s="101" t="inlineStr">
        <is>
          <t>B1  0 to 30 kg</t>
        </is>
      </c>
      <c r="F240" s="123" t="n">
        <v>7.4</v>
      </c>
      <c r="G240" s="86">
        <f>F240*0.006477</f>
        <v/>
      </c>
      <c r="H240" s="123">
        <f>F240*1.079436</f>
        <v/>
      </c>
      <c r="I240" s="122">
        <f>MAX(1,ROUNDUP(G240/0.096,0))</f>
        <v/>
      </c>
      <c r="J240" s="84" t="n">
        <v>46661</v>
      </c>
      <c r="K240" s="87">
        <f>J240-WEEKDAY(J240,2)+1</f>
        <v/>
      </c>
      <c r="L240" s="84">
        <f>J240</f>
        <v/>
      </c>
      <c r="M240" s="52">
        <f>INDEX(LR_Target,MATCH(B240,LR_Lane,0))</f>
        <v/>
      </c>
      <c r="N240" s="84">
        <f>WORKDAY.INTL(L240,M240,INDEX(LR_Code,MATCH(B240,LR_Lane,0)),INDEX(DH_Table,0,MATCH(B240&amp;"*",DH_Head,0)))</f>
        <v/>
      </c>
      <c r="O240" s="65">
        <f>IF(W240&lt;&gt;"",W240,IF(U240="Helmond",IF(COUNTIFS(RC_Lane,B240,RC_Band,E240,RC_Transit,"&lt;&gt;")=0,"",SUMIFS(RC_Transit,RC_Lane,B240,RC_Band,E240)),IF(U240="Other","",IF(INDEX(RS_Transit,MATCH(B240,RS_Lane,0))="","",INDEX(RS_Transit,MATCH(B240,RS_Lane,0))))))</f>
        <v/>
      </c>
      <c r="P240" s="140" t="n"/>
      <c r="Q240" s="84">
        <f>IF(P240&lt;&gt;"",P240,IF(O240="","",WORKDAY.INTL(L240,ROUNDUP(O240,0),INDEX(LR_Code,MATCH(B240,LR_Lane,0)),INDEX(DH_Table,0,MATCH(B240&amp;"*",DH_Head,0)))))</f>
        <v/>
      </c>
      <c r="R240" s="100">
        <f>IF(Q240="","",IF(Q240&lt;=N240,"Yes","No"))</f>
        <v/>
      </c>
      <c r="S240" s="52">
        <f>IF(Q240="","",IF(Q240&lt;=N240,0,NETWORKDAYS.INTL(N240,Q240,INDEX(LR_Code,MATCH(B240,LR_Lane,0)),INDEX(DH_Table,0,MATCH(B240&amp;"*",DH_Head,0)))-1))</f>
        <v/>
      </c>
      <c r="T240" s="127" t="n"/>
      <c r="U240" s="112">
        <f>IF(V240&lt;&gt;"",V240,IF(IFERROR(INDEX(RS_Flag,MATCH(B240,RS_Lane,0)),"")="Yes",IF(IFERROR(INDEX(RS_Loc,MATCH(B240,RS_Lane,0)),"")="","Regional stock",IFERROR(INDEX(RS_Loc,MATCH(B240,RS_Lane,0)),"")),"Helmond"))</f>
        <v/>
      </c>
      <c r="V240" s="141" t="n"/>
      <c r="W240" s="142" t="n"/>
      <c r="X240" s="143" t="n"/>
      <c r="Y240" s="116">
        <f>IF(X240&lt;&gt;"",X240,IF(U240="Helmond",IF(COUNTIFS(RC_Lane,B240,RC_Band,E240,RC_CostPS,"&gt;0")=0,"",SUMIFS(RC_CostPS,RC_Lane,B240,RC_Band,E240)*(1-SUMIFS(RC_Disc,RC_Lane,B240,RC_Band,E240))),IF(U240="Other","",IF(INDEX(RS_Rate,MATCH(B240,RS_Lane,0))="","",INDEX(RS_Rate,MATCH(B240,RS_Lane,0))))))</f>
        <v/>
      </c>
    </row>
    <row r="241">
      <c r="A241" s="95" t="inlineStr">
        <is>
          <t>B-237</t>
        </is>
      </c>
      <c r="B241" s="112" t="inlineStr">
        <is>
          <t>L05</t>
        </is>
      </c>
      <c r="C241" s="101" t="inlineStr">
        <is>
          <t>Türkiye</t>
        </is>
      </c>
      <c r="D241" s="101" t="inlineStr">
        <is>
          <t>Istanbul</t>
        </is>
      </c>
      <c r="E241" s="101" t="inlineStr">
        <is>
          <t>B1  0 to 30 kg</t>
        </is>
      </c>
      <c r="F241" s="123" t="n">
        <v>12</v>
      </c>
      <c r="G241" s="86">
        <f>F241*0.006477</f>
        <v/>
      </c>
      <c r="H241" s="123">
        <f>F241*1.079436</f>
        <v/>
      </c>
      <c r="I241" s="122">
        <f>MAX(1,ROUNDUP(G241/0.096,0))</f>
        <v/>
      </c>
      <c r="J241" s="84" t="n">
        <v>46664</v>
      </c>
      <c r="K241" s="87">
        <f>J241-WEEKDAY(J241,2)+1</f>
        <v/>
      </c>
      <c r="L241" s="84">
        <f>J241</f>
        <v/>
      </c>
      <c r="M241" s="52">
        <f>INDEX(LR_Target,MATCH(B241,LR_Lane,0))</f>
        <v/>
      </c>
      <c r="N241" s="84">
        <f>WORKDAY.INTL(L241,M241,INDEX(LR_Code,MATCH(B241,LR_Lane,0)),INDEX(DH_Table,0,MATCH(B241&amp;"*",DH_Head,0)))</f>
        <v/>
      </c>
      <c r="O241" s="65">
        <f>IF(W241&lt;&gt;"",W241,IF(U241="Helmond",IF(COUNTIFS(RC_Lane,B241,RC_Band,E241,RC_Transit,"&lt;&gt;")=0,"",SUMIFS(RC_Transit,RC_Lane,B241,RC_Band,E241)),IF(U241="Other","",IF(INDEX(RS_Transit,MATCH(B241,RS_Lane,0))="","",INDEX(RS_Transit,MATCH(B241,RS_Lane,0))))))</f>
        <v/>
      </c>
      <c r="P241" s="140" t="n"/>
      <c r="Q241" s="84">
        <f>IF(P241&lt;&gt;"",P241,IF(O241="","",WORKDAY.INTL(L241,ROUNDUP(O241,0),INDEX(LR_Code,MATCH(B241,LR_Lane,0)),INDEX(DH_Table,0,MATCH(B241&amp;"*",DH_Head,0)))))</f>
        <v/>
      </c>
      <c r="R241" s="100">
        <f>IF(Q241="","",IF(Q241&lt;=N241,"Yes","No"))</f>
        <v/>
      </c>
      <c r="S241" s="52">
        <f>IF(Q241="","",IF(Q241&lt;=N241,0,NETWORKDAYS.INTL(N241,Q241,INDEX(LR_Code,MATCH(B241,LR_Lane,0)),INDEX(DH_Table,0,MATCH(B241&amp;"*",DH_Head,0)))-1))</f>
        <v/>
      </c>
      <c r="T241" s="127" t="n"/>
      <c r="U241" s="112">
        <f>IF(V241&lt;&gt;"",V241,IF(IFERROR(INDEX(RS_Flag,MATCH(B241,RS_Lane,0)),"")="Yes",IF(IFERROR(INDEX(RS_Loc,MATCH(B241,RS_Lane,0)),"")="","Regional stock",IFERROR(INDEX(RS_Loc,MATCH(B241,RS_Lane,0)),"")),"Helmond"))</f>
        <v/>
      </c>
      <c r="V241" s="141" t="n"/>
      <c r="W241" s="142" t="n"/>
      <c r="X241" s="143" t="n"/>
      <c r="Y241" s="116">
        <f>IF(X241&lt;&gt;"",X241,IF(U241="Helmond",IF(COUNTIFS(RC_Lane,B241,RC_Band,E241,RC_CostPS,"&gt;0")=0,"",SUMIFS(RC_CostPS,RC_Lane,B241,RC_Band,E241)*(1-SUMIFS(RC_Disc,RC_Lane,B241,RC_Band,E241))),IF(U241="Other","",IF(INDEX(RS_Rate,MATCH(B241,RS_Lane,0))="","",INDEX(RS_Rate,MATCH(B241,RS_Lane,0))))))</f>
        <v/>
      </c>
    </row>
    <row r="242">
      <c r="A242" s="95" t="inlineStr">
        <is>
          <t>B-238</t>
        </is>
      </c>
      <c r="B242" s="112" t="inlineStr">
        <is>
          <t>L01</t>
        </is>
      </c>
      <c r="C242" s="101" t="inlineStr">
        <is>
          <t>Saudi Arabia</t>
        </is>
      </c>
      <c r="D242" s="101" t="inlineStr">
        <is>
          <t>Jeddah</t>
        </is>
      </c>
      <c r="E242" s="101" t="inlineStr">
        <is>
          <t>B5  over 2,000 kg</t>
        </is>
      </c>
      <c r="F242" s="123" t="n">
        <v>2195.5</v>
      </c>
      <c r="G242" s="86">
        <f>F242*0.006477</f>
        <v/>
      </c>
      <c r="H242" s="123">
        <f>F242*1.079436</f>
        <v/>
      </c>
      <c r="I242" s="122">
        <f>MAX(1,ROUNDUP(G242/0.096,0))</f>
        <v/>
      </c>
      <c r="J242" s="84" t="n">
        <v>46665</v>
      </c>
      <c r="K242" s="87">
        <f>J242-WEEKDAY(J242,2)+1</f>
        <v/>
      </c>
      <c r="L242" s="84">
        <f>J242</f>
        <v/>
      </c>
      <c r="M242" s="52">
        <f>INDEX(LR_Target,MATCH(B242,LR_Lane,0))</f>
        <v/>
      </c>
      <c r="N242" s="84">
        <f>WORKDAY.INTL(L242,M242,INDEX(LR_Code,MATCH(B242,LR_Lane,0)),INDEX(DH_Table,0,MATCH(B242&amp;"*",DH_Head,0)))</f>
        <v/>
      </c>
      <c r="O242" s="65">
        <f>IF(W242&lt;&gt;"",W242,IF(U242="Helmond",IF(COUNTIFS(RC_Lane,B242,RC_Band,E242,RC_Transit,"&lt;&gt;")=0,"",SUMIFS(RC_Transit,RC_Lane,B242,RC_Band,E242)),IF(U242="Other","",IF(INDEX(RS_Transit,MATCH(B242,RS_Lane,0))="","",INDEX(RS_Transit,MATCH(B242,RS_Lane,0))))))</f>
        <v/>
      </c>
      <c r="P242" s="140" t="n"/>
      <c r="Q242" s="84">
        <f>IF(P242&lt;&gt;"",P242,IF(O242="","",WORKDAY.INTL(L242,ROUNDUP(O242,0),INDEX(LR_Code,MATCH(B242,LR_Lane,0)),INDEX(DH_Table,0,MATCH(B242&amp;"*",DH_Head,0)))))</f>
        <v/>
      </c>
      <c r="R242" s="100">
        <f>IF(Q242="","",IF(Q242&lt;=N242,"Yes","No"))</f>
        <v/>
      </c>
      <c r="S242" s="52">
        <f>IF(Q242="","",IF(Q242&lt;=N242,0,NETWORKDAYS.INTL(N242,Q242,INDEX(LR_Code,MATCH(B242,LR_Lane,0)),INDEX(DH_Table,0,MATCH(B242&amp;"*",DH_Head,0)))-1))</f>
        <v/>
      </c>
      <c r="T242" s="127" t="n"/>
      <c r="U242" s="112">
        <f>IF(V242&lt;&gt;"",V242,IF(IFERROR(INDEX(RS_Flag,MATCH(B242,RS_Lane,0)),"")="Yes",IF(IFERROR(INDEX(RS_Loc,MATCH(B242,RS_Lane,0)),"")="","Regional stock",IFERROR(INDEX(RS_Loc,MATCH(B242,RS_Lane,0)),"")),"Helmond"))</f>
        <v/>
      </c>
      <c r="V242" s="141" t="n"/>
      <c r="W242" s="142" t="n"/>
      <c r="X242" s="143" t="n"/>
      <c r="Y242" s="116">
        <f>IF(X242&lt;&gt;"",X242,IF(U242="Helmond",IF(COUNTIFS(RC_Lane,B242,RC_Band,E242,RC_CostPS,"&gt;0")=0,"",SUMIFS(RC_CostPS,RC_Lane,B242,RC_Band,E242)*(1-SUMIFS(RC_Disc,RC_Lane,B242,RC_Band,E242))),IF(U242="Other","",IF(INDEX(RS_Rate,MATCH(B242,RS_Lane,0))="","",INDEX(RS_Rate,MATCH(B242,RS_Lane,0))))))</f>
        <v/>
      </c>
    </row>
    <row r="243">
      <c r="A243" s="95" t="inlineStr">
        <is>
          <t>B-239</t>
        </is>
      </c>
      <c r="B243" s="112" t="inlineStr">
        <is>
          <t>L01</t>
        </is>
      </c>
      <c r="C243" s="101" t="inlineStr">
        <is>
          <t>Saudi Arabia</t>
        </is>
      </c>
      <c r="D243" s="101" t="inlineStr">
        <is>
          <t>Jeddah</t>
        </is>
      </c>
      <c r="E243" s="101" t="inlineStr">
        <is>
          <t>B3  100 to 500 kg</t>
        </is>
      </c>
      <c r="F243" s="123" t="n">
        <v>279.9</v>
      </c>
      <c r="G243" s="86">
        <f>F243*0.006477</f>
        <v/>
      </c>
      <c r="H243" s="123">
        <f>F243*1.079436</f>
        <v/>
      </c>
      <c r="I243" s="122">
        <f>MAX(1,ROUNDUP(G243/0.096,0))</f>
        <v/>
      </c>
      <c r="J243" s="84" t="n">
        <v>46665</v>
      </c>
      <c r="K243" s="87">
        <f>J243-WEEKDAY(J243,2)+1</f>
        <v/>
      </c>
      <c r="L243" s="84">
        <f>J243</f>
        <v/>
      </c>
      <c r="M243" s="52">
        <f>INDEX(LR_Target,MATCH(B243,LR_Lane,0))</f>
        <v/>
      </c>
      <c r="N243" s="84">
        <f>WORKDAY.INTL(L243,M243,INDEX(LR_Code,MATCH(B243,LR_Lane,0)),INDEX(DH_Table,0,MATCH(B243&amp;"*",DH_Head,0)))</f>
        <v/>
      </c>
      <c r="O243" s="65">
        <f>IF(W243&lt;&gt;"",W243,IF(U243="Helmond",IF(COUNTIFS(RC_Lane,B243,RC_Band,E243,RC_Transit,"&lt;&gt;")=0,"",SUMIFS(RC_Transit,RC_Lane,B243,RC_Band,E243)),IF(U243="Other","",IF(INDEX(RS_Transit,MATCH(B243,RS_Lane,0))="","",INDEX(RS_Transit,MATCH(B243,RS_Lane,0))))))</f>
        <v/>
      </c>
      <c r="P243" s="140" t="n"/>
      <c r="Q243" s="84">
        <f>IF(P243&lt;&gt;"",P243,IF(O243="","",WORKDAY.INTL(L243,ROUNDUP(O243,0),INDEX(LR_Code,MATCH(B243,LR_Lane,0)),INDEX(DH_Table,0,MATCH(B243&amp;"*",DH_Head,0)))))</f>
        <v/>
      </c>
      <c r="R243" s="100">
        <f>IF(Q243="","",IF(Q243&lt;=N243,"Yes","No"))</f>
        <v/>
      </c>
      <c r="S243" s="52">
        <f>IF(Q243="","",IF(Q243&lt;=N243,0,NETWORKDAYS.INTL(N243,Q243,INDEX(LR_Code,MATCH(B243,LR_Lane,0)),INDEX(DH_Table,0,MATCH(B243&amp;"*",DH_Head,0)))-1))</f>
        <v/>
      </c>
      <c r="T243" s="127" t="n"/>
      <c r="U243" s="112">
        <f>IF(V243&lt;&gt;"",V243,IF(IFERROR(INDEX(RS_Flag,MATCH(B243,RS_Lane,0)),"")="Yes",IF(IFERROR(INDEX(RS_Loc,MATCH(B243,RS_Lane,0)),"")="","Regional stock",IFERROR(INDEX(RS_Loc,MATCH(B243,RS_Lane,0)),"")),"Helmond"))</f>
        <v/>
      </c>
      <c r="V243" s="141" t="n"/>
      <c r="W243" s="142" t="n"/>
      <c r="X243" s="143" t="n"/>
      <c r="Y243" s="116">
        <f>IF(X243&lt;&gt;"",X243,IF(U243="Helmond",IF(COUNTIFS(RC_Lane,B243,RC_Band,E243,RC_CostPS,"&gt;0")=0,"",SUMIFS(RC_CostPS,RC_Lane,B243,RC_Band,E243)*(1-SUMIFS(RC_Disc,RC_Lane,B243,RC_Band,E243))),IF(U243="Other","",IF(INDEX(RS_Rate,MATCH(B243,RS_Lane,0))="","",INDEX(RS_Rate,MATCH(B243,RS_Lane,0))))))</f>
        <v/>
      </c>
    </row>
    <row r="244">
      <c r="A244" s="95" t="inlineStr">
        <is>
          <t>B-240</t>
        </is>
      </c>
      <c r="B244" s="112" t="inlineStr">
        <is>
          <t>L01</t>
        </is>
      </c>
      <c r="C244" s="101" t="inlineStr">
        <is>
          <t>Saudi Arabia</t>
        </is>
      </c>
      <c r="D244" s="101" t="inlineStr">
        <is>
          <t>Jeddah</t>
        </is>
      </c>
      <c r="E244" s="101" t="inlineStr">
        <is>
          <t>B1  0 to 30 kg</t>
        </is>
      </c>
      <c r="F244" s="123" t="n">
        <v>18.4</v>
      </c>
      <c r="G244" s="86">
        <f>F244*0.006477</f>
        <v/>
      </c>
      <c r="H244" s="123">
        <f>F244*1.079436</f>
        <v/>
      </c>
      <c r="I244" s="122">
        <f>MAX(1,ROUNDUP(G244/0.096,0))</f>
        <v/>
      </c>
      <c r="J244" s="84" t="n">
        <v>46665</v>
      </c>
      <c r="K244" s="87">
        <f>J244-WEEKDAY(J244,2)+1</f>
        <v/>
      </c>
      <c r="L244" s="84">
        <f>J244</f>
        <v/>
      </c>
      <c r="M244" s="52">
        <f>INDEX(LR_Target,MATCH(B244,LR_Lane,0))</f>
        <v/>
      </c>
      <c r="N244" s="84">
        <f>WORKDAY.INTL(L244,M244,INDEX(LR_Code,MATCH(B244,LR_Lane,0)),INDEX(DH_Table,0,MATCH(B244&amp;"*",DH_Head,0)))</f>
        <v/>
      </c>
      <c r="O244" s="65">
        <f>IF(W244&lt;&gt;"",W244,IF(U244="Helmond",IF(COUNTIFS(RC_Lane,B244,RC_Band,E244,RC_Transit,"&lt;&gt;")=0,"",SUMIFS(RC_Transit,RC_Lane,B244,RC_Band,E244)),IF(U244="Other","",IF(INDEX(RS_Transit,MATCH(B244,RS_Lane,0))="","",INDEX(RS_Transit,MATCH(B244,RS_Lane,0))))))</f>
        <v/>
      </c>
      <c r="P244" s="140" t="n"/>
      <c r="Q244" s="84">
        <f>IF(P244&lt;&gt;"",P244,IF(O244="","",WORKDAY.INTL(L244,ROUNDUP(O244,0),INDEX(LR_Code,MATCH(B244,LR_Lane,0)),INDEX(DH_Table,0,MATCH(B244&amp;"*",DH_Head,0)))))</f>
        <v/>
      </c>
      <c r="R244" s="100">
        <f>IF(Q244="","",IF(Q244&lt;=N244,"Yes","No"))</f>
        <v/>
      </c>
      <c r="S244" s="52">
        <f>IF(Q244="","",IF(Q244&lt;=N244,0,NETWORKDAYS.INTL(N244,Q244,INDEX(LR_Code,MATCH(B244,LR_Lane,0)),INDEX(DH_Table,0,MATCH(B244&amp;"*",DH_Head,0)))-1))</f>
        <v/>
      </c>
      <c r="T244" s="127" t="n"/>
      <c r="U244" s="112">
        <f>IF(V244&lt;&gt;"",V244,IF(IFERROR(INDEX(RS_Flag,MATCH(B244,RS_Lane,0)),"")="Yes",IF(IFERROR(INDEX(RS_Loc,MATCH(B244,RS_Lane,0)),"")="","Regional stock",IFERROR(INDEX(RS_Loc,MATCH(B244,RS_Lane,0)),"")),"Helmond"))</f>
        <v/>
      </c>
      <c r="V244" s="141" t="n"/>
      <c r="W244" s="142" t="n"/>
      <c r="X244" s="143" t="n"/>
      <c r="Y244" s="116">
        <f>IF(X244&lt;&gt;"",X244,IF(U244="Helmond",IF(COUNTIFS(RC_Lane,B244,RC_Band,E244,RC_CostPS,"&gt;0")=0,"",SUMIFS(RC_CostPS,RC_Lane,B244,RC_Band,E244)*(1-SUMIFS(RC_Disc,RC_Lane,B244,RC_Band,E244))),IF(U244="Other","",IF(INDEX(RS_Rate,MATCH(B244,RS_Lane,0))="","",INDEX(RS_Rate,MATCH(B244,RS_Lane,0))))))</f>
        <v/>
      </c>
    </row>
    <row r="245">
      <c r="A245" s="95" t="inlineStr">
        <is>
          <t>B-241</t>
        </is>
      </c>
      <c r="B245" s="112" t="inlineStr">
        <is>
          <t>L01</t>
        </is>
      </c>
      <c r="C245" s="101" t="inlineStr">
        <is>
          <t>Saudi Arabia</t>
        </is>
      </c>
      <c r="D245" s="101" t="inlineStr">
        <is>
          <t>Jeddah</t>
        </is>
      </c>
      <c r="E245" s="101" t="inlineStr">
        <is>
          <t>B1  0 to 30 kg</t>
        </is>
      </c>
      <c r="F245" s="123" t="n">
        <v>13.8</v>
      </c>
      <c r="G245" s="86">
        <f>F245*0.006477</f>
        <v/>
      </c>
      <c r="H245" s="123">
        <f>F245*1.079436</f>
        <v/>
      </c>
      <c r="I245" s="122">
        <f>MAX(1,ROUNDUP(G245/0.096,0))</f>
        <v/>
      </c>
      <c r="J245" s="84" t="n">
        <v>46666</v>
      </c>
      <c r="K245" s="87">
        <f>J245-WEEKDAY(J245,2)+1</f>
        <v/>
      </c>
      <c r="L245" s="84">
        <f>J245</f>
        <v/>
      </c>
      <c r="M245" s="52">
        <f>INDEX(LR_Target,MATCH(B245,LR_Lane,0))</f>
        <v/>
      </c>
      <c r="N245" s="84">
        <f>WORKDAY.INTL(L245,M245,INDEX(LR_Code,MATCH(B245,LR_Lane,0)),INDEX(DH_Table,0,MATCH(B245&amp;"*",DH_Head,0)))</f>
        <v/>
      </c>
      <c r="O245" s="65">
        <f>IF(W245&lt;&gt;"",W245,IF(U245="Helmond",IF(COUNTIFS(RC_Lane,B245,RC_Band,E245,RC_Transit,"&lt;&gt;")=0,"",SUMIFS(RC_Transit,RC_Lane,B245,RC_Band,E245)),IF(U245="Other","",IF(INDEX(RS_Transit,MATCH(B245,RS_Lane,0))="","",INDEX(RS_Transit,MATCH(B245,RS_Lane,0))))))</f>
        <v/>
      </c>
      <c r="P245" s="140" t="n"/>
      <c r="Q245" s="84">
        <f>IF(P245&lt;&gt;"",P245,IF(O245="","",WORKDAY.INTL(L245,ROUNDUP(O245,0),INDEX(LR_Code,MATCH(B245,LR_Lane,0)),INDEX(DH_Table,0,MATCH(B245&amp;"*",DH_Head,0)))))</f>
        <v/>
      </c>
      <c r="R245" s="100">
        <f>IF(Q245="","",IF(Q245&lt;=N245,"Yes","No"))</f>
        <v/>
      </c>
      <c r="S245" s="52">
        <f>IF(Q245="","",IF(Q245&lt;=N245,0,NETWORKDAYS.INTL(N245,Q245,INDEX(LR_Code,MATCH(B245,LR_Lane,0)),INDEX(DH_Table,0,MATCH(B245&amp;"*",DH_Head,0)))-1))</f>
        <v/>
      </c>
      <c r="T245" s="127" t="n"/>
      <c r="U245" s="112">
        <f>IF(V245&lt;&gt;"",V245,IF(IFERROR(INDEX(RS_Flag,MATCH(B245,RS_Lane,0)),"")="Yes",IF(IFERROR(INDEX(RS_Loc,MATCH(B245,RS_Lane,0)),"")="","Regional stock",IFERROR(INDEX(RS_Loc,MATCH(B245,RS_Lane,0)),"")),"Helmond"))</f>
        <v/>
      </c>
      <c r="V245" s="141" t="n"/>
      <c r="W245" s="142" t="n"/>
      <c r="X245" s="143" t="n"/>
      <c r="Y245" s="116">
        <f>IF(X245&lt;&gt;"",X245,IF(U245="Helmond",IF(COUNTIFS(RC_Lane,B245,RC_Band,E245,RC_CostPS,"&gt;0")=0,"",SUMIFS(RC_CostPS,RC_Lane,B245,RC_Band,E245)*(1-SUMIFS(RC_Disc,RC_Lane,B245,RC_Band,E245))),IF(U245="Other","",IF(INDEX(RS_Rate,MATCH(B245,RS_Lane,0))="","",INDEX(RS_Rate,MATCH(B245,RS_Lane,0))))))</f>
        <v/>
      </c>
    </row>
    <row r="246">
      <c r="A246" s="95" t="inlineStr">
        <is>
          <t>B-242</t>
        </is>
      </c>
      <c r="B246" s="112" t="inlineStr">
        <is>
          <t>L04</t>
        </is>
      </c>
      <c r="C246" s="101" t="inlineStr">
        <is>
          <t>Qatar</t>
        </is>
      </c>
      <c r="D246" s="101" t="inlineStr">
        <is>
          <t>Doha</t>
        </is>
      </c>
      <c r="E246" s="101" t="inlineStr">
        <is>
          <t>B2  30 to 100 kg</t>
        </is>
      </c>
      <c r="F246" s="123" t="n">
        <v>47.8</v>
      </c>
      <c r="G246" s="86">
        <f>F246*0.006477</f>
        <v/>
      </c>
      <c r="H246" s="123">
        <f>F246*1.079436</f>
        <v/>
      </c>
      <c r="I246" s="122">
        <f>MAX(1,ROUNDUP(G246/0.096,0))</f>
        <v/>
      </c>
      <c r="J246" s="84" t="n">
        <v>46666</v>
      </c>
      <c r="K246" s="87">
        <f>J246-WEEKDAY(J246,2)+1</f>
        <v/>
      </c>
      <c r="L246" s="84">
        <f>J246</f>
        <v/>
      </c>
      <c r="M246" s="52">
        <f>INDEX(LR_Target,MATCH(B246,LR_Lane,0))</f>
        <v/>
      </c>
      <c r="N246" s="84">
        <f>WORKDAY.INTL(L246,M246,INDEX(LR_Code,MATCH(B246,LR_Lane,0)),INDEX(DH_Table,0,MATCH(B246&amp;"*",DH_Head,0)))</f>
        <v/>
      </c>
      <c r="O246" s="65">
        <f>IF(W246&lt;&gt;"",W246,IF(U246="Helmond",IF(COUNTIFS(RC_Lane,B246,RC_Band,E246,RC_Transit,"&lt;&gt;")=0,"",SUMIFS(RC_Transit,RC_Lane,B246,RC_Band,E246)),IF(U246="Other","",IF(INDEX(RS_Transit,MATCH(B246,RS_Lane,0))="","",INDEX(RS_Transit,MATCH(B246,RS_Lane,0))))))</f>
        <v/>
      </c>
      <c r="P246" s="140" t="n"/>
      <c r="Q246" s="84">
        <f>IF(P246&lt;&gt;"",P246,IF(O246="","",WORKDAY.INTL(L246,ROUNDUP(O246,0),INDEX(LR_Code,MATCH(B246,LR_Lane,0)),INDEX(DH_Table,0,MATCH(B246&amp;"*",DH_Head,0)))))</f>
        <v/>
      </c>
      <c r="R246" s="100">
        <f>IF(Q246="","",IF(Q246&lt;=N246,"Yes","No"))</f>
        <v/>
      </c>
      <c r="S246" s="52">
        <f>IF(Q246="","",IF(Q246&lt;=N246,0,NETWORKDAYS.INTL(N246,Q246,INDEX(LR_Code,MATCH(B246,LR_Lane,0)),INDEX(DH_Table,0,MATCH(B246&amp;"*",DH_Head,0)))-1))</f>
        <v/>
      </c>
      <c r="T246" s="127" t="n"/>
      <c r="U246" s="112">
        <f>IF(V246&lt;&gt;"",V246,IF(IFERROR(INDEX(RS_Flag,MATCH(B246,RS_Lane,0)),"")="Yes",IF(IFERROR(INDEX(RS_Loc,MATCH(B246,RS_Lane,0)),"")="","Regional stock",IFERROR(INDEX(RS_Loc,MATCH(B246,RS_Lane,0)),"")),"Helmond"))</f>
        <v/>
      </c>
      <c r="V246" s="141" t="n"/>
      <c r="W246" s="142" t="n"/>
      <c r="X246" s="143" t="n"/>
      <c r="Y246" s="116">
        <f>IF(X246&lt;&gt;"",X246,IF(U246="Helmond",IF(COUNTIFS(RC_Lane,B246,RC_Band,E246,RC_CostPS,"&gt;0")=0,"",SUMIFS(RC_CostPS,RC_Lane,B246,RC_Band,E246)*(1-SUMIFS(RC_Disc,RC_Lane,B246,RC_Band,E246))),IF(U246="Other","",IF(INDEX(RS_Rate,MATCH(B246,RS_Lane,0))="","",INDEX(RS_Rate,MATCH(B246,RS_Lane,0))))))</f>
        <v/>
      </c>
    </row>
    <row r="247">
      <c r="A247" s="95" t="inlineStr">
        <is>
          <t>B-243</t>
        </is>
      </c>
      <c r="B247" s="112" t="inlineStr">
        <is>
          <t>L07</t>
        </is>
      </c>
      <c r="C247" s="101" t="inlineStr">
        <is>
          <t>Algeria</t>
        </is>
      </c>
      <c r="D247" s="101" t="inlineStr">
        <is>
          <t>Algiers</t>
        </is>
      </c>
      <c r="E247" s="101" t="inlineStr">
        <is>
          <t>B2  30 to 100 kg</t>
        </is>
      </c>
      <c r="F247" s="123" t="n">
        <v>52</v>
      </c>
      <c r="G247" s="86">
        <f>F247*0.006477</f>
        <v/>
      </c>
      <c r="H247" s="123">
        <f>F247*1.079436</f>
        <v/>
      </c>
      <c r="I247" s="122">
        <f>MAX(1,ROUNDUP(G247/0.096,0))</f>
        <v/>
      </c>
      <c r="J247" s="84" t="n">
        <v>46668</v>
      </c>
      <c r="K247" s="87">
        <f>J247-WEEKDAY(J247,2)+1</f>
        <v/>
      </c>
      <c r="L247" s="84">
        <f>J247</f>
        <v/>
      </c>
      <c r="M247" s="52">
        <f>INDEX(LR_Target,MATCH(B247,LR_Lane,0))</f>
        <v/>
      </c>
      <c r="N247" s="84">
        <f>WORKDAY.INTL(L247,M247,INDEX(LR_Code,MATCH(B247,LR_Lane,0)),INDEX(DH_Table,0,MATCH(B247&amp;"*",DH_Head,0)))</f>
        <v/>
      </c>
      <c r="O247" s="65">
        <f>IF(W247&lt;&gt;"",W247,IF(U247="Helmond",IF(COUNTIFS(RC_Lane,B247,RC_Band,E247,RC_Transit,"&lt;&gt;")=0,"",SUMIFS(RC_Transit,RC_Lane,B247,RC_Band,E247)),IF(U247="Other","",IF(INDEX(RS_Transit,MATCH(B247,RS_Lane,0))="","",INDEX(RS_Transit,MATCH(B247,RS_Lane,0))))))</f>
        <v/>
      </c>
      <c r="P247" s="140" t="n"/>
      <c r="Q247" s="84">
        <f>IF(P247&lt;&gt;"",P247,IF(O247="","",WORKDAY.INTL(L247,ROUNDUP(O247,0),INDEX(LR_Code,MATCH(B247,LR_Lane,0)),INDEX(DH_Table,0,MATCH(B247&amp;"*",DH_Head,0)))))</f>
        <v/>
      </c>
      <c r="R247" s="100">
        <f>IF(Q247="","",IF(Q247&lt;=N247,"Yes","No"))</f>
        <v/>
      </c>
      <c r="S247" s="52">
        <f>IF(Q247="","",IF(Q247&lt;=N247,0,NETWORKDAYS.INTL(N247,Q247,INDEX(LR_Code,MATCH(B247,LR_Lane,0)),INDEX(DH_Table,0,MATCH(B247&amp;"*",DH_Head,0)))-1))</f>
        <v/>
      </c>
      <c r="T247" s="127" t="n"/>
      <c r="U247" s="112">
        <f>IF(V247&lt;&gt;"",V247,IF(IFERROR(INDEX(RS_Flag,MATCH(B247,RS_Lane,0)),"")="Yes",IF(IFERROR(INDEX(RS_Loc,MATCH(B247,RS_Lane,0)),"")="","Regional stock",IFERROR(INDEX(RS_Loc,MATCH(B247,RS_Lane,0)),"")),"Helmond"))</f>
        <v/>
      </c>
      <c r="V247" s="141" t="n"/>
      <c r="W247" s="142" t="n"/>
      <c r="X247" s="143" t="n"/>
      <c r="Y247" s="116">
        <f>IF(X247&lt;&gt;"",X247,IF(U247="Helmond",IF(COUNTIFS(RC_Lane,B247,RC_Band,E247,RC_CostPS,"&gt;0")=0,"",SUMIFS(RC_CostPS,RC_Lane,B247,RC_Band,E247)*(1-SUMIFS(RC_Disc,RC_Lane,B247,RC_Band,E247))),IF(U247="Other","",IF(INDEX(RS_Rate,MATCH(B247,RS_Lane,0))="","",INDEX(RS_Rate,MATCH(B247,RS_Lane,0))))))</f>
        <v/>
      </c>
    </row>
    <row r="248">
      <c r="A248" s="95" t="inlineStr">
        <is>
          <t>B-244</t>
        </is>
      </c>
      <c r="B248" s="112" t="inlineStr">
        <is>
          <t>L05</t>
        </is>
      </c>
      <c r="C248" s="101" t="inlineStr">
        <is>
          <t>Türkiye</t>
        </is>
      </c>
      <c r="D248" s="101" t="inlineStr">
        <is>
          <t>Istanbul</t>
        </is>
      </c>
      <c r="E248" s="101" t="inlineStr">
        <is>
          <t>B1  0 to 30 kg</t>
        </is>
      </c>
      <c r="F248" s="123" t="n">
        <v>4.5</v>
      </c>
      <c r="G248" s="86">
        <f>F248*0.006477</f>
        <v/>
      </c>
      <c r="H248" s="123">
        <f>F248*1.079436</f>
        <v/>
      </c>
      <c r="I248" s="122">
        <f>MAX(1,ROUNDUP(G248/0.096,0))</f>
        <v/>
      </c>
      <c r="J248" s="84" t="n">
        <v>46671</v>
      </c>
      <c r="K248" s="87">
        <f>J248-WEEKDAY(J248,2)+1</f>
        <v/>
      </c>
      <c r="L248" s="84">
        <f>J248</f>
        <v/>
      </c>
      <c r="M248" s="52">
        <f>INDEX(LR_Target,MATCH(B248,LR_Lane,0))</f>
        <v/>
      </c>
      <c r="N248" s="84">
        <f>WORKDAY.INTL(L248,M248,INDEX(LR_Code,MATCH(B248,LR_Lane,0)),INDEX(DH_Table,0,MATCH(B248&amp;"*",DH_Head,0)))</f>
        <v/>
      </c>
      <c r="O248" s="65">
        <f>IF(W248&lt;&gt;"",W248,IF(U248="Helmond",IF(COUNTIFS(RC_Lane,B248,RC_Band,E248,RC_Transit,"&lt;&gt;")=0,"",SUMIFS(RC_Transit,RC_Lane,B248,RC_Band,E248)),IF(U248="Other","",IF(INDEX(RS_Transit,MATCH(B248,RS_Lane,0))="","",INDEX(RS_Transit,MATCH(B248,RS_Lane,0))))))</f>
        <v/>
      </c>
      <c r="P248" s="140" t="n"/>
      <c r="Q248" s="84">
        <f>IF(P248&lt;&gt;"",P248,IF(O248="","",WORKDAY.INTL(L248,ROUNDUP(O248,0),INDEX(LR_Code,MATCH(B248,LR_Lane,0)),INDEX(DH_Table,0,MATCH(B248&amp;"*",DH_Head,0)))))</f>
        <v/>
      </c>
      <c r="R248" s="100">
        <f>IF(Q248="","",IF(Q248&lt;=N248,"Yes","No"))</f>
        <v/>
      </c>
      <c r="S248" s="52">
        <f>IF(Q248="","",IF(Q248&lt;=N248,0,NETWORKDAYS.INTL(N248,Q248,INDEX(LR_Code,MATCH(B248,LR_Lane,0)),INDEX(DH_Table,0,MATCH(B248&amp;"*",DH_Head,0)))-1))</f>
        <v/>
      </c>
      <c r="T248" s="127" t="n"/>
      <c r="U248" s="112">
        <f>IF(V248&lt;&gt;"",V248,IF(IFERROR(INDEX(RS_Flag,MATCH(B248,RS_Lane,0)),"")="Yes",IF(IFERROR(INDEX(RS_Loc,MATCH(B248,RS_Lane,0)),"")="","Regional stock",IFERROR(INDEX(RS_Loc,MATCH(B248,RS_Lane,0)),"")),"Helmond"))</f>
        <v/>
      </c>
      <c r="V248" s="141" t="n"/>
      <c r="W248" s="142" t="n"/>
      <c r="X248" s="143" t="n"/>
      <c r="Y248" s="116">
        <f>IF(X248&lt;&gt;"",X248,IF(U248="Helmond",IF(COUNTIFS(RC_Lane,B248,RC_Band,E248,RC_CostPS,"&gt;0")=0,"",SUMIFS(RC_CostPS,RC_Lane,B248,RC_Band,E248)*(1-SUMIFS(RC_Disc,RC_Lane,B248,RC_Band,E248))),IF(U248="Other","",IF(INDEX(RS_Rate,MATCH(B248,RS_Lane,0))="","",INDEX(RS_Rate,MATCH(B248,RS_Lane,0))))))</f>
        <v/>
      </c>
    </row>
    <row r="249">
      <c r="A249" s="95" t="inlineStr">
        <is>
          <t>B-245</t>
        </is>
      </c>
      <c r="B249" s="112" t="inlineStr">
        <is>
          <t>L02</t>
        </is>
      </c>
      <c r="C249" s="101" t="inlineStr">
        <is>
          <t>United Arab Emirates</t>
        </is>
      </c>
      <c r="D249" s="101" t="inlineStr">
        <is>
          <t>Dubai</t>
        </is>
      </c>
      <c r="E249" s="101" t="inlineStr">
        <is>
          <t>B1  0 to 30 kg</t>
        </is>
      </c>
      <c r="F249" s="123" t="n">
        <v>10.7</v>
      </c>
      <c r="G249" s="86">
        <f>F249*0.006477</f>
        <v/>
      </c>
      <c r="H249" s="123">
        <f>F249*1.079436</f>
        <v/>
      </c>
      <c r="I249" s="122">
        <f>MAX(1,ROUNDUP(G249/0.096,0))</f>
        <v/>
      </c>
      <c r="J249" s="84" t="n">
        <v>46673</v>
      </c>
      <c r="K249" s="87">
        <f>J249-WEEKDAY(J249,2)+1</f>
        <v/>
      </c>
      <c r="L249" s="84">
        <f>J249</f>
        <v/>
      </c>
      <c r="M249" s="52">
        <f>INDEX(LR_Target,MATCH(B249,LR_Lane,0))</f>
        <v/>
      </c>
      <c r="N249" s="84">
        <f>WORKDAY.INTL(L249,M249,INDEX(LR_Code,MATCH(B249,LR_Lane,0)),INDEX(DH_Table,0,MATCH(B249&amp;"*",DH_Head,0)))</f>
        <v/>
      </c>
      <c r="O249" s="65">
        <f>IF(W249&lt;&gt;"",W249,IF(U249="Helmond",IF(COUNTIFS(RC_Lane,B249,RC_Band,E249,RC_Transit,"&lt;&gt;")=0,"",SUMIFS(RC_Transit,RC_Lane,B249,RC_Band,E249)),IF(U249="Other","",IF(INDEX(RS_Transit,MATCH(B249,RS_Lane,0))="","",INDEX(RS_Transit,MATCH(B249,RS_Lane,0))))))</f>
        <v/>
      </c>
      <c r="P249" s="140" t="n"/>
      <c r="Q249" s="84">
        <f>IF(P249&lt;&gt;"",P249,IF(O249="","",WORKDAY.INTL(L249,ROUNDUP(O249,0),INDEX(LR_Code,MATCH(B249,LR_Lane,0)),INDEX(DH_Table,0,MATCH(B249&amp;"*",DH_Head,0)))))</f>
        <v/>
      </c>
      <c r="R249" s="100">
        <f>IF(Q249="","",IF(Q249&lt;=N249,"Yes","No"))</f>
        <v/>
      </c>
      <c r="S249" s="52">
        <f>IF(Q249="","",IF(Q249&lt;=N249,0,NETWORKDAYS.INTL(N249,Q249,INDEX(LR_Code,MATCH(B249,LR_Lane,0)),INDEX(DH_Table,0,MATCH(B249&amp;"*",DH_Head,0)))-1))</f>
        <v/>
      </c>
      <c r="T249" s="127" t="n"/>
      <c r="U249" s="112">
        <f>IF(V249&lt;&gt;"",V249,IF(IFERROR(INDEX(RS_Flag,MATCH(B249,RS_Lane,0)),"")="Yes",IF(IFERROR(INDEX(RS_Loc,MATCH(B249,RS_Lane,0)),"")="","Regional stock",IFERROR(INDEX(RS_Loc,MATCH(B249,RS_Lane,0)),"")),"Helmond"))</f>
        <v/>
      </c>
      <c r="V249" s="141" t="n"/>
      <c r="W249" s="142" t="n"/>
      <c r="X249" s="143" t="n"/>
      <c r="Y249" s="116">
        <f>IF(X249&lt;&gt;"",X249,IF(U249="Helmond",IF(COUNTIFS(RC_Lane,B249,RC_Band,E249,RC_CostPS,"&gt;0")=0,"",SUMIFS(RC_CostPS,RC_Lane,B249,RC_Band,E249)*(1-SUMIFS(RC_Disc,RC_Lane,B249,RC_Band,E249))),IF(U249="Other","",IF(INDEX(RS_Rate,MATCH(B249,RS_Lane,0))="","",INDEX(RS_Rate,MATCH(B249,RS_Lane,0))))))</f>
        <v/>
      </c>
    </row>
    <row r="250">
      <c r="A250" s="95" t="inlineStr">
        <is>
          <t>B-246</t>
        </is>
      </c>
      <c r="B250" s="112" t="inlineStr">
        <is>
          <t>L01</t>
        </is>
      </c>
      <c r="C250" s="101" t="inlineStr">
        <is>
          <t>Saudi Arabia</t>
        </is>
      </c>
      <c r="D250" s="101" t="inlineStr">
        <is>
          <t>Jeddah</t>
        </is>
      </c>
      <c r="E250" s="101" t="inlineStr">
        <is>
          <t>B1  0 to 30 kg</t>
        </is>
      </c>
      <c r="F250" s="123" t="n">
        <v>8.800000000000001</v>
      </c>
      <c r="G250" s="86">
        <f>F250*0.006477</f>
        <v/>
      </c>
      <c r="H250" s="123">
        <f>F250*1.079436</f>
        <v/>
      </c>
      <c r="I250" s="122">
        <f>MAX(1,ROUNDUP(G250/0.096,0))</f>
        <v/>
      </c>
      <c r="J250" s="84" t="n">
        <v>46674</v>
      </c>
      <c r="K250" s="87">
        <f>J250-WEEKDAY(J250,2)+1</f>
        <v/>
      </c>
      <c r="L250" s="84">
        <f>J250</f>
        <v/>
      </c>
      <c r="M250" s="52">
        <f>INDEX(LR_Target,MATCH(B250,LR_Lane,0))</f>
        <v/>
      </c>
      <c r="N250" s="84">
        <f>WORKDAY.INTL(L250,M250,INDEX(LR_Code,MATCH(B250,LR_Lane,0)),INDEX(DH_Table,0,MATCH(B250&amp;"*",DH_Head,0)))</f>
        <v/>
      </c>
      <c r="O250" s="65">
        <f>IF(W250&lt;&gt;"",W250,IF(U250="Helmond",IF(COUNTIFS(RC_Lane,B250,RC_Band,E250,RC_Transit,"&lt;&gt;")=0,"",SUMIFS(RC_Transit,RC_Lane,B250,RC_Band,E250)),IF(U250="Other","",IF(INDEX(RS_Transit,MATCH(B250,RS_Lane,0))="","",INDEX(RS_Transit,MATCH(B250,RS_Lane,0))))))</f>
        <v/>
      </c>
      <c r="P250" s="140" t="n"/>
      <c r="Q250" s="84">
        <f>IF(P250&lt;&gt;"",P250,IF(O250="","",WORKDAY.INTL(L250,ROUNDUP(O250,0),INDEX(LR_Code,MATCH(B250,LR_Lane,0)),INDEX(DH_Table,0,MATCH(B250&amp;"*",DH_Head,0)))))</f>
        <v/>
      </c>
      <c r="R250" s="100">
        <f>IF(Q250="","",IF(Q250&lt;=N250,"Yes","No"))</f>
        <v/>
      </c>
      <c r="S250" s="52">
        <f>IF(Q250="","",IF(Q250&lt;=N250,0,NETWORKDAYS.INTL(N250,Q250,INDEX(LR_Code,MATCH(B250,LR_Lane,0)),INDEX(DH_Table,0,MATCH(B250&amp;"*",DH_Head,0)))-1))</f>
        <v/>
      </c>
      <c r="T250" s="127" t="n"/>
      <c r="U250" s="112">
        <f>IF(V250&lt;&gt;"",V250,IF(IFERROR(INDEX(RS_Flag,MATCH(B250,RS_Lane,0)),"")="Yes",IF(IFERROR(INDEX(RS_Loc,MATCH(B250,RS_Lane,0)),"")="","Regional stock",IFERROR(INDEX(RS_Loc,MATCH(B250,RS_Lane,0)),"")),"Helmond"))</f>
        <v/>
      </c>
      <c r="V250" s="141" t="n"/>
      <c r="W250" s="142" t="n"/>
      <c r="X250" s="143" t="n"/>
      <c r="Y250" s="116">
        <f>IF(X250&lt;&gt;"",X250,IF(U250="Helmond",IF(COUNTIFS(RC_Lane,B250,RC_Band,E250,RC_CostPS,"&gt;0")=0,"",SUMIFS(RC_CostPS,RC_Lane,B250,RC_Band,E250)*(1-SUMIFS(RC_Disc,RC_Lane,B250,RC_Band,E250))),IF(U250="Other","",IF(INDEX(RS_Rate,MATCH(B250,RS_Lane,0))="","",INDEX(RS_Rate,MATCH(B250,RS_Lane,0))))))</f>
        <v/>
      </c>
    </row>
    <row r="251">
      <c r="A251" s="95" t="inlineStr">
        <is>
          <t>B-247</t>
        </is>
      </c>
      <c r="B251" s="112" t="inlineStr">
        <is>
          <t>L02</t>
        </is>
      </c>
      <c r="C251" s="101" t="inlineStr">
        <is>
          <t>United Arab Emirates</t>
        </is>
      </c>
      <c r="D251" s="101" t="inlineStr">
        <is>
          <t>Dubai</t>
        </is>
      </c>
      <c r="E251" s="101" t="inlineStr">
        <is>
          <t>B1  0 to 30 kg</t>
        </is>
      </c>
      <c r="F251" s="123" t="n">
        <v>3.1</v>
      </c>
      <c r="G251" s="86">
        <f>F251*0.006477</f>
        <v/>
      </c>
      <c r="H251" s="123">
        <f>F251*1.079436</f>
        <v/>
      </c>
      <c r="I251" s="122">
        <f>MAX(1,ROUNDUP(G251/0.096,0))</f>
        <v/>
      </c>
      <c r="J251" s="84" t="n">
        <v>46674</v>
      </c>
      <c r="K251" s="87">
        <f>J251-WEEKDAY(J251,2)+1</f>
        <v/>
      </c>
      <c r="L251" s="84">
        <f>J251</f>
        <v/>
      </c>
      <c r="M251" s="52">
        <f>INDEX(LR_Target,MATCH(B251,LR_Lane,0))</f>
        <v/>
      </c>
      <c r="N251" s="84">
        <f>WORKDAY.INTL(L251,M251,INDEX(LR_Code,MATCH(B251,LR_Lane,0)),INDEX(DH_Table,0,MATCH(B251&amp;"*",DH_Head,0)))</f>
        <v/>
      </c>
      <c r="O251" s="65">
        <f>IF(W251&lt;&gt;"",W251,IF(U251="Helmond",IF(COUNTIFS(RC_Lane,B251,RC_Band,E251,RC_Transit,"&lt;&gt;")=0,"",SUMIFS(RC_Transit,RC_Lane,B251,RC_Band,E251)),IF(U251="Other","",IF(INDEX(RS_Transit,MATCH(B251,RS_Lane,0))="","",INDEX(RS_Transit,MATCH(B251,RS_Lane,0))))))</f>
        <v/>
      </c>
      <c r="P251" s="140" t="n"/>
      <c r="Q251" s="84">
        <f>IF(P251&lt;&gt;"",P251,IF(O251="","",WORKDAY.INTL(L251,ROUNDUP(O251,0),INDEX(LR_Code,MATCH(B251,LR_Lane,0)),INDEX(DH_Table,0,MATCH(B251&amp;"*",DH_Head,0)))))</f>
        <v/>
      </c>
      <c r="R251" s="100">
        <f>IF(Q251="","",IF(Q251&lt;=N251,"Yes","No"))</f>
        <v/>
      </c>
      <c r="S251" s="52">
        <f>IF(Q251="","",IF(Q251&lt;=N251,0,NETWORKDAYS.INTL(N251,Q251,INDEX(LR_Code,MATCH(B251,LR_Lane,0)),INDEX(DH_Table,0,MATCH(B251&amp;"*",DH_Head,0)))-1))</f>
        <v/>
      </c>
      <c r="T251" s="127" t="n"/>
      <c r="U251" s="112">
        <f>IF(V251&lt;&gt;"",V251,IF(IFERROR(INDEX(RS_Flag,MATCH(B251,RS_Lane,0)),"")="Yes",IF(IFERROR(INDEX(RS_Loc,MATCH(B251,RS_Lane,0)),"")="","Regional stock",IFERROR(INDEX(RS_Loc,MATCH(B251,RS_Lane,0)),"")),"Helmond"))</f>
        <v/>
      </c>
      <c r="V251" s="141" t="n"/>
      <c r="W251" s="142" t="n"/>
      <c r="X251" s="143" t="n"/>
      <c r="Y251" s="116">
        <f>IF(X251&lt;&gt;"",X251,IF(U251="Helmond",IF(COUNTIFS(RC_Lane,B251,RC_Band,E251,RC_CostPS,"&gt;0")=0,"",SUMIFS(RC_CostPS,RC_Lane,B251,RC_Band,E251)*(1-SUMIFS(RC_Disc,RC_Lane,B251,RC_Band,E251))),IF(U251="Other","",IF(INDEX(RS_Rate,MATCH(B251,RS_Lane,0))="","",INDEX(RS_Rate,MATCH(B251,RS_Lane,0))))))</f>
        <v/>
      </c>
    </row>
    <row r="252">
      <c r="A252" s="95" t="inlineStr">
        <is>
          <t>B-248</t>
        </is>
      </c>
      <c r="B252" s="112" t="inlineStr">
        <is>
          <t>L04</t>
        </is>
      </c>
      <c r="C252" s="101" t="inlineStr">
        <is>
          <t>Qatar</t>
        </is>
      </c>
      <c r="D252" s="101" t="inlineStr">
        <is>
          <t>Doha</t>
        </is>
      </c>
      <c r="E252" s="101" t="inlineStr">
        <is>
          <t>B1  0 to 30 kg</t>
        </is>
      </c>
      <c r="F252" s="123" t="n">
        <v>5.6</v>
      </c>
      <c r="G252" s="86">
        <f>F252*0.006477</f>
        <v/>
      </c>
      <c r="H252" s="123">
        <f>F252*1.079436</f>
        <v/>
      </c>
      <c r="I252" s="122">
        <f>MAX(1,ROUNDUP(G252/0.096,0))</f>
        <v/>
      </c>
      <c r="J252" s="84" t="n">
        <v>46674</v>
      </c>
      <c r="K252" s="87">
        <f>J252-WEEKDAY(J252,2)+1</f>
        <v/>
      </c>
      <c r="L252" s="84">
        <f>J252</f>
        <v/>
      </c>
      <c r="M252" s="52">
        <f>INDEX(LR_Target,MATCH(B252,LR_Lane,0))</f>
        <v/>
      </c>
      <c r="N252" s="84">
        <f>WORKDAY.INTL(L252,M252,INDEX(LR_Code,MATCH(B252,LR_Lane,0)),INDEX(DH_Table,0,MATCH(B252&amp;"*",DH_Head,0)))</f>
        <v/>
      </c>
      <c r="O252" s="65">
        <f>IF(W252&lt;&gt;"",W252,IF(U252="Helmond",IF(COUNTIFS(RC_Lane,B252,RC_Band,E252,RC_Transit,"&lt;&gt;")=0,"",SUMIFS(RC_Transit,RC_Lane,B252,RC_Band,E252)),IF(U252="Other","",IF(INDEX(RS_Transit,MATCH(B252,RS_Lane,0))="","",INDEX(RS_Transit,MATCH(B252,RS_Lane,0))))))</f>
        <v/>
      </c>
      <c r="P252" s="140" t="n"/>
      <c r="Q252" s="84">
        <f>IF(P252&lt;&gt;"",P252,IF(O252="","",WORKDAY.INTL(L252,ROUNDUP(O252,0),INDEX(LR_Code,MATCH(B252,LR_Lane,0)),INDEX(DH_Table,0,MATCH(B252&amp;"*",DH_Head,0)))))</f>
        <v/>
      </c>
      <c r="R252" s="100">
        <f>IF(Q252="","",IF(Q252&lt;=N252,"Yes","No"))</f>
        <v/>
      </c>
      <c r="S252" s="52">
        <f>IF(Q252="","",IF(Q252&lt;=N252,0,NETWORKDAYS.INTL(N252,Q252,INDEX(LR_Code,MATCH(B252,LR_Lane,0)),INDEX(DH_Table,0,MATCH(B252&amp;"*",DH_Head,0)))-1))</f>
        <v/>
      </c>
      <c r="T252" s="127" t="n"/>
      <c r="U252" s="112">
        <f>IF(V252&lt;&gt;"",V252,IF(IFERROR(INDEX(RS_Flag,MATCH(B252,RS_Lane,0)),"")="Yes",IF(IFERROR(INDEX(RS_Loc,MATCH(B252,RS_Lane,0)),"")="","Regional stock",IFERROR(INDEX(RS_Loc,MATCH(B252,RS_Lane,0)),"")),"Helmond"))</f>
        <v/>
      </c>
      <c r="V252" s="141" t="n"/>
      <c r="W252" s="142" t="n"/>
      <c r="X252" s="143" t="n"/>
      <c r="Y252" s="116">
        <f>IF(X252&lt;&gt;"",X252,IF(U252="Helmond",IF(COUNTIFS(RC_Lane,B252,RC_Band,E252,RC_CostPS,"&gt;0")=0,"",SUMIFS(RC_CostPS,RC_Lane,B252,RC_Band,E252)*(1-SUMIFS(RC_Disc,RC_Lane,B252,RC_Band,E252))),IF(U252="Other","",IF(INDEX(RS_Rate,MATCH(B252,RS_Lane,0))="","",INDEX(RS_Rate,MATCH(B252,RS_Lane,0))))))</f>
        <v/>
      </c>
    </row>
    <row r="253">
      <c r="A253" s="95" t="inlineStr">
        <is>
          <t>B-249</t>
        </is>
      </c>
      <c r="B253" s="112" t="inlineStr">
        <is>
          <t>L01</t>
        </is>
      </c>
      <c r="C253" s="101" t="inlineStr">
        <is>
          <t>Saudi Arabia</t>
        </is>
      </c>
      <c r="D253" s="101" t="inlineStr">
        <is>
          <t>Jeddah</t>
        </is>
      </c>
      <c r="E253" s="101" t="inlineStr">
        <is>
          <t>B1  0 to 30 kg</t>
        </is>
      </c>
      <c r="F253" s="123" t="n">
        <v>7.3</v>
      </c>
      <c r="G253" s="86">
        <f>F253*0.006477</f>
        <v/>
      </c>
      <c r="H253" s="123">
        <f>F253*1.079436</f>
        <v/>
      </c>
      <c r="I253" s="122">
        <f>MAX(1,ROUNDUP(G253/0.096,0))</f>
        <v/>
      </c>
      <c r="J253" s="84" t="n">
        <v>46675</v>
      </c>
      <c r="K253" s="87">
        <f>J253-WEEKDAY(J253,2)+1</f>
        <v/>
      </c>
      <c r="L253" s="84">
        <f>J253</f>
        <v/>
      </c>
      <c r="M253" s="52">
        <f>INDEX(LR_Target,MATCH(B253,LR_Lane,0))</f>
        <v/>
      </c>
      <c r="N253" s="84">
        <f>WORKDAY.INTL(L253,M253,INDEX(LR_Code,MATCH(B253,LR_Lane,0)),INDEX(DH_Table,0,MATCH(B253&amp;"*",DH_Head,0)))</f>
        <v/>
      </c>
      <c r="O253" s="65">
        <f>IF(W253&lt;&gt;"",W253,IF(U253="Helmond",IF(COUNTIFS(RC_Lane,B253,RC_Band,E253,RC_Transit,"&lt;&gt;")=0,"",SUMIFS(RC_Transit,RC_Lane,B253,RC_Band,E253)),IF(U253="Other","",IF(INDEX(RS_Transit,MATCH(B253,RS_Lane,0))="","",INDEX(RS_Transit,MATCH(B253,RS_Lane,0))))))</f>
        <v/>
      </c>
      <c r="P253" s="140" t="n"/>
      <c r="Q253" s="84">
        <f>IF(P253&lt;&gt;"",P253,IF(O253="","",WORKDAY.INTL(L253,ROUNDUP(O253,0),INDEX(LR_Code,MATCH(B253,LR_Lane,0)),INDEX(DH_Table,0,MATCH(B253&amp;"*",DH_Head,0)))))</f>
        <v/>
      </c>
      <c r="R253" s="100">
        <f>IF(Q253="","",IF(Q253&lt;=N253,"Yes","No"))</f>
        <v/>
      </c>
      <c r="S253" s="52">
        <f>IF(Q253="","",IF(Q253&lt;=N253,0,NETWORKDAYS.INTL(N253,Q253,INDEX(LR_Code,MATCH(B253,LR_Lane,0)),INDEX(DH_Table,0,MATCH(B253&amp;"*",DH_Head,0)))-1))</f>
        <v/>
      </c>
      <c r="T253" s="127" t="n"/>
      <c r="U253" s="112">
        <f>IF(V253&lt;&gt;"",V253,IF(IFERROR(INDEX(RS_Flag,MATCH(B253,RS_Lane,0)),"")="Yes",IF(IFERROR(INDEX(RS_Loc,MATCH(B253,RS_Lane,0)),"")="","Regional stock",IFERROR(INDEX(RS_Loc,MATCH(B253,RS_Lane,0)),"")),"Helmond"))</f>
        <v/>
      </c>
      <c r="V253" s="141" t="n"/>
      <c r="W253" s="142" t="n"/>
      <c r="X253" s="143" t="n"/>
      <c r="Y253" s="116">
        <f>IF(X253&lt;&gt;"",X253,IF(U253="Helmond",IF(COUNTIFS(RC_Lane,B253,RC_Band,E253,RC_CostPS,"&gt;0")=0,"",SUMIFS(RC_CostPS,RC_Lane,B253,RC_Band,E253)*(1-SUMIFS(RC_Disc,RC_Lane,B253,RC_Band,E253))),IF(U253="Other","",IF(INDEX(RS_Rate,MATCH(B253,RS_Lane,0))="","",INDEX(RS_Rate,MATCH(B253,RS_Lane,0))))))</f>
        <v/>
      </c>
    </row>
    <row r="254">
      <c r="A254" s="95" t="inlineStr">
        <is>
          <t>B-250</t>
        </is>
      </c>
      <c r="B254" s="112" t="inlineStr">
        <is>
          <t>L01</t>
        </is>
      </c>
      <c r="C254" s="101" t="inlineStr">
        <is>
          <t>Saudi Arabia</t>
        </is>
      </c>
      <c r="D254" s="101" t="inlineStr">
        <is>
          <t>Riyadh</t>
        </is>
      </c>
      <c r="E254" s="101" t="inlineStr">
        <is>
          <t>B4  500 to 2,000 kg</t>
        </is>
      </c>
      <c r="F254" s="123" t="n">
        <v>746.5</v>
      </c>
      <c r="G254" s="86">
        <f>F254*0.006477</f>
        <v/>
      </c>
      <c r="H254" s="123">
        <f>F254*1.079436</f>
        <v/>
      </c>
      <c r="I254" s="122">
        <f>MAX(1,ROUNDUP(G254/0.096,0))</f>
        <v/>
      </c>
      <c r="J254" s="84" t="n">
        <v>46678</v>
      </c>
      <c r="K254" s="87">
        <f>J254-WEEKDAY(J254,2)+1</f>
        <v/>
      </c>
      <c r="L254" s="84">
        <f>J254</f>
        <v/>
      </c>
      <c r="M254" s="52">
        <f>INDEX(LR_Target,MATCH(B254,LR_Lane,0))</f>
        <v/>
      </c>
      <c r="N254" s="84">
        <f>WORKDAY.INTL(L254,M254,INDEX(LR_Code,MATCH(B254,LR_Lane,0)),INDEX(DH_Table,0,MATCH(B254&amp;"*",DH_Head,0)))</f>
        <v/>
      </c>
      <c r="O254" s="65">
        <f>IF(W254&lt;&gt;"",W254,IF(U254="Helmond",IF(COUNTIFS(RC_Lane,B254,RC_Band,E254,RC_Transit,"&lt;&gt;")=0,"",SUMIFS(RC_Transit,RC_Lane,B254,RC_Band,E254)),IF(U254="Other","",IF(INDEX(RS_Transit,MATCH(B254,RS_Lane,0))="","",INDEX(RS_Transit,MATCH(B254,RS_Lane,0))))))</f>
        <v/>
      </c>
      <c r="P254" s="140" t="n"/>
      <c r="Q254" s="84">
        <f>IF(P254&lt;&gt;"",P254,IF(O254="","",WORKDAY.INTL(L254,ROUNDUP(O254,0),INDEX(LR_Code,MATCH(B254,LR_Lane,0)),INDEX(DH_Table,0,MATCH(B254&amp;"*",DH_Head,0)))))</f>
        <v/>
      </c>
      <c r="R254" s="100">
        <f>IF(Q254="","",IF(Q254&lt;=N254,"Yes","No"))</f>
        <v/>
      </c>
      <c r="S254" s="52">
        <f>IF(Q254="","",IF(Q254&lt;=N254,0,NETWORKDAYS.INTL(N254,Q254,INDEX(LR_Code,MATCH(B254,LR_Lane,0)),INDEX(DH_Table,0,MATCH(B254&amp;"*",DH_Head,0)))-1))</f>
        <v/>
      </c>
      <c r="T254" s="127" t="n"/>
      <c r="U254" s="112">
        <f>IF(V254&lt;&gt;"",V254,IF(IFERROR(INDEX(RS_Flag,MATCH(B254,RS_Lane,0)),"")="Yes",IF(IFERROR(INDEX(RS_Loc,MATCH(B254,RS_Lane,0)),"")="","Regional stock",IFERROR(INDEX(RS_Loc,MATCH(B254,RS_Lane,0)),"")),"Helmond"))</f>
        <v/>
      </c>
      <c r="V254" s="141" t="n"/>
      <c r="W254" s="142" t="n"/>
      <c r="X254" s="143" t="n"/>
      <c r="Y254" s="116">
        <f>IF(X254&lt;&gt;"",X254,IF(U254="Helmond",IF(COUNTIFS(RC_Lane,B254,RC_Band,E254,RC_CostPS,"&gt;0")=0,"",SUMIFS(RC_CostPS,RC_Lane,B254,RC_Band,E254)*(1-SUMIFS(RC_Disc,RC_Lane,B254,RC_Band,E254))),IF(U254="Other","",IF(INDEX(RS_Rate,MATCH(B254,RS_Lane,0))="","",INDEX(RS_Rate,MATCH(B254,RS_Lane,0))))))</f>
        <v/>
      </c>
    </row>
    <row r="255">
      <c r="A255" s="95" t="inlineStr">
        <is>
          <t>B-251</t>
        </is>
      </c>
      <c r="B255" s="112" t="inlineStr">
        <is>
          <t>L03</t>
        </is>
      </c>
      <c r="C255" s="101" t="inlineStr">
        <is>
          <t>Kuwait</t>
        </is>
      </c>
      <c r="D255" s="101" t="inlineStr">
        <is>
          <t>Kuwait City</t>
        </is>
      </c>
      <c r="E255" s="101" t="inlineStr">
        <is>
          <t>B3  100 to 500 kg</t>
        </is>
      </c>
      <c r="F255" s="123" t="n">
        <v>290</v>
      </c>
      <c r="G255" s="86">
        <f>F255*0.006477</f>
        <v/>
      </c>
      <c r="H255" s="123">
        <f>F255*1.079436</f>
        <v/>
      </c>
      <c r="I255" s="122">
        <f>MAX(1,ROUNDUP(G255/0.096,0))</f>
        <v/>
      </c>
      <c r="J255" s="84" t="n">
        <v>46678</v>
      </c>
      <c r="K255" s="87">
        <f>J255-WEEKDAY(J255,2)+1</f>
        <v/>
      </c>
      <c r="L255" s="84">
        <f>J255</f>
        <v/>
      </c>
      <c r="M255" s="52">
        <f>INDEX(LR_Target,MATCH(B255,LR_Lane,0))</f>
        <v/>
      </c>
      <c r="N255" s="84">
        <f>WORKDAY.INTL(L255,M255,INDEX(LR_Code,MATCH(B255,LR_Lane,0)),INDEX(DH_Table,0,MATCH(B255&amp;"*",DH_Head,0)))</f>
        <v/>
      </c>
      <c r="O255" s="65">
        <f>IF(W255&lt;&gt;"",W255,IF(U255="Helmond",IF(COUNTIFS(RC_Lane,B255,RC_Band,E255,RC_Transit,"&lt;&gt;")=0,"",SUMIFS(RC_Transit,RC_Lane,B255,RC_Band,E255)),IF(U255="Other","",IF(INDEX(RS_Transit,MATCH(B255,RS_Lane,0))="","",INDEX(RS_Transit,MATCH(B255,RS_Lane,0))))))</f>
        <v/>
      </c>
      <c r="P255" s="140" t="n"/>
      <c r="Q255" s="84">
        <f>IF(P255&lt;&gt;"",P255,IF(O255="","",WORKDAY.INTL(L255,ROUNDUP(O255,0),INDEX(LR_Code,MATCH(B255,LR_Lane,0)),INDEX(DH_Table,0,MATCH(B255&amp;"*",DH_Head,0)))))</f>
        <v/>
      </c>
      <c r="R255" s="100">
        <f>IF(Q255="","",IF(Q255&lt;=N255,"Yes","No"))</f>
        <v/>
      </c>
      <c r="S255" s="52">
        <f>IF(Q255="","",IF(Q255&lt;=N255,0,NETWORKDAYS.INTL(N255,Q255,INDEX(LR_Code,MATCH(B255,LR_Lane,0)),INDEX(DH_Table,0,MATCH(B255&amp;"*",DH_Head,0)))-1))</f>
        <v/>
      </c>
      <c r="T255" s="127" t="n"/>
      <c r="U255" s="112">
        <f>IF(V255&lt;&gt;"",V255,IF(IFERROR(INDEX(RS_Flag,MATCH(B255,RS_Lane,0)),"")="Yes",IF(IFERROR(INDEX(RS_Loc,MATCH(B255,RS_Lane,0)),"")="","Regional stock",IFERROR(INDEX(RS_Loc,MATCH(B255,RS_Lane,0)),"")),"Helmond"))</f>
        <v/>
      </c>
      <c r="V255" s="141" t="n"/>
      <c r="W255" s="142" t="n"/>
      <c r="X255" s="143" t="n"/>
      <c r="Y255" s="116">
        <f>IF(X255&lt;&gt;"",X255,IF(U255="Helmond",IF(COUNTIFS(RC_Lane,B255,RC_Band,E255,RC_CostPS,"&gt;0")=0,"",SUMIFS(RC_CostPS,RC_Lane,B255,RC_Band,E255)*(1-SUMIFS(RC_Disc,RC_Lane,B255,RC_Band,E255))),IF(U255="Other","",IF(INDEX(RS_Rate,MATCH(B255,RS_Lane,0))="","",INDEX(RS_Rate,MATCH(B255,RS_Lane,0))))))</f>
        <v/>
      </c>
    </row>
    <row r="256">
      <c r="A256" s="95" t="inlineStr">
        <is>
          <t>B-252</t>
        </is>
      </c>
      <c r="B256" s="112" t="inlineStr">
        <is>
          <t>L08</t>
        </is>
      </c>
      <c r="C256" s="101" t="inlineStr">
        <is>
          <t>Egypt</t>
        </is>
      </c>
      <c r="D256" s="101" t="inlineStr">
        <is>
          <t>Cairo area</t>
        </is>
      </c>
      <c r="E256" s="101" t="inlineStr">
        <is>
          <t>B1  0 to 30 kg</t>
        </is>
      </c>
      <c r="F256" s="123" t="n">
        <v>8.800000000000001</v>
      </c>
      <c r="G256" s="86">
        <f>F256*0.006477</f>
        <v/>
      </c>
      <c r="H256" s="123">
        <f>F256*1.079436</f>
        <v/>
      </c>
      <c r="I256" s="122">
        <f>MAX(1,ROUNDUP(G256/0.096,0))</f>
        <v/>
      </c>
      <c r="J256" s="84" t="n">
        <v>46678</v>
      </c>
      <c r="K256" s="87">
        <f>J256-WEEKDAY(J256,2)+1</f>
        <v/>
      </c>
      <c r="L256" s="84">
        <f>J256</f>
        <v/>
      </c>
      <c r="M256" s="52">
        <f>INDEX(LR_Target,MATCH(B256,LR_Lane,0))</f>
        <v/>
      </c>
      <c r="N256" s="84">
        <f>WORKDAY.INTL(L256,M256,INDEX(LR_Code,MATCH(B256,LR_Lane,0)),INDEX(DH_Table,0,MATCH(B256&amp;"*",DH_Head,0)))</f>
        <v/>
      </c>
      <c r="O256" s="65">
        <f>IF(W256&lt;&gt;"",W256,IF(U256="Helmond",IF(COUNTIFS(RC_Lane,B256,RC_Band,E256,RC_Transit,"&lt;&gt;")=0,"",SUMIFS(RC_Transit,RC_Lane,B256,RC_Band,E256)),IF(U256="Other","",IF(INDEX(RS_Transit,MATCH(B256,RS_Lane,0))="","",INDEX(RS_Transit,MATCH(B256,RS_Lane,0))))))</f>
        <v/>
      </c>
      <c r="P256" s="140" t="n"/>
      <c r="Q256" s="84">
        <f>IF(P256&lt;&gt;"",P256,IF(O256="","",WORKDAY.INTL(L256,ROUNDUP(O256,0),INDEX(LR_Code,MATCH(B256,LR_Lane,0)),INDEX(DH_Table,0,MATCH(B256&amp;"*",DH_Head,0)))))</f>
        <v/>
      </c>
      <c r="R256" s="100">
        <f>IF(Q256="","",IF(Q256&lt;=N256,"Yes","No"))</f>
        <v/>
      </c>
      <c r="S256" s="52">
        <f>IF(Q256="","",IF(Q256&lt;=N256,0,NETWORKDAYS.INTL(N256,Q256,INDEX(LR_Code,MATCH(B256,LR_Lane,0)),INDEX(DH_Table,0,MATCH(B256&amp;"*",DH_Head,0)))-1))</f>
        <v/>
      </c>
      <c r="T256" s="127" t="n"/>
      <c r="U256" s="112">
        <f>IF(V256&lt;&gt;"",V256,IF(IFERROR(INDEX(RS_Flag,MATCH(B256,RS_Lane,0)),"")="Yes",IF(IFERROR(INDEX(RS_Loc,MATCH(B256,RS_Lane,0)),"")="","Regional stock",IFERROR(INDEX(RS_Loc,MATCH(B256,RS_Lane,0)),"")),"Helmond"))</f>
        <v/>
      </c>
      <c r="V256" s="141" t="n"/>
      <c r="W256" s="142" t="n"/>
      <c r="X256" s="143" t="n"/>
      <c r="Y256" s="116">
        <f>IF(X256&lt;&gt;"",X256,IF(U256="Helmond",IF(COUNTIFS(RC_Lane,B256,RC_Band,E256,RC_CostPS,"&gt;0")=0,"",SUMIFS(RC_CostPS,RC_Lane,B256,RC_Band,E256)*(1-SUMIFS(RC_Disc,RC_Lane,B256,RC_Band,E256))),IF(U256="Other","",IF(INDEX(RS_Rate,MATCH(B256,RS_Lane,0))="","",INDEX(RS_Rate,MATCH(B256,RS_Lane,0))))))</f>
        <v/>
      </c>
    </row>
    <row r="257">
      <c r="A257" s="95" t="inlineStr">
        <is>
          <t>B-253</t>
        </is>
      </c>
      <c r="B257" s="112" t="inlineStr">
        <is>
          <t>L01</t>
        </is>
      </c>
      <c r="C257" s="101" t="inlineStr">
        <is>
          <t>Saudi Arabia</t>
        </is>
      </c>
      <c r="D257" s="101" t="inlineStr">
        <is>
          <t>Jeddah</t>
        </is>
      </c>
      <c r="E257" s="101" t="inlineStr">
        <is>
          <t>B3  100 to 500 kg</t>
        </is>
      </c>
      <c r="F257" s="123" t="n">
        <v>388.3</v>
      </c>
      <c r="G257" s="86">
        <f>F257*0.006477</f>
        <v/>
      </c>
      <c r="H257" s="123">
        <f>F257*1.079436</f>
        <v/>
      </c>
      <c r="I257" s="122">
        <f>MAX(1,ROUNDUP(G257/0.096,0))</f>
        <v/>
      </c>
      <c r="J257" s="84" t="n">
        <v>46679</v>
      </c>
      <c r="K257" s="87">
        <f>J257-WEEKDAY(J257,2)+1</f>
        <v/>
      </c>
      <c r="L257" s="84">
        <f>J257</f>
        <v/>
      </c>
      <c r="M257" s="52">
        <f>INDEX(LR_Target,MATCH(B257,LR_Lane,0))</f>
        <v/>
      </c>
      <c r="N257" s="84">
        <f>WORKDAY.INTL(L257,M257,INDEX(LR_Code,MATCH(B257,LR_Lane,0)),INDEX(DH_Table,0,MATCH(B257&amp;"*",DH_Head,0)))</f>
        <v/>
      </c>
      <c r="O257" s="65">
        <f>IF(W257&lt;&gt;"",W257,IF(U257="Helmond",IF(COUNTIFS(RC_Lane,B257,RC_Band,E257,RC_Transit,"&lt;&gt;")=0,"",SUMIFS(RC_Transit,RC_Lane,B257,RC_Band,E257)),IF(U257="Other","",IF(INDEX(RS_Transit,MATCH(B257,RS_Lane,0))="","",INDEX(RS_Transit,MATCH(B257,RS_Lane,0))))))</f>
        <v/>
      </c>
      <c r="P257" s="140" t="n"/>
      <c r="Q257" s="84">
        <f>IF(P257&lt;&gt;"",P257,IF(O257="","",WORKDAY.INTL(L257,ROUNDUP(O257,0),INDEX(LR_Code,MATCH(B257,LR_Lane,0)),INDEX(DH_Table,0,MATCH(B257&amp;"*",DH_Head,0)))))</f>
        <v/>
      </c>
      <c r="R257" s="100">
        <f>IF(Q257="","",IF(Q257&lt;=N257,"Yes","No"))</f>
        <v/>
      </c>
      <c r="S257" s="52">
        <f>IF(Q257="","",IF(Q257&lt;=N257,0,NETWORKDAYS.INTL(N257,Q257,INDEX(LR_Code,MATCH(B257,LR_Lane,0)),INDEX(DH_Table,0,MATCH(B257&amp;"*",DH_Head,0)))-1))</f>
        <v/>
      </c>
      <c r="T257" s="127" t="n"/>
      <c r="U257" s="112">
        <f>IF(V257&lt;&gt;"",V257,IF(IFERROR(INDEX(RS_Flag,MATCH(B257,RS_Lane,0)),"")="Yes",IF(IFERROR(INDEX(RS_Loc,MATCH(B257,RS_Lane,0)),"")="","Regional stock",IFERROR(INDEX(RS_Loc,MATCH(B257,RS_Lane,0)),"")),"Helmond"))</f>
        <v/>
      </c>
      <c r="V257" s="141" t="n"/>
      <c r="W257" s="142" t="n"/>
      <c r="X257" s="143" t="n"/>
      <c r="Y257" s="116">
        <f>IF(X257&lt;&gt;"",X257,IF(U257="Helmond",IF(COUNTIFS(RC_Lane,B257,RC_Band,E257,RC_CostPS,"&gt;0")=0,"",SUMIFS(RC_CostPS,RC_Lane,B257,RC_Band,E257)*(1-SUMIFS(RC_Disc,RC_Lane,B257,RC_Band,E257))),IF(U257="Other","",IF(INDEX(RS_Rate,MATCH(B257,RS_Lane,0))="","",INDEX(RS_Rate,MATCH(B257,RS_Lane,0))))))</f>
        <v/>
      </c>
    </row>
    <row r="258">
      <c r="A258" s="95" t="inlineStr">
        <is>
          <t>B-254</t>
        </is>
      </c>
      <c r="B258" s="112" t="inlineStr">
        <is>
          <t>L06</t>
        </is>
      </c>
      <c r="C258" s="101" t="inlineStr">
        <is>
          <t>Morocco</t>
        </is>
      </c>
      <c r="D258" s="101" t="inlineStr">
        <is>
          <t>Casablanca area</t>
        </is>
      </c>
      <c r="E258" s="101" t="inlineStr">
        <is>
          <t>B3  100 to 500 kg</t>
        </is>
      </c>
      <c r="F258" s="123" t="n">
        <v>153.7</v>
      </c>
      <c r="G258" s="86">
        <f>F258*0.006477</f>
        <v/>
      </c>
      <c r="H258" s="123">
        <f>F258*1.079436</f>
        <v/>
      </c>
      <c r="I258" s="122">
        <f>MAX(1,ROUNDUP(G258/0.096,0))</f>
        <v/>
      </c>
      <c r="J258" s="84" t="n">
        <v>46679</v>
      </c>
      <c r="K258" s="87">
        <f>J258-WEEKDAY(J258,2)+1</f>
        <v/>
      </c>
      <c r="L258" s="84">
        <f>J258</f>
        <v/>
      </c>
      <c r="M258" s="52">
        <f>INDEX(LR_Target,MATCH(B258,LR_Lane,0))</f>
        <v/>
      </c>
      <c r="N258" s="84">
        <f>WORKDAY.INTL(L258,M258,INDEX(LR_Code,MATCH(B258,LR_Lane,0)),INDEX(DH_Table,0,MATCH(B258&amp;"*",DH_Head,0)))</f>
        <v/>
      </c>
      <c r="O258" s="65">
        <f>IF(W258&lt;&gt;"",W258,IF(U258="Helmond",IF(COUNTIFS(RC_Lane,B258,RC_Band,E258,RC_Transit,"&lt;&gt;")=0,"",SUMIFS(RC_Transit,RC_Lane,B258,RC_Band,E258)),IF(U258="Other","",IF(INDEX(RS_Transit,MATCH(B258,RS_Lane,0))="","",INDEX(RS_Transit,MATCH(B258,RS_Lane,0))))))</f>
        <v/>
      </c>
      <c r="P258" s="140" t="n"/>
      <c r="Q258" s="84">
        <f>IF(P258&lt;&gt;"",P258,IF(O258="","",WORKDAY.INTL(L258,ROUNDUP(O258,0),INDEX(LR_Code,MATCH(B258,LR_Lane,0)),INDEX(DH_Table,0,MATCH(B258&amp;"*",DH_Head,0)))))</f>
        <v/>
      </c>
      <c r="R258" s="100">
        <f>IF(Q258="","",IF(Q258&lt;=N258,"Yes","No"))</f>
        <v/>
      </c>
      <c r="S258" s="52">
        <f>IF(Q258="","",IF(Q258&lt;=N258,0,NETWORKDAYS.INTL(N258,Q258,INDEX(LR_Code,MATCH(B258,LR_Lane,0)),INDEX(DH_Table,0,MATCH(B258&amp;"*",DH_Head,0)))-1))</f>
        <v/>
      </c>
      <c r="T258" s="127" t="n"/>
      <c r="U258" s="112">
        <f>IF(V258&lt;&gt;"",V258,IF(IFERROR(INDEX(RS_Flag,MATCH(B258,RS_Lane,0)),"")="Yes",IF(IFERROR(INDEX(RS_Loc,MATCH(B258,RS_Lane,0)),"")="","Regional stock",IFERROR(INDEX(RS_Loc,MATCH(B258,RS_Lane,0)),"")),"Helmond"))</f>
        <v/>
      </c>
      <c r="V258" s="141" t="n"/>
      <c r="W258" s="142" t="n"/>
      <c r="X258" s="143" t="n"/>
      <c r="Y258" s="116">
        <f>IF(X258&lt;&gt;"",X258,IF(U258="Helmond",IF(COUNTIFS(RC_Lane,B258,RC_Band,E258,RC_CostPS,"&gt;0")=0,"",SUMIFS(RC_CostPS,RC_Lane,B258,RC_Band,E258)*(1-SUMIFS(RC_Disc,RC_Lane,B258,RC_Band,E258))),IF(U258="Other","",IF(INDEX(RS_Rate,MATCH(B258,RS_Lane,0))="","",INDEX(RS_Rate,MATCH(B258,RS_Lane,0))))))</f>
        <v/>
      </c>
    </row>
    <row r="259">
      <c r="A259" s="95" t="inlineStr">
        <is>
          <t>B-255</t>
        </is>
      </c>
      <c r="B259" s="112" t="inlineStr">
        <is>
          <t>L02</t>
        </is>
      </c>
      <c r="C259" s="101" t="inlineStr">
        <is>
          <t>United Arab Emirates</t>
        </is>
      </c>
      <c r="D259" s="101" t="inlineStr">
        <is>
          <t>Dubai</t>
        </is>
      </c>
      <c r="E259" s="101" t="inlineStr">
        <is>
          <t>B1  0 to 30 kg</t>
        </is>
      </c>
      <c r="F259" s="123" t="n">
        <v>9.699999999999999</v>
      </c>
      <c r="G259" s="86">
        <f>F259*0.006477</f>
        <v/>
      </c>
      <c r="H259" s="123">
        <f>F259*1.079436</f>
        <v/>
      </c>
      <c r="I259" s="122">
        <f>MAX(1,ROUNDUP(G259/0.096,0))</f>
        <v/>
      </c>
      <c r="J259" s="84" t="n">
        <v>46680</v>
      </c>
      <c r="K259" s="87">
        <f>J259-WEEKDAY(J259,2)+1</f>
        <v/>
      </c>
      <c r="L259" s="84">
        <f>J259</f>
        <v/>
      </c>
      <c r="M259" s="52">
        <f>INDEX(LR_Target,MATCH(B259,LR_Lane,0))</f>
        <v/>
      </c>
      <c r="N259" s="84">
        <f>WORKDAY.INTL(L259,M259,INDEX(LR_Code,MATCH(B259,LR_Lane,0)),INDEX(DH_Table,0,MATCH(B259&amp;"*",DH_Head,0)))</f>
        <v/>
      </c>
      <c r="O259" s="65">
        <f>IF(W259&lt;&gt;"",W259,IF(U259="Helmond",IF(COUNTIFS(RC_Lane,B259,RC_Band,E259,RC_Transit,"&lt;&gt;")=0,"",SUMIFS(RC_Transit,RC_Lane,B259,RC_Band,E259)),IF(U259="Other","",IF(INDEX(RS_Transit,MATCH(B259,RS_Lane,0))="","",INDEX(RS_Transit,MATCH(B259,RS_Lane,0))))))</f>
        <v/>
      </c>
      <c r="P259" s="140" t="n"/>
      <c r="Q259" s="84">
        <f>IF(P259&lt;&gt;"",P259,IF(O259="","",WORKDAY.INTL(L259,ROUNDUP(O259,0),INDEX(LR_Code,MATCH(B259,LR_Lane,0)),INDEX(DH_Table,0,MATCH(B259&amp;"*",DH_Head,0)))))</f>
        <v/>
      </c>
      <c r="R259" s="100">
        <f>IF(Q259="","",IF(Q259&lt;=N259,"Yes","No"))</f>
        <v/>
      </c>
      <c r="S259" s="52">
        <f>IF(Q259="","",IF(Q259&lt;=N259,0,NETWORKDAYS.INTL(N259,Q259,INDEX(LR_Code,MATCH(B259,LR_Lane,0)),INDEX(DH_Table,0,MATCH(B259&amp;"*",DH_Head,0)))-1))</f>
        <v/>
      </c>
      <c r="T259" s="127" t="n"/>
      <c r="U259" s="112">
        <f>IF(V259&lt;&gt;"",V259,IF(IFERROR(INDEX(RS_Flag,MATCH(B259,RS_Lane,0)),"")="Yes",IF(IFERROR(INDEX(RS_Loc,MATCH(B259,RS_Lane,0)),"")="","Regional stock",IFERROR(INDEX(RS_Loc,MATCH(B259,RS_Lane,0)),"")),"Helmond"))</f>
        <v/>
      </c>
      <c r="V259" s="141" t="n"/>
      <c r="W259" s="142" t="n"/>
      <c r="X259" s="143" t="n"/>
      <c r="Y259" s="116">
        <f>IF(X259&lt;&gt;"",X259,IF(U259="Helmond",IF(COUNTIFS(RC_Lane,B259,RC_Band,E259,RC_CostPS,"&gt;0")=0,"",SUMIFS(RC_CostPS,RC_Lane,B259,RC_Band,E259)*(1-SUMIFS(RC_Disc,RC_Lane,B259,RC_Band,E259))),IF(U259="Other","",IF(INDEX(RS_Rate,MATCH(B259,RS_Lane,0))="","",INDEX(RS_Rate,MATCH(B259,RS_Lane,0))))))</f>
        <v/>
      </c>
    </row>
    <row r="260">
      <c r="A260" s="95" t="inlineStr">
        <is>
          <t>B-256</t>
        </is>
      </c>
      <c r="B260" s="112" t="inlineStr">
        <is>
          <t>L02</t>
        </is>
      </c>
      <c r="C260" s="101" t="inlineStr">
        <is>
          <t>United Arab Emirates</t>
        </is>
      </c>
      <c r="D260" s="101" t="inlineStr">
        <is>
          <t>Dubai</t>
        </is>
      </c>
      <c r="E260" s="101" t="inlineStr">
        <is>
          <t>B1  0 to 30 kg</t>
        </is>
      </c>
      <c r="F260" s="123" t="n">
        <v>6.7</v>
      </c>
      <c r="G260" s="86">
        <f>F260*0.006477</f>
        <v/>
      </c>
      <c r="H260" s="123">
        <f>F260*1.079436</f>
        <v/>
      </c>
      <c r="I260" s="122">
        <f>MAX(1,ROUNDUP(G260/0.096,0))</f>
        <v/>
      </c>
      <c r="J260" s="84" t="n">
        <v>46680</v>
      </c>
      <c r="K260" s="87">
        <f>J260-WEEKDAY(J260,2)+1</f>
        <v/>
      </c>
      <c r="L260" s="84">
        <f>J260</f>
        <v/>
      </c>
      <c r="M260" s="52">
        <f>INDEX(LR_Target,MATCH(B260,LR_Lane,0))</f>
        <v/>
      </c>
      <c r="N260" s="84">
        <f>WORKDAY.INTL(L260,M260,INDEX(LR_Code,MATCH(B260,LR_Lane,0)),INDEX(DH_Table,0,MATCH(B260&amp;"*",DH_Head,0)))</f>
        <v/>
      </c>
      <c r="O260" s="65">
        <f>IF(W260&lt;&gt;"",W260,IF(U260="Helmond",IF(COUNTIFS(RC_Lane,B260,RC_Band,E260,RC_Transit,"&lt;&gt;")=0,"",SUMIFS(RC_Transit,RC_Lane,B260,RC_Band,E260)),IF(U260="Other","",IF(INDEX(RS_Transit,MATCH(B260,RS_Lane,0))="","",INDEX(RS_Transit,MATCH(B260,RS_Lane,0))))))</f>
        <v/>
      </c>
      <c r="P260" s="140" t="n"/>
      <c r="Q260" s="84">
        <f>IF(P260&lt;&gt;"",P260,IF(O260="","",WORKDAY.INTL(L260,ROUNDUP(O260,0),INDEX(LR_Code,MATCH(B260,LR_Lane,0)),INDEX(DH_Table,0,MATCH(B260&amp;"*",DH_Head,0)))))</f>
        <v/>
      </c>
      <c r="R260" s="100">
        <f>IF(Q260="","",IF(Q260&lt;=N260,"Yes","No"))</f>
        <v/>
      </c>
      <c r="S260" s="52">
        <f>IF(Q260="","",IF(Q260&lt;=N260,0,NETWORKDAYS.INTL(N260,Q260,INDEX(LR_Code,MATCH(B260,LR_Lane,0)),INDEX(DH_Table,0,MATCH(B260&amp;"*",DH_Head,0)))-1))</f>
        <v/>
      </c>
      <c r="T260" s="127" t="n"/>
      <c r="U260" s="112">
        <f>IF(V260&lt;&gt;"",V260,IF(IFERROR(INDEX(RS_Flag,MATCH(B260,RS_Lane,0)),"")="Yes",IF(IFERROR(INDEX(RS_Loc,MATCH(B260,RS_Lane,0)),"")="","Regional stock",IFERROR(INDEX(RS_Loc,MATCH(B260,RS_Lane,0)),"")),"Helmond"))</f>
        <v/>
      </c>
      <c r="V260" s="141" t="n"/>
      <c r="W260" s="142" t="n"/>
      <c r="X260" s="143" t="n"/>
      <c r="Y260" s="116">
        <f>IF(X260&lt;&gt;"",X260,IF(U260="Helmond",IF(COUNTIFS(RC_Lane,B260,RC_Band,E260,RC_CostPS,"&gt;0")=0,"",SUMIFS(RC_CostPS,RC_Lane,B260,RC_Band,E260)*(1-SUMIFS(RC_Disc,RC_Lane,B260,RC_Band,E260))),IF(U260="Other","",IF(INDEX(RS_Rate,MATCH(B260,RS_Lane,0))="","",INDEX(RS_Rate,MATCH(B260,RS_Lane,0))))))</f>
        <v/>
      </c>
    </row>
    <row r="261">
      <c r="A261" s="95" t="inlineStr">
        <is>
          <t>B-257</t>
        </is>
      </c>
      <c r="B261" s="112" t="inlineStr">
        <is>
          <t>L01</t>
        </is>
      </c>
      <c r="C261" s="101" t="inlineStr">
        <is>
          <t>Saudi Arabia</t>
        </is>
      </c>
      <c r="D261" s="101" t="inlineStr">
        <is>
          <t>Jeddah</t>
        </is>
      </c>
      <c r="E261" s="101" t="inlineStr">
        <is>
          <t>B1  0 to 30 kg</t>
        </is>
      </c>
      <c r="F261" s="123" t="n">
        <v>6.8</v>
      </c>
      <c r="G261" s="86">
        <f>F261*0.006477</f>
        <v/>
      </c>
      <c r="H261" s="123">
        <f>F261*1.079436</f>
        <v/>
      </c>
      <c r="I261" s="122">
        <f>MAX(1,ROUNDUP(G261/0.096,0))</f>
        <v/>
      </c>
      <c r="J261" s="84" t="n">
        <v>46681</v>
      </c>
      <c r="K261" s="87">
        <f>J261-WEEKDAY(J261,2)+1</f>
        <v/>
      </c>
      <c r="L261" s="84">
        <f>J261</f>
        <v/>
      </c>
      <c r="M261" s="52">
        <f>INDEX(LR_Target,MATCH(B261,LR_Lane,0))</f>
        <v/>
      </c>
      <c r="N261" s="84">
        <f>WORKDAY.INTL(L261,M261,INDEX(LR_Code,MATCH(B261,LR_Lane,0)),INDEX(DH_Table,0,MATCH(B261&amp;"*",DH_Head,0)))</f>
        <v/>
      </c>
      <c r="O261" s="65">
        <f>IF(W261&lt;&gt;"",W261,IF(U261="Helmond",IF(COUNTIFS(RC_Lane,B261,RC_Band,E261,RC_Transit,"&lt;&gt;")=0,"",SUMIFS(RC_Transit,RC_Lane,B261,RC_Band,E261)),IF(U261="Other","",IF(INDEX(RS_Transit,MATCH(B261,RS_Lane,0))="","",INDEX(RS_Transit,MATCH(B261,RS_Lane,0))))))</f>
        <v/>
      </c>
      <c r="P261" s="140" t="n"/>
      <c r="Q261" s="84">
        <f>IF(P261&lt;&gt;"",P261,IF(O261="","",WORKDAY.INTL(L261,ROUNDUP(O261,0),INDEX(LR_Code,MATCH(B261,LR_Lane,0)),INDEX(DH_Table,0,MATCH(B261&amp;"*",DH_Head,0)))))</f>
        <v/>
      </c>
      <c r="R261" s="100">
        <f>IF(Q261="","",IF(Q261&lt;=N261,"Yes","No"))</f>
        <v/>
      </c>
      <c r="S261" s="52">
        <f>IF(Q261="","",IF(Q261&lt;=N261,0,NETWORKDAYS.INTL(N261,Q261,INDEX(LR_Code,MATCH(B261,LR_Lane,0)),INDEX(DH_Table,0,MATCH(B261&amp;"*",DH_Head,0)))-1))</f>
        <v/>
      </c>
      <c r="T261" s="127" t="n"/>
      <c r="U261" s="112">
        <f>IF(V261&lt;&gt;"",V261,IF(IFERROR(INDEX(RS_Flag,MATCH(B261,RS_Lane,0)),"")="Yes",IF(IFERROR(INDEX(RS_Loc,MATCH(B261,RS_Lane,0)),"")="","Regional stock",IFERROR(INDEX(RS_Loc,MATCH(B261,RS_Lane,0)),"")),"Helmond"))</f>
        <v/>
      </c>
      <c r="V261" s="141" t="n"/>
      <c r="W261" s="142" t="n"/>
      <c r="X261" s="143" t="n"/>
      <c r="Y261" s="116">
        <f>IF(X261&lt;&gt;"",X261,IF(U261="Helmond",IF(COUNTIFS(RC_Lane,B261,RC_Band,E261,RC_CostPS,"&gt;0")=0,"",SUMIFS(RC_CostPS,RC_Lane,B261,RC_Band,E261)*(1-SUMIFS(RC_Disc,RC_Lane,B261,RC_Band,E261))),IF(U261="Other","",IF(INDEX(RS_Rate,MATCH(B261,RS_Lane,0))="","",INDEX(RS_Rate,MATCH(B261,RS_Lane,0))))))</f>
        <v/>
      </c>
    </row>
    <row r="262">
      <c r="A262" s="95" t="inlineStr">
        <is>
          <t>B-258</t>
        </is>
      </c>
      <c r="B262" s="112" t="inlineStr">
        <is>
          <t>L02</t>
        </is>
      </c>
      <c r="C262" s="101" t="inlineStr">
        <is>
          <t>United Arab Emirates</t>
        </is>
      </c>
      <c r="D262" s="101" t="inlineStr">
        <is>
          <t>Dubai</t>
        </is>
      </c>
      <c r="E262" s="101" t="inlineStr">
        <is>
          <t>B1  0 to 30 kg</t>
        </is>
      </c>
      <c r="F262" s="123" t="n">
        <v>8.5</v>
      </c>
      <c r="G262" s="86">
        <f>F262*0.006477</f>
        <v/>
      </c>
      <c r="H262" s="123">
        <f>F262*1.079436</f>
        <v/>
      </c>
      <c r="I262" s="122">
        <f>MAX(1,ROUNDUP(G262/0.096,0))</f>
        <v/>
      </c>
      <c r="J262" s="84" t="n">
        <v>46681</v>
      </c>
      <c r="K262" s="87">
        <f>J262-WEEKDAY(J262,2)+1</f>
        <v/>
      </c>
      <c r="L262" s="84">
        <f>J262</f>
        <v/>
      </c>
      <c r="M262" s="52">
        <f>INDEX(LR_Target,MATCH(B262,LR_Lane,0))</f>
        <v/>
      </c>
      <c r="N262" s="84">
        <f>WORKDAY.INTL(L262,M262,INDEX(LR_Code,MATCH(B262,LR_Lane,0)),INDEX(DH_Table,0,MATCH(B262&amp;"*",DH_Head,0)))</f>
        <v/>
      </c>
      <c r="O262" s="65">
        <f>IF(W262&lt;&gt;"",W262,IF(U262="Helmond",IF(COUNTIFS(RC_Lane,B262,RC_Band,E262,RC_Transit,"&lt;&gt;")=0,"",SUMIFS(RC_Transit,RC_Lane,B262,RC_Band,E262)),IF(U262="Other","",IF(INDEX(RS_Transit,MATCH(B262,RS_Lane,0))="","",INDEX(RS_Transit,MATCH(B262,RS_Lane,0))))))</f>
        <v/>
      </c>
      <c r="P262" s="140" t="n"/>
      <c r="Q262" s="84">
        <f>IF(P262&lt;&gt;"",P262,IF(O262="","",WORKDAY.INTL(L262,ROUNDUP(O262,0),INDEX(LR_Code,MATCH(B262,LR_Lane,0)),INDEX(DH_Table,0,MATCH(B262&amp;"*",DH_Head,0)))))</f>
        <v/>
      </c>
      <c r="R262" s="100">
        <f>IF(Q262="","",IF(Q262&lt;=N262,"Yes","No"))</f>
        <v/>
      </c>
      <c r="S262" s="52">
        <f>IF(Q262="","",IF(Q262&lt;=N262,0,NETWORKDAYS.INTL(N262,Q262,INDEX(LR_Code,MATCH(B262,LR_Lane,0)),INDEX(DH_Table,0,MATCH(B262&amp;"*",DH_Head,0)))-1))</f>
        <v/>
      </c>
      <c r="T262" s="127" t="n"/>
      <c r="U262" s="112">
        <f>IF(V262&lt;&gt;"",V262,IF(IFERROR(INDEX(RS_Flag,MATCH(B262,RS_Lane,0)),"")="Yes",IF(IFERROR(INDEX(RS_Loc,MATCH(B262,RS_Lane,0)),"")="","Regional stock",IFERROR(INDEX(RS_Loc,MATCH(B262,RS_Lane,0)),"")),"Helmond"))</f>
        <v/>
      </c>
      <c r="V262" s="141" t="n"/>
      <c r="W262" s="142" t="n"/>
      <c r="X262" s="143" t="n"/>
      <c r="Y262" s="116">
        <f>IF(X262&lt;&gt;"",X262,IF(U262="Helmond",IF(COUNTIFS(RC_Lane,B262,RC_Band,E262,RC_CostPS,"&gt;0")=0,"",SUMIFS(RC_CostPS,RC_Lane,B262,RC_Band,E262)*(1-SUMIFS(RC_Disc,RC_Lane,B262,RC_Band,E262))),IF(U262="Other","",IF(INDEX(RS_Rate,MATCH(B262,RS_Lane,0))="","",INDEX(RS_Rate,MATCH(B262,RS_Lane,0))))))</f>
        <v/>
      </c>
    </row>
    <row r="263">
      <c r="A263" s="95" t="inlineStr">
        <is>
          <t>B-259</t>
        </is>
      </c>
      <c r="B263" s="112" t="inlineStr">
        <is>
          <t>L02</t>
        </is>
      </c>
      <c r="C263" s="101" t="inlineStr">
        <is>
          <t>United Arab Emirates</t>
        </is>
      </c>
      <c r="D263" s="101" t="inlineStr">
        <is>
          <t>Dubai</t>
        </is>
      </c>
      <c r="E263" s="101" t="inlineStr">
        <is>
          <t>B1  0 to 30 kg</t>
        </is>
      </c>
      <c r="F263" s="123" t="n">
        <v>7</v>
      </c>
      <c r="G263" s="86">
        <f>F263*0.006477</f>
        <v/>
      </c>
      <c r="H263" s="123">
        <f>F263*1.079436</f>
        <v/>
      </c>
      <c r="I263" s="122">
        <f>MAX(1,ROUNDUP(G263/0.096,0))</f>
        <v/>
      </c>
      <c r="J263" s="84" t="n">
        <v>46681</v>
      </c>
      <c r="K263" s="87">
        <f>J263-WEEKDAY(J263,2)+1</f>
        <v/>
      </c>
      <c r="L263" s="84">
        <f>J263</f>
        <v/>
      </c>
      <c r="M263" s="52">
        <f>INDEX(LR_Target,MATCH(B263,LR_Lane,0))</f>
        <v/>
      </c>
      <c r="N263" s="84">
        <f>WORKDAY.INTL(L263,M263,INDEX(LR_Code,MATCH(B263,LR_Lane,0)),INDEX(DH_Table,0,MATCH(B263&amp;"*",DH_Head,0)))</f>
        <v/>
      </c>
      <c r="O263" s="65">
        <f>IF(W263&lt;&gt;"",W263,IF(U263="Helmond",IF(COUNTIFS(RC_Lane,B263,RC_Band,E263,RC_Transit,"&lt;&gt;")=0,"",SUMIFS(RC_Transit,RC_Lane,B263,RC_Band,E263)),IF(U263="Other","",IF(INDEX(RS_Transit,MATCH(B263,RS_Lane,0))="","",INDEX(RS_Transit,MATCH(B263,RS_Lane,0))))))</f>
        <v/>
      </c>
      <c r="P263" s="140" t="n"/>
      <c r="Q263" s="84">
        <f>IF(P263&lt;&gt;"",P263,IF(O263="","",WORKDAY.INTL(L263,ROUNDUP(O263,0),INDEX(LR_Code,MATCH(B263,LR_Lane,0)),INDEX(DH_Table,0,MATCH(B263&amp;"*",DH_Head,0)))))</f>
        <v/>
      </c>
      <c r="R263" s="100">
        <f>IF(Q263="","",IF(Q263&lt;=N263,"Yes","No"))</f>
        <v/>
      </c>
      <c r="S263" s="52">
        <f>IF(Q263="","",IF(Q263&lt;=N263,0,NETWORKDAYS.INTL(N263,Q263,INDEX(LR_Code,MATCH(B263,LR_Lane,0)),INDEX(DH_Table,0,MATCH(B263&amp;"*",DH_Head,0)))-1))</f>
        <v/>
      </c>
      <c r="T263" s="127" t="n"/>
      <c r="U263" s="112">
        <f>IF(V263&lt;&gt;"",V263,IF(IFERROR(INDEX(RS_Flag,MATCH(B263,RS_Lane,0)),"")="Yes",IF(IFERROR(INDEX(RS_Loc,MATCH(B263,RS_Lane,0)),"")="","Regional stock",IFERROR(INDEX(RS_Loc,MATCH(B263,RS_Lane,0)),"")),"Helmond"))</f>
        <v/>
      </c>
      <c r="V263" s="141" t="n"/>
      <c r="W263" s="142" t="n"/>
      <c r="X263" s="143" t="n"/>
      <c r="Y263" s="116">
        <f>IF(X263&lt;&gt;"",X263,IF(U263="Helmond",IF(COUNTIFS(RC_Lane,B263,RC_Band,E263,RC_CostPS,"&gt;0")=0,"",SUMIFS(RC_CostPS,RC_Lane,B263,RC_Band,E263)*(1-SUMIFS(RC_Disc,RC_Lane,B263,RC_Band,E263))),IF(U263="Other","",IF(INDEX(RS_Rate,MATCH(B263,RS_Lane,0))="","",INDEX(RS_Rate,MATCH(B263,RS_Lane,0))))))</f>
        <v/>
      </c>
    </row>
    <row r="264">
      <c r="A264" s="95" t="inlineStr">
        <is>
          <t>B-260</t>
        </is>
      </c>
      <c r="B264" s="112" t="inlineStr">
        <is>
          <t>L03</t>
        </is>
      </c>
      <c r="C264" s="101" t="inlineStr">
        <is>
          <t>Kuwait</t>
        </is>
      </c>
      <c r="D264" s="101" t="inlineStr">
        <is>
          <t>Kuwait City</t>
        </is>
      </c>
      <c r="E264" s="101" t="inlineStr">
        <is>
          <t>B3  100 to 500 kg</t>
        </is>
      </c>
      <c r="F264" s="123" t="n">
        <v>250.6</v>
      </c>
      <c r="G264" s="86">
        <f>F264*0.006477</f>
        <v/>
      </c>
      <c r="H264" s="123">
        <f>F264*1.079436</f>
        <v/>
      </c>
      <c r="I264" s="122">
        <f>MAX(1,ROUNDUP(G264/0.096,0))</f>
        <v/>
      </c>
      <c r="J264" s="84" t="n">
        <v>46682</v>
      </c>
      <c r="K264" s="87">
        <f>J264-WEEKDAY(J264,2)+1</f>
        <v/>
      </c>
      <c r="L264" s="84">
        <f>J264</f>
        <v/>
      </c>
      <c r="M264" s="52">
        <f>INDEX(LR_Target,MATCH(B264,LR_Lane,0))</f>
        <v/>
      </c>
      <c r="N264" s="84">
        <f>WORKDAY.INTL(L264,M264,INDEX(LR_Code,MATCH(B264,LR_Lane,0)),INDEX(DH_Table,0,MATCH(B264&amp;"*",DH_Head,0)))</f>
        <v/>
      </c>
      <c r="O264" s="65">
        <f>IF(W264&lt;&gt;"",W264,IF(U264="Helmond",IF(COUNTIFS(RC_Lane,B264,RC_Band,E264,RC_Transit,"&lt;&gt;")=0,"",SUMIFS(RC_Transit,RC_Lane,B264,RC_Band,E264)),IF(U264="Other","",IF(INDEX(RS_Transit,MATCH(B264,RS_Lane,0))="","",INDEX(RS_Transit,MATCH(B264,RS_Lane,0))))))</f>
        <v/>
      </c>
      <c r="P264" s="140" t="n"/>
      <c r="Q264" s="84">
        <f>IF(P264&lt;&gt;"",P264,IF(O264="","",WORKDAY.INTL(L264,ROUNDUP(O264,0),INDEX(LR_Code,MATCH(B264,LR_Lane,0)),INDEX(DH_Table,0,MATCH(B264&amp;"*",DH_Head,0)))))</f>
        <v/>
      </c>
      <c r="R264" s="100">
        <f>IF(Q264="","",IF(Q264&lt;=N264,"Yes","No"))</f>
        <v/>
      </c>
      <c r="S264" s="52">
        <f>IF(Q264="","",IF(Q264&lt;=N264,0,NETWORKDAYS.INTL(N264,Q264,INDEX(LR_Code,MATCH(B264,LR_Lane,0)),INDEX(DH_Table,0,MATCH(B264&amp;"*",DH_Head,0)))-1))</f>
        <v/>
      </c>
      <c r="T264" s="127" t="n"/>
      <c r="U264" s="112">
        <f>IF(V264&lt;&gt;"",V264,IF(IFERROR(INDEX(RS_Flag,MATCH(B264,RS_Lane,0)),"")="Yes",IF(IFERROR(INDEX(RS_Loc,MATCH(B264,RS_Lane,0)),"")="","Regional stock",IFERROR(INDEX(RS_Loc,MATCH(B264,RS_Lane,0)),"")),"Helmond"))</f>
        <v/>
      </c>
      <c r="V264" s="141" t="n"/>
      <c r="W264" s="142" t="n"/>
      <c r="X264" s="143" t="n"/>
      <c r="Y264" s="116">
        <f>IF(X264&lt;&gt;"",X264,IF(U264="Helmond",IF(COUNTIFS(RC_Lane,B264,RC_Band,E264,RC_CostPS,"&gt;0")=0,"",SUMIFS(RC_CostPS,RC_Lane,B264,RC_Band,E264)*(1-SUMIFS(RC_Disc,RC_Lane,B264,RC_Band,E264))),IF(U264="Other","",IF(INDEX(RS_Rate,MATCH(B264,RS_Lane,0))="","",INDEX(RS_Rate,MATCH(B264,RS_Lane,0))))))</f>
        <v/>
      </c>
    </row>
    <row r="265">
      <c r="A265" s="95" t="inlineStr">
        <is>
          <t>B-261</t>
        </is>
      </c>
      <c r="B265" s="112" t="inlineStr">
        <is>
          <t>L08</t>
        </is>
      </c>
      <c r="C265" s="101" t="inlineStr">
        <is>
          <t>Egypt</t>
        </is>
      </c>
      <c r="D265" s="101" t="inlineStr">
        <is>
          <t>Cairo area</t>
        </is>
      </c>
      <c r="E265" s="101" t="inlineStr">
        <is>
          <t>B2  30 to 100 kg</t>
        </is>
      </c>
      <c r="F265" s="123" t="n">
        <v>54.3</v>
      </c>
      <c r="G265" s="86">
        <f>F265*0.006477</f>
        <v/>
      </c>
      <c r="H265" s="123">
        <f>F265*1.079436</f>
        <v/>
      </c>
      <c r="I265" s="122">
        <f>MAX(1,ROUNDUP(G265/0.096,0))</f>
        <v/>
      </c>
      <c r="J265" s="84" t="n">
        <v>46682</v>
      </c>
      <c r="K265" s="87">
        <f>J265-WEEKDAY(J265,2)+1</f>
        <v/>
      </c>
      <c r="L265" s="84">
        <f>J265</f>
        <v/>
      </c>
      <c r="M265" s="52">
        <f>INDEX(LR_Target,MATCH(B265,LR_Lane,0))</f>
        <v/>
      </c>
      <c r="N265" s="84">
        <f>WORKDAY.INTL(L265,M265,INDEX(LR_Code,MATCH(B265,LR_Lane,0)),INDEX(DH_Table,0,MATCH(B265&amp;"*",DH_Head,0)))</f>
        <v/>
      </c>
      <c r="O265" s="65">
        <f>IF(W265&lt;&gt;"",W265,IF(U265="Helmond",IF(COUNTIFS(RC_Lane,B265,RC_Band,E265,RC_Transit,"&lt;&gt;")=0,"",SUMIFS(RC_Transit,RC_Lane,B265,RC_Band,E265)),IF(U265="Other","",IF(INDEX(RS_Transit,MATCH(B265,RS_Lane,0))="","",INDEX(RS_Transit,MATCH(B265,RS_Lane,0))))))</f>
        <v/>
      </c>
      <c r="P265" s="140" t="n"/>
      <c r="Q265" s="84">
        <f>IF(P265&lt;&gt;"",P265,IF(O265="","",WORKDAY.INTL(L265,ROUNDUP(O265,0),INDEX(LR_Code,MATCH(B265,LR_Lane,0)),INDEX(DH_Table,0,MATCH(B265&amp;"*",DH_Head,0)))))</f>
        <v/>
      </c>
      <c r="R265" s="100">
        <f>IF(Q265="","",IF(Q265&lt;=N265,"Yes","No"))</f>
        <v/>
      </c>
      <c r="S265" s="52">
        <f>IF(Q265="","",IF(Q265&lt;=N265,0,NETWORKDAYS.INTL(N265,Q265,INDEX(LR_Code,MATCH(B265,LR_Lane,0)),INDEX(DH_Table,0,MATCH(B265&amp;"*",DH_Head,0)))-1))</f>
        <v/>
      </c>
      <c r="T265" s="127" t="n"/>
      <c r="U265" s="112">
        <f>IF(V265&lt;&gt;"",V265,IF(IFERROR(INDEX(RS_Flag,MATCH(B265,RS_Lane,0)),"")="Yes",IF(IFERROR(INDEX(RS_Loc,MATCH(B265,RS_Lane,0)),"")="","Regional stock",IFERROR(INDEX(RS_Loc,MATCH(B265,RS_Lane,0)),"")),"Helmond"))</f>
        <v/>
      </c>
      <c r="V265" s="141" t="n"/>
      <c r="W265" s="142" t="n"/>
      <c r="X265" s="143" t="n"/>
      <c r="Y265" s="116">
        <f>IF(X265&lt;&gt;"",X265,IF(U265="Helmond",IF(COUNTIFS(RC_Lane,B265,RC_Band,E265,RC_CostPS,"&gt;0")=0,"",SUMIFS(RC_CostPS,RC_Lane,B265,RC_Band,E265)*(1-SUMIFS(RC_Disc,RC_Lane,B265,RC_Band,E265))),IF(U265="Other","",IF(INDEX(RS_Rate,MATCH(B265,RS_Lane,0))="","",INDEX(RS_Rate,MATCH(B265,RS_Lane,0))))))</f>
        <v/>
      </c>
    </row>
    <row r="266">
      <c r="A266" s="95" t="inlineStr">
        <is>
          <t>B-262</t>
        </is>
      </c>
      <c r="B266" s="112" t="inlineStr">
        <is>
          <t>L01</t>
        </is>
      </c>
      <c r="C266" s="101" t="inlineStr">
        <is>
          <t>Saudi Arabia</t>
        </is>
      </c>
      <c r="D266" s="101" t="inlineStr">
        <is>
          <t>Riyadh</t>
        </is>
      </c>
      <c r="E266" s="101" t="inlineStr">
        <is>
          <t>B1  0 to 30 kg</t>
        </is>
      </c>
      <c r="F266" s="123" t="n">
        <v>13.2</v>
      </c>
      <c r="G266" s="86">
        <f>F266*0.006477</f>
        <v/>
      </c>
      <c r="H266" s="123">
        <f>F266*1.079436</f>
        <v/>
      </c>
      <c r="I266" s="122">
        <f>MAX(1,ROUNDUP(G266/0.096,0))</f>
        <v/>
      </c>
      <c r="J266" s="84" t="n">
        <v>46685</v>
      </c>
      <c r="K266" s="87">
        <f>J266-WEEKDAY(J266,2)+1</f>
        <v/>
      </c>
      <c r="L266" s="84">
        <f>J266</f>
        <v/>
      </c>
      <c r="M266" s="52">
        <f>INDEX(LR_Target,MATCH(B266,LR_Lane,0))</f>
        <v/>
      </c>
      <c r="N266" s="84">
        <f>WORKDAY.INTL(L266,M266,INDEX(LR_Code,MATCH(B266,LR_Lane,0)),INDEX(DH_Table,0,MATCH(B266&amp;"*",DH_Head,0)))</f>
        <v/>
      </c>
      <c r="O266" s="65">
        <f>IF(W266&lt;&gt;"",W266,IF(U266="Helmond",IF(COUNTIFS(RC_Lane,B266,RC_Band,E266,RC_Transit,"&lt;&gt;")=0,"",SUMIFS(RC_Transit,RC_Lane,B266,RC_Band,E266)),IF(U266="Other","",IF(INDEX(RS_Transit,MATCH(B266,RS_Lane,0))="","",INDEX(RS_Transit,MATCH(B266,RS_Lane,0))))))</f>
        <v/>
      </c>
      <c r="P266" s="140" t="n"/>
      <c r="Q266" s="84">
        <f>IF(P266&lt;&gt;"",P266,IF(O266="","",WORKDAY.INTL(L266,ROUNDUP(O266,0),INDEX(LR_Code,MATCH(B266,LR_Lane,0)),INDEX(DH_Table,0,MATCH(B266&amp;"*",DH_Head,0)))))</f>
        <v/>
      </c>
      <c r="R266" s="100">
        <f>IF(Q266="","",IF(Q266&lt;=N266,"Yes","No"))</f>
        <v/>
      </c>
      <c r="S266" s="52">
        <f>IF(Q266="","",IF(Q266&lt;=N266,0,NETWORKDAYS.INTL(N266,Q266,INDEX(LR_Code,MATCH(B266,LR_Lane,0)),INDEX(DH_Table,0,MATCH(B266&amp;"*",DH_Head,0)))-1))</f>
        <v/>
      </c>
      <c r="T266" s="127" t="n"/>
      <c r="U266" s="112">
        <f>IF(V266&lt;&gt;"",V266,IF(IFERROR(INDEX(RS_Flag,MATCH(B266,RS_Lane,0)),"")="Yes",IF(IFERROR(INDEX(RS_Loc,MATCH(B266,RS_Lane,0)),"")="","Regional stock",IFERROR(INDEX(RS_Loc,MATCH(B266,RS_Lane,0)),"")),"Helmond"))</f>
        <v/>
      </c>
      <c r="V266" s="141" t="n"/>
      <c r="W266" s="142" t="n"/>
      <c r="X266" s="143" t="n"/>
      <c r="Y266" s="116">
        <f>IF(X266&lt;&gt;"",X266,IF(U266="Helmond",IF(COUNTIFS(RC_Lane,B266,RC_Band,E266,RC_CostPS,"&gt;0")=0,"",SUMIFS(RC_CostPS,RC_Lane,B266,RC_Band,E266)*(1-SUMIFS(RC_Disc,RC_Lane,B266,RC_Band,E266))),IF(U266="Other","",IF(INDEX(RS_Rate,MATCH(B266,RS_Lane,0))="","",INDEX(RS_Rate,MATCH(B266,RS_Lane,0))))))</f>
        <v/>
      </c>
    </row>
    <row r="267">
      <c r="A267" s="95" t="inlineStr">
        <is>
          <t>B-263</t>
        </is>
      </c>
      <c r="B267" s="112" t="inlineStr">
        <is>
          <t>L02</t>
        </is>
      </c>
      <c r="C267" s="101" t="inlineStr">
        <is>
          <t>United Arab Emirates</t>
        </is>
      </c>
      <c r="D267" s="101" t="inlineStr">
        <is>
          <t>Dubai</t>
        </is>
      </c>
      <c r="E267" s="101" t="inlineStr">
        <is>
          <t>B1  0 to 30 kg</t>
        </is>
      </c>
      <c r="F267" s="123" t="n">
        <v>11.9</v>
      </c>
      <c r="G267" s="86">
        <f>F267*0.006477</f>
        <v/>
      </c>
      <c r="H267" s="123">
        <f>F267*1.079436</f>
        <v/>
      </c>
      <c r="I267" s="122">
        <f>MAX(1,ROUNDUP(G267/0.096,0))</f>
        <v/>
      </c>
      <c r="J267" s="84" t="n">
        <v>46685</v>
      </c>
      <c r="K267" s="87">
        <f>J267-WEEKDAY(J267,2)+1</f>
        <v/>
      </c>
      <c r="L267" s="84">
        <f>J267</f>
        <v/>
      </c>
      <c r="M267" s="52">
        <f>INDEX(LR_Target,MATCH(B267,LR_Lane,0))</f>
        <v/>
      </c>
      <c r="N267" s="84">
        <f>WORKDAY.INTL(L267,M267,INDEX(LR_Code,MATCH(B267,LR_Lane,0)),INDEX(DH_Table,0,MATCH(B267&amp;"*",DH_Head,0)))</f>
        <v/>
      </c>
      <c r="O267" s="65">
        <f>IF(W267&lt;&gt;"",W267,IF(U267="Helmond",IF(COUNTIFS(RC_Lane,B267,RC_Band,E267,RC_Transit,"&lt;&gt;")=0,"",SUMIFS(RC_Transit,RC_Lane,B267,RC_Band,E267)),IF(U267="Other","",IF(INDEX(RS_Transit,MATCH(B267,RS_Lane,0))="","",INDEX(RS_Transit,MATCH(B267,RS_Lane,0))))))</f>
        <v/>
      </c>
      <c r="P267" s="140" t="n"/>
      <c r="Q267" s="84">
        <f>IF(P267&lt;&gt;"",P267,IF(O267="","",WORKDAY.INTL(L267,ROUNDUP(O267,0),INDEX(LR_Code,MATCH(B267,LR_Lane,0)),INDEX(DH_Table,0,MATCH(B267&amp;"*",DH_Head,0)))))</f>
        <v/>
      </c>
      <c r="R267" s="100">
        <f>IF(Q267="","",IF(Q267&lt;=N267,"Yes","No"))</f>
        <v/>
      </c>
      <c r="S267" s="52">
        <f>IF(Q267="","",IF(Q267&lt;=N267,0,NETWORKDAYS.INTL(N267,Q267,INDEX(LR_Code,MATCH(B267,LR_Lane,0)),INDEX(DH_Table,0,MATCH(B267&amp;"*",DH_Head,0)))-1))</f>
        <v/>
      </c>
      <c r="T267" s="127" t="n"/>
      <c r="U267" s="112">
        <f>IF(V267&lt;&gt;"",V267,IF(IFERROR(INDEX(RS_Flag,MATCH(B267,RS_Lane,0)),"")="Yes",IF(IFERROR(INDEX(RS_Loc,MATCH(B267,RS_Lane,0)),"")="","Regional stock",IFERROR(INDEX(RS_Loc,MATCH(B267,RS_Lane,0)),"")),"Helmond"))</f>
        <v/>
      </c>
      <c r="V267" s="141" t="n"/>
      <c r="W267" s="142" t="n"/>
      <c r="X267" s="143" t="n"/>
      <c r="Y267" s="116">
        <f>IF(X267&lt;&gt;"",X267,IF(U267="Helmond",IF(COUNTIFS(RC_Lane,B267,RC_Band,E267,RC_CostPS,"&gt;0")=0,"",SUMIFS(RC_CostPS,RC_Lane,B267,RC_Band,E267)*(1-SUMIFS(RC_Disc,RC_Lane,B267,RC_Band,E267))),IF(U267="Other","",IF(INDEX(RS_Rate,MATCH(B267,RS_Lane,0))="","",INDEX(RS_Rate,MATCH(B267,RS_Lane,0))))))</f>
        <v/>
      </c>
    </row>
    <row r="268">
      <c r="A268" s="95" t="inlineStr">
        <is>
          <t>B-264</t>
        </is>
      </c>
      <c r="B268" s="112" t="inlineStr">
        <is>
          <t>L02</t>
        </is>
      </c>
      <c r="C268" s="101" t="inlineStr">
        <is>
          <t>United Arab Emirates</t>
        </is>
      </c>
      <c r="D268" s="101" t="inlineStr">
        <is>
          <t>Dubai</t>
        </is>
      </c>
      <c r="E268" s="101" t="inlineStr">
        <is>
          <t>B3  100 to 500 kg</t>
        </is>
      </c>
      <c r="F268" s="123" t="n">
        <v>270.8</v>
      </c>
      <c r="G268" s="86">
        <f>F268*0.006477</f>
        <v/>
      </c>
      <c r="H268" s="123">
        <f>F268*1.079436</f>
        <v/>
      </c>
      <c r="I268" s="122">
        <f>MAX(1,ROUNDUP(G268/0.096,0))</f>
        <v/>
      </c>
      <c r="J268" s="84" t="n">
        <v>46685</v>
      </c>
      <c r="K268" s="87">
        <f>J268-WEEKDAY(J268,2)+1</f>
        <v/>
      </c>
      <c r="L268" s="84">
        <f>J268</f>
        <v/>
      </c>
      <c r="M268" s="52">
        <f>INDEX(LR_Target,MATCH(B268,LR_Lane,0))</f>
        <v/>
      </c>
      <c r="N268" s="84">
        <f>WORKDAY.INTL(L268,M268,INDEX(LR_Code,MATCH(B268,LR_Lane,0)),INDEX(DH_Table,0,MATCH(B268&amp;"*",DH_Head,0)))</f>
        <v/>
      </c>
      <c r="O268" s="65">
        <f>IF(W268&lt;&gt;"",W268,IF(U268="Helmond",IF(COUNTIFS(RC_Lane,B268,RC_Band,E268,RC_Transit,"&lt;&gt;")=0,"",SUMIFS(RC_Transit,RC_Lane,B268,RC_Band,E268)),IF(U268="Other","",IF(INDEX(RS_Transit,MATCH(B268,RS_Lane,0))="","",INDEX(RS_Transit,MATCH(B268,RS_Lane,0))))))</f>
        <v/>
      </c>
      <c r="P268" s="140" t="n"/>
      <c r="Q268" s="84">
        <f>IF(P268&lt;&gt;"",P268,IF(O268="","",WORKDAY.INTL(L268,ROUNDUP(O268,0),INDEX(LR_Code,MATCH(B268,LR_Lane,0)),INDEX(DH_Table,0,MATCH(B268&amp;"*",DH_Head,0)))))</f>
        <v/>
      </c>
      <c r="R268" s="100">
        <f>IF(Q268="","",IF(Q268&lt;=N268,"Yes","No"))</f>
        <v/>
      </c>
      <c r="S268" s="52">
        <f>IF(Q268="","",IF(Q268&lt;=N268,0,NETWORKDAYS.INTL(N268,Q268,INDEX(LR_Code,MATCH(B268,LR_Lane,0)),INDEX(DH_Table,0,MATCH(B268&amp;"*",DH_Head,0)))-1))</f>
        <v/>
      </c>
      <c r="T268" s="127" t="n"/>
      <c r="U268" s="112">
        <f>IF(V268&lt;&gt;"",V268,IF(IFERROR(INDEX(RS_Flag,MATCH(B268,RS_Lane,0)),"")="Yes",IF(IFERROR(INDEX(RS_Loc,MATCH(B268,RS_Lane,0)),"")="","Regional stock",IFERROR(INDEX(RS_Loc,MATCH(B268,RS_Lane,0)),"")),"Helmond"))</f>
        <v/>
      </c>
      <c r="V268" s="141" t="n"/>
      <c r="W268" s="142" t="n"/>
      <c r="X268" s="143" t="n"/>
      <c r="Y268" s="116">
        <f>IF(X268&lt;&gt;"",X268,IF(U268="Helmond",IF(COUNTIFS(RC_Lane,B268,RC_Band,E268,RC_CostPS,"&gt;0")=0,"",SUMIFS(RC_CostPS,RC_Lane,B268,RC_Band,E268)*(1-SUMIFS(RC_Disc,RC_Lane,B268,RC_Band,E268))),IF(U268="Other","",IF(INDEX(RS_Rate,MATCH(B268,RS_Lane,0))="","",INDEX(RS_Rate,MATCH(B268,RS_Lane,0))))))</f>
        <v/>
      </c>
    </row>
    <row r="269">
      <c r="A269" s="95" t="inlineStr">
        <is>
          <t>B-265</t>
        </is>
      </c>
      <c r="B269" s="112" t="inlineStr">
        <is>
          <t>L02</t>
        </is>
      </c>
      <c r="C269" s="101" t="inlineStr">
        <is>
          <t>United Arab Emirates</t>
        </is>
      </c>
      <c r="D269" s="101" t="inlineStr">
        <is>
          <t>Dubai</t>
        </is>
      </c>
      <c r="E269" s="101" t="inlineStr">
        <is>
          <t>B1  0 to 30 kg</t>
        </is>
      </c>
      <c r="F269" s="123" t="n">
        <v>10.7</v>
      </c>
      <c r="G269" s="86">
        <f>F269*0.006477</f>
        <v/>
      </c>
      <c r="H269" s="123">
        <f>F269*1.079436</f>
        <v/>
      </c>
      <c r="I269" s="122">
        <f>MAX(1,ROUNDUP(G269/0.096,0))</f>
        <v/>
      </c>
      <c r="J269" s="84" t="n">
        <v>46685</v>
      </c>
      <c r="K269" s="87">
        <f>J269-WEEKDAY(J269,2)+1</f>
        <v/>
      </c>
      <c r="L269" s="84">
        <f>J269</f>
        <v/>
      </c>
      <c r="M269" s="52">
        <f>INDEX(LR_Target,MATCH(B269,LR_Lane,0))</f>
        <v/>
      </c>
      <c r="N269" s="84">
        <f>WORKDAY.INTL(L269,M269,INDEX(LR_Code,MATCH(B269,LR_Lane,0)),INDEX(DH_Table,0,MATCH(B269&amp;"*",DH_Head,0)))</f>
        <v/>
      </c>
      <c r="O269" s="65">
        <f>IF(W269&lt;&gt;"",W269,IF(U269="Helmond",IF(COUNTIFS(RC_Lane,B269,RC_Band,E269,RC_Transit,"&lt;&gt;")=0,"",SUMIFS(RC_Transit,RC_Lane,B269,RC_Band,E269)),IF(U269="Other","",IF(INDEX(RS_Transit,MATCH(B269,RS_Lane,0))="","",INDEX(RS_Transit,MATCH(B269,RS_Lane,0))))))</f>
        <v/>
      </c>
      <c r="P269" s="140" t="n"/>
      <c r="Q269" s="84">
        <f>IF(P269&lt;&gt;"",P269,IF(O269="","",WORKDAY.INTL(L269,ROUNDUP(O269,0),INDEX(LR_Code,MATCH(B269,LR_Lane,0)),INDEX(DH_Table,0,MATCH(B269&amp;"*",DH_Head,0)))))</f>
        <v/>
      </c>
      <c r="R269" s="100">
        <f>IF(Q269="","",IF(Q269&lt;=N269,"Yes","No"))</f>
        <v/>
      </c>
      <c r="S269" s="52">
        <f>IF(Q269="","",IF(Q269&lt;=N269,0,NETWORKDAYS.INTL(N269,Q269,INDEX(LR_Code,MATCH(B269,LR_Lane,0)),INDEX(DH_Table,0,MATCH(B269&amp;"*",DH_Head,0)))-1))</f>
        <v/>
      </c>
      <c r="T269" s="127" t="n"/>
      <c r="U269" s="112">
        <f>IF(V269&lt;&gt;"",V269,IF(IFERROR(INDEX(RS_Flag,MATCH(B269,RS_Lane,0)),"")="Yes",IF(IFERROR(INDEX(RS_Loc,MATCH(B269,RS_Lane,0)),"")="","Regional stock",IFERROR(INDEX(RS_Loc,MATCH(B269,RS_Lane,0)),"")),"Helmond"))</f>
        <v/>
      </c>
      <c r="V269" s="141" t="n"/>
      <c r="W269" s="142" t="n"/>
      <c r="X269" s="143" t="n"/>
      <c r="Y269" s="116">
        <f>IF(X269&lt;&gt;"",X269,IF(U269="Helmond",IF(COUNTIFS(RC_Lane,B269,RC_Band,E269,RC_CostPS,"&gt;0")=0,"",SUMIFS(RC_CostPS,RC_Lane,B269,RC_Band,E269)*(1-SUMIFS(RC_Disc,RC_Lane,B269,RC_Band,E269))),IF(U269="Other","",IF(INDEX(RS_Rate,MATCH(B269,RS_Lane,0))="","",INDEX(RS_Rate,MATCH(B269,RS_Lane,0))))))</f>
        <v/>
      </c>
    </row>
    <row r="270">
      <c r="A270" s="95" t="inlineStr">
        <is>
          <t>B-266</t>
        </is>
      </c>
      <c r="B270" s="112" t="inlineStr">
        <is>
          <t>L05</t>
        </is>
      </c>
      <c r="C270" s="101" t="inlineStr">
        <is>
          <t>Türkiye</t>
        </is>
      </c>
      <c r="D270" s="101" t="inlineStr">
        <is>
          <t>Istanbul</t>
        </is>
      </c>
      <c r="E270" s="101" t="inlineStr">
        <is>
          <t>B2  30 to 100 kg</t>
        </is>
      </c>
      <c r="F270" s="123" t="n">
        <v>58.3</v>
      </c>
      <c r="G270" s="86">
        <f>F270*0.006477</f>
        <v/>
      </c>
      <c r="H270" s="123">
        <f>F270*1.079436</f>
        <v/>
      </c>
      <c r="I270" s="122">
        <f>MAX(1,ROUNDUP(G270/0.096,0))</f>
        <v/>
      </c>
      <c r="J270" s="84" t="n">
        <v>46685</v>
      </c>
      <c r="K270" s="87">
        <f>J270-WEEKDAY(J270,2)+1</f>
        <v/>
      </c>
      <c r="L270" s="84">
        <f>J270</f>
        <v/>
      </c>
      <c r="M270" s="52">
        <f>INDEX(LR_Target,MATCH(B270,LR_Lane,0))</f>
        <v/>
      </c>
      <c r="N270" s="84">
        <f>WORKDAY.INTL(L270,M270,INDEX(LR_Code,MATCH(B270,LR_Lane,0)),INDEX(DH_Table,0,MATCH(B270&amp;"*",DH_Head,0)))</f>
        <v/>
      </c>
      <c r="O270" s="65">
        <f>IF(W270&lt;&gt;"",W270,IF(U270="Helmond",IF(COUNTIFS(RC_Lane,B270,RC_Band,E270,RC_Transit,"&lt;&gt;")=0,"",SUMIFS(RC_Transit,RC_Lane,B270,RC_Band,E270)),IF(U270="Other","",IF(INDEX(RS_Transit,MATCH(B270,RS_Lane,0))="","",INDEX(RS_Transit,MATCH(B270,RS_Lane,0))))))</f>
        <v/>
      </c>
      <c r="P270" s="140" t="n"/>
      <c r="Q270" s="84">
        <f>IF(P270&lt;&gt;"",P270,IF(O270="","",WORKDAY.INTL(L270,ROUNDUP(O270,0),INDEX(LR_Code,MATCH(B270,LR_Lane,0)),INDEX(DH_Table,0,MATCH(B270&amp;"*",DH_Head,0)))))</f>
        <v/>
      </c>
      <c r="R270" s="100">
        <f>IF(Q270="","",IF(Q270&lt;=N270,"Yes","No"))</f>
        <v/>
      </c>
      <c r="S270" s="52">
        <f>IF(Q270="","",IF(Q270&lt;=N270,0,NETWORKDAYS.INTL(N270,Q270,INDEX(LR_Code,MATCH(B270,LR_Lane,0)),INDEX(DH_Table,0,MATCH(B270&amp;"*",DH_Head,0)))-1))</f>
        <v/>
      </c>
      <c r="T270" s="127" t="n"/>
      <c r="U270" s="112">
        <f>IF(V270&lt;&gt;"",V270,IF(IFERROR(INDEX(RS_Flag,MATCH(B270,RS_Lane,0)),"")="Yes",IF(IFERROR(INDEX(RS_Loc,MATCH(B270,RS_Lane,0)),"")="","Regional stock",IFERROR(INDEX(RS_Loc,MATCH(B270,RS_Lane,0)),"")),"Helmond"))</f>
        <v/>
      </c>
      <c r="V270" s="141" t="n"/>
      <c r="W270" s="142" t="n"/>
      <c r="X270" s="143" t="n"/>
      <c r="Y270" s="116">
        <f>IF(X270&lt;&gt;"",X270,IF(U270="Helmond",IF(COUNTIFS(RC_Lane,B270,RC_Band,E270,RC_CostPS,"&gt;0")=0,"",SUMIFS(RC_CostPS,RC_Lane,B270,RC_Band,E270)*(1-SUMIFS(RC_Disc,RC_Lane,B270,RC_Band,E270))),IF(U270="Other","",IF(INDEX(RS_Rate,MATCH(B270,RS_Lane,0))="","",INDEX(RS_Rate,MATCH(B270,RS_Lane,0))))))</f>
        <v/>
      </c>
    </row>
    <row r="271">
      <c r="A271" s="95" t="inlineStr">
        <is>
          <t>B-267</t>
        </is>
      </c>
      <c r="B271" s="112" t="inlineStr">
        <is>
          <t>L05</t>
        </is>
      </c>
      <c r="C271" s="101" t="inlineStr">
        <is>
          <t>Türkiye</t>
        </is>
      </c>
      <c r="D271" s="101" t="inlineStr">
        <is>
          <t>Istanbul</t>
        </is>
      </c>
      <c r="E271" s="101" t="inlineStr">
        <is>
          <t>B1  0 to 30 kg</t>
        </is>
      </c>
      <c r="F271" s="123" t="n">
        <v>9</v>
      </c>
      <c r="G271" s="86">
        <f>F271*0.006477</f>
        <v/>
      </c>
      <c r="H271" s="123">
        <f>F271*1.079436</f>
        <v/>
      </c>
      <c r="I271" s="122">
        <f>MAX(1,ROUNDUP(G271/0.096,0))</f>
        <v/>
      </c>
      <c r="J271" s="84" t="n">
        <v>46685</v>
      </c>
      <c r="K271" s="87">
        <f>J271-WEEKDAY(J271,2)+1</f>
        <v/>
      </c>
      <c r="L271" s="84">
        <f>J271</f>
        <v/>
      </c>
      <c r="M271" s="52">
        <f>INDEX(LR_Target,MATCH(B271,LR_Lane,0))</f>
        <v/>
      </c>
      <c r="N271" s="84">
        <f>WORKDAY.INTL(L271,M271,INDEX(LR_Code,MATCH(B271,LR_Lane,0)),INDEX(DH_Table,0,MATCH(B271&amp;"*",DH_Head,0)))</f>
        <v/>
      </c>
      <c r="O271" s="65">
        <f>IF(W271&lt;&gt;"",W271,IF(U271="Helmond",IF(COUNTIFS(RC_Lane,B271,RC_Band,E271,RC_Transit,"&lt;&gt;")=0,"",SUMIFS(RC_Transit,RC_Lane,B271,RC_Band,E271)),IF(U271="Other","",IF(INDEX(RS_Transit,MATCH(B271,RS_Lane,0))="","",INDEX(RS_Transit,MATCH(B271,RS_Lane,0))))))</f>
        <v/>
      </c>
      <c r="P271" s="140" t="n"/>
      <c r="Q271" s="84">
        <f>IF(P271&lt;&gt;"",P271,IF(O271="","",WORKDAY.INTL(L271,ROUNDUP(O271,0),INDEX(LR_Code,MATCH(B271,LR_Lane,0)),INDEX(DH_Table,0,MATCH(B271&amp;"*",DH_Head,0)))))</f>
        <v/>
      </c>
      <c r="R271" s="100">
        <f>IF(Q271="","",IF(Q271&lt;=N271,"Yes","No"))</f>
        <v/>
      </c>
      <c r="S271" s="52">
        <f>IF(Q271="","",IF(Q271&lt;=N271,0,NETWORKDAYS.INTL(N271,Q271,INDEX(LR_Code,MATCH(B271,LR_Lane,0)),INDEX(DH_Table,0,MATCH(B271&amp;"*",DH_Head,0)))-1))</f>
        <v/>
      </c>
      <c r="T271" s="127" t="n"/>
      <c r="U271" s="112">
        <f>IF(V271&lt;&gt;"",V271,IF(IFERROR(INDEX(RS_Flag,MATCH(B271,RS_Lane,0)),"")="Yes",IF(IFERROR(INDEX(RS_Loc,MATCH(B271,RS_Lane,0)),"")="","Regional stock",IFERROR(INDEX(RS_Loc,MATCH(B271,RS_Lane,0)),"")),"Helmond"))</f>
        <v/>
      </c>
      <c r="V271" s="141" t="n"/>
      <c r="W271" s="142" t="n"/>
      <c r="X271" s="143" t="n"/>
      <c r="Y271" s="116">
        <f>IF(X271&lt;&gt;"",X271,IF(U271="Helmond",IF(COUNTIFS(RC_Lane,B271,RC_Band,E271,RC_CostPS,"&gt;0")=0,"",SUMIFS(RC_CostPS,RC_Lane,B271,RC_Band,E271)*(1-SUMIFS(RC_Disc,RC_Lane,B271,RC_Band,E271))),IF(U271="Other","",IF(INDEX(RS_Rate,MATCH(B271,RS_Lane,0))="","",INDEX(RS_Rate,MATCH(B271,RS_Lane,0))))))</f>
        <v/>
      </c>
    </row>
    <row r="272">
      <c r="A272" s="95" t="inlineStr">
        <is>
          <t>B-268</t>
        </is>
      </c>
      <c r="B272" s="112" t="inlineStr">
        <is>
          <t>L02</t>
        </is>
      </c>
      <c r="C272" s="101" t="inlineStr">
        <is>
          <t>United Arab Emirates</t>
        </is>
      </c>
      <c r="D272" s="101" t="inlineStr">
        <is>
          <t>Dubai</t>
        </is>
      </c>
      <c r="E272" s="101" t="inlineStr">
        <is>
          <t>B1  0 to 30 kg</t>
        </is>
      </c>
      <c r="F272" s="123" t="n">
        <v>3.8</v>
      </c>
      <c r="G272" s="86">
        <f>F272*0.006477</f>
        <v/>
      </c>
      <c r="H272" s="123">
        <f>F272*1.079436</f>
        <v/>
      </c>
      <c r="I272" s="122">
        <f>MAX(1,ROUNDUP(G272/0.096,0))</f>
        <v/>
      </c>
      <c r="J272" s="84" t="n">
        <v>46686</v>
      </c>
      <c r="K272" s="87">
        <f>J272-WEEKDAY(J272,2)+1</f>
        <v/>
      </c>
      <c r="L272" s="84">
        <f>J272</f>
        <v/>
      </c>
      <c r="M272" s="52">
        <f>INDEX(LR_Target,MATCH(B272,LR_Lane,0))</f>
        <v/>
      </c>
      <c r="N272" s="84">
        <f>WORKDAY.INTL(L272,M272,INDEX(LR_Code,MATCH(B272,LR_Lane,0)),INDEX(DH_Table,0,MATCH(B272&amp;"*",DH_Head,0)))</f>
        <v/>
      </c>
      <c r="O272" s="65">
        <f>IF(W272&lt;&gt;"",W272,IF(U272="Helmond",IF(COUNTIFS(RC_Lane,B272,RC_Band,E272,RC_Transit,"&lt;&gt;")=0,"",SUMIFS(RC_Transit,RC_Lane,B272,RC_Band,E272)),IF(U272="Other","",IF(INDEX(RS_Transit,MATCH(B272,RS_Lane,0))="","",INDEX(RS_Transit,MATCH(B272,RS_Lane,0))))))</f>
        <v/>
      </c>
      <c r="P272" s="140" t="n"/>
      <c r="Q272" s="84">
        <f>IF(P272&lt;&gt;"",P272,IF(O272="","",WORKDAY.INTL(L272,ROUNDUP(O272,0),INDEX(LR_Code,MATCH(B272,LR_Lane,0)),INDEX(DH_Table,0,MATCH(B272&amp;"*",DH_Head,0)))))</f>
        <v/>
      </c>
      <c r="R272" s="100">
        <f>IF(Q272="","",IF(Q272&lt;=N272,"Yes","No"))</f>
        <v/>
      </c>
      <c r="S272" s="52">
        <f>IF(Q272="","",IF(Q272&lt;=N272,0,NETWORKDAYS.INTL(N272,Q272,INDEX(LR_Code,MATCH(B272,LR_Lane,0)),INDEX(DH_Table,0,MATCH(B272&amp;"*",DH_Head,0)))-1))</f>
        <v/>
      </c>
      <c r="T272" s="127" t="n"/>
      <c r="U272" s="112">
        <f>IF(V272&lt;&gt;"",V272,IF(IFERROR(INDEX(RS_Flag,MATCH(B272,RS_Lane,0)),"")="Yes",IF(IFERROR(INDEX(RS_Loc,MATCH(B272,RS_Lane,0)),"")="","Regional stock",IFERROR(INDEX(RS_Loc,MATCH(B272,RS_Lane,0)),"")),"Helmond"))</f>
        <v/>
      </c>
      <c r="V272" s="141" t="n"/>
      <c r="W272" s="142" t="n"/>
      <c r="X272" s="143" t="n"/>
      <c r="Y272" s="116">
        <f>IF(X272&lt;&gt;"",X272,IF(U272="Helmond",IF(COUNTIFS(RC_Lane,B272,RC_Band,E272,RC_CostPS,"&gt;0")=0,"",SUMIFS(RC_CostPS,RC_Lane,B272,RC_Band,E272)*(1-SUMIFS(RC_Disc,RC_Lane,B272,RC_Band,E272))),IF(U272="Other","",IF(INDEX(RS_Rate,MATCH(B272,RS_Lane,0))="","",INDEX(RS_Rate,MATCH(B272,RS_Lane,0))))))</f>
        <v/>
      </c>
    </row>
    <row r="273">
      <c r="A273" s="95" t="inlineStr">
        <is>
          <t>B-269</t>
        </is>
      </c>
      <c r="B273" s="112" t="inlineStr">
        <is>
          <t>L02</t>
        </is>
      </c>
      <c r="C273" s="101" t="inlineStr">
        <is>
          <t>United Arab Emirates</t>
        </is>
      </c>
      <c r="D273" s="101" t="inlineStr">
        <is>
          <t>Dubai</t>
        </is>
      </c>
      <c r="E273" s="101" t="inlineStr">
        <is>
          <t>B1  0 to 30 kg</t>
        </is>
      </c>
      <c r="F273" s="123" t="n">
        <v>4.5</v>
      </c>
      <c r="G273" s="86">
        <f>F273*0.006477</f>
        <v/>
      </c>
      <c r="H273" s="123">
        <f>F273*1.079436</f>
        <v/>
      </c>
      <c r="I273" s="122">
        <f>MAX(1,ROUNDUP(G273/0.096,0))</f>
        <v/>
      </c>
      <c r="J273" s="84" t="n">
        <v>46687</v>
      </c>
      <c r="K273" s="87">
        <f>J273-WEEKDAY(J273,2)+1</f>
        <v/>
      </c>
      <c r="L273" s="84">
        <f>J273</f>
        <v/>
      </c>
      <c r="M273" s="52">
        <f>INDEX(LR_Target,MATCH(B273,LR_Lane,0))</f>
        <v/>
      </c>
      <c r="N273" s="84">
        <f>WORKDAY.INTL(L273,M273,INDEX(LR_Code,MATCH(B273,LR_Lane,0)),INDEX(DH_Table,0,MATCH(B273&amp;"*",DH_Head,0)))</f>
        <v/>
      </c>
      <c r="O273" s="65">
        <f>IF(W273&lt;&gt;"",W273,IF(U273="Helmond",IF(COUNTIFS(RC_Lane,B273,RC_Band,E273,RC_Transit,"&lt;&gt;")=0,"",SUMIFS(RC_Transit,RC_Lane,B273,RC_Band,E273)),IF(U273="Other","",IF(INDEX(RS_Transit,MATCH(B273,RS_Lane,0))="","",INDEX(RS_Transit,MATCH(B273,RS_Lane,0))))))</f>
        <v/>
      </c>
      <c r="P273" s="140" t="n"/>
      <c r="Q273" s="84">
        <f>IF(P273&lt;&gt;"",P273,IF(O273="","",WORKDAY.INTL(L273,ROUNDUP(O273,0),INDEX(LR_Code,MATCH(B273,LR_Lane,0)),INDEX(DH_Table,0,MATCH(B273&amp;"*",DH_Head,0)))))</f>
        <v/>
      </c>
      <c r="R273" s="100">
        <f>IF(Q273="","",IF(Q273&lt;=N273,"Yes","No"))</f>
        <v/>
      </c>
      <c r="S273" s="52">
        <f>IF(Q273="","",IF(Q273&lt;=N273,0,NETWORKDAYS.INTL(N273,Q273,INDEX(LR_Code,MATCH(B273,LR_Lane,0)),INDEX(DH_Table,0,MATCH(B273&amp;"*",DH_Head,0)))-1))</f>
        <v/>
      </c>
      <c r="T273" s="127" t="n"/>
      <c r="U273" s="112">
        <f>IF(V273&lt;&gt;"",V273,IF(IFERROR(INDEX(RS_Flag,MATCH(B273,RS_Lane,0)),"")="Yes",IF(IFERROR(INDEX(RS_Loc,MATCH(B273,RS_Lane,0)),"")="","Regional stock",IFERROR(INDEX(RS_Loc,MATCH(B273,RS_Lane,0)),"")),"Helmond"))</f>
        <v/>
      </c>
      <c r="V273" s="141" t="n"/>
      <c r="W273" s="142" t="n"/>
      <c r="X273" s="143" t="n"/>
      <c r="Y273" s="116">
        <f>IF(X273&lt;&gt;"",X273,IF(U273="Helmond",IF(COUNTIFS(RC_Lane,B273,RC_Band,E273,RC_CostPS,"&gt;0")=0,"",SUMIFS(RC_CostPS,RC_Lane,B273,RC_Band,E273)*(1-SUMIFS(RC_Disc,RC_Lane,B273,RC_Band,E273))),IF(U273="Other","",IF(INDEX(RS_Rate,MATCH(B273,RS_Lane,0))="","",INDEX(RS_Rate,MATCH(B273,RS_Lane,0))))))</f>
        <v/>
      </c>
    </row>
    <row r="274">
      <c r="A274" s="95" t="inlineStr">
        <is>
          <t>B-270</t>
        </is>
      </c>
      <c r="B274" s="112" t="inlineStr">
        <is>
          <t>L03</t>
        </is>
      </c>
      <c r="C274" s="101" t="inlineStr">
        <is>
          <t>Kuwait</t>
        </is>
      </c>
      <c r="D274" s="101" t="inlineStr">
        <is>
          <t>Kuwait City</t>
        </is>
      </c>
      <c r="E274" s="101" t="inlineStr">
        <is>
          <t>B3  100 to 500 kg</t>
        </is>
      </c>
      <c r="F274" s="123" t="n">
        <v>126.7</v>
      </c>
      <c r="G274" s="86">
        <f>F274*0.006477</f>
        <v/>
      </c>
      <c r="H274" s="123">
        <f>F274*1.079436</f>
        <v/>
      </c>
      <c r="I274" s="122">
        <f>MAX(1,ROUNDUP(G274/0.096,0))</f>
        <v/>
      </c>
      <c r="J274" s="84" t="n">
        <v>46687</v>
      </c>
      <c r="K274" s="87">
        <f>J274-WEEKDAY(J274,2)+1</f>
        <v/>
      </c>
      <c r="L274" s="84">
        <f>J274</f>
        <v/>
      </c>
      <c r="M274" s="52">
        <f>INDEX(LR_Target,MATCH(B274,LR_Lane,0))</f>
        <v/>
      </c>
      <c r="N274" s="84">
        <f>WORKDAY.INTL(L274,M274,INDEX(LR_Code,MATCH(B274,LR_Lane,0)),INDEX(DH_Table,0,MATCH(B274&amp;"*",DH_Head,0)))</f>
        <v/>
      </c>
      <c r="O274" s="65">
        <f>IF(W274&lt;&gt;"",W274,IF(U274="Helmond",IF(COUNTIFS(RC_Lane,B274,RC_Band,E274,RC_Transit,"&lt;&gt;")=0,"",SUMIFS(RC_Transit,RC_Lane,B274,RC_Band,E274)),IF(U274="Other","",IF(INDEX(RS_Transit,MATCH(B274,RS_Lane,0))="","",INDEX(RS_Transit,MATCH(B274,RS_Lane,0))))))</f>
        <v/>
      </c>
      <c r="P274" s="140" t="n"/>
      <c r="Q274" s="84">
        <f>IF(P274&lt;&gt;"",P274,IF(O274="","",WORKDAY.INTL(L274,ROUNDUP(O274,0),INDEX(LR_Code,MATCH(B274,LR_Lane,0)),INDEX(DH_Table,0,MATCH(B274&amp;"*",DH_Head,0)))))</f>
        <v/>
      </c>
      <c r="R274" s="100">
        <f>IF(Q274="","",IF(Q274&lt;=N274,"Yes","No"))</f>
        <v/>
      </c>
      <c r="S274" s="52">
        <f>IF(Q274="","",IF(Q274&lt;=N274,0,NETWORKDAYS.INTL(N274,Q274,INDEX(LR_Code,MATCH(B274,LR_Lane,0)),INDEX(DH_Table,0,MATCH(B274&amp;"*",DH_Head,0)))-1))</f>
        <v/>
      </c>
      <c r="T274" s="127" t="n"/>
      <c r="U274" s="112">
        <f>IF(V274&lt;&gt;"",V274,IF(IFERROR(INDEX(RS_Flag,MATCH(B274,RS_Lane,0)),"")="Yes",IF(IFERROR(INDEX(RS_Loc,MATCH(B274,RS_Lane,0)),"")="","Regional stock",IFERROR(INDEX(RS_Loc,MATCH(B274,RS_Lane,0)),"")),"Helmond"))</f>
        <v/>
      </c>
      <c r="V274" s="141" t="n"/>
      <c r="W274" s="142" t="n"/>
      <c r="X274" s="143" t="n"/>
      <c r="Y274" s="116">
        <f>IF(X274&lt;&gt;"",X274,IF(U274="Helmond",IF(COUNTIFS(RC_Lane,B274,RC_Band,E274,RC_CostPS,"&gt;0")=0,"",SUMIFS(RC_CostPS,RC_Lane,B274,RC_Band,E274)*(1-SUMIFS(RC_Disc,RC_Lane,B274,RC_Band,E274))),IF(U274="Other","",IF(INDEX(RS_Rate,MATCH(B274,RS_Lane,0))="","",INDEX(RS_Rate,MATCH(B274,RS_Lane,0))))))</f>
        <v/>
      </c>
    </row>
    <row r="275">
      <c r="A275" s="95" t="inlineStr">
        <is>
          <t>B-271</t>
        </is>
      </c>
      <c r="B275" s="112" t="inlineStr">
        <is>
          <t>L09</t>
        </is>
      </c>
      <c r="C275" s="101" t="inlineStr">
        <is>
          <t>Tunisia</t>
        </is>
      </c>
      <c r="D275" s="101" t="inlineStr">
        <is>
          <t>Sousse</t>
        </is>
      </c>
      <c r="E275" s="101" t="inlineStr">
        <is>
          <t>B2  30 to 100 kg</t>
        </is>
      </c>
      <c r="F275" s="123" t="n">
        <v>52</v>
      </c>
      <c r="G275" s="86">
        <f>F275*0.006477</f>
        <v/>
      </c>
      <c r="H275" s="123">
        <f>F275*1.079436</f>
        <v/>
      </c>
      <c r="I275" s="122">
        <f>MAX(1,ROUNDUP(G275/0.096,0))</f>
        <v/>
      </c>
      <c r="J275" s="84" t="n">
        <v>46687</v>
      </c>
      <c r="K275" s="87">
        <f>J275-WEEKDAY(J275,2)+1</f>
        <v/>
      </c>
      <c r="L275" s="84">
        <f>J275</f>
        <v/>
      </c>
      <c r="M275" s="52">
        <f>INDEX(LR_Target,MATCH(B275,LR_Lane,0))</f>
        <v/>
      </c>
      <c r="N275" s="84">
        <f>WORKDAY.INTL(L275,M275,INDEX(LR_Code,MATCH(B275,LR_Lane,0)),INDEX(DH_Table,0,MATCH(B275&amp;"*",DH_Head,0)))</f>
        <v/>
      </c>
      <c r="O275" s="65">
        <f>IF(W275&lt;&gt;"",W275,IF(U275="Helmond",IF(COUNTIFS(RC_Lane,B275,RC_Band,E275,RC_Transit,"&lt;&gt;")=0,"",SUMIFS(RC_Transit,RC_Lane,B275,RC_Band,E275)),IF(U275="Other","",IF(INDEX(RS_Transit,MATCH(B275,RS_Lane,0))="","",INDEX(RS_Transit,MATCH(B275,RS_Lane,0))))))</f>
        <v/>
      </c>
      <c r="P275" s="140" t="n"/>
      <c r="Q275" s="84">
        <f>IF(P275&lt;&gt;"",P275,IF(O275="","",WORKDAY.INTL(L275,ROUNDUP(O275,0),INDEX(LR_Code,MATCH(B275,LR_Lane,0)),INDEX(DH_Table,0,MATCH(B275&amp;"*",DH_Head,0)))))</f>
        <v/>
      </c>
      <c r="R275" s="100">
        <f>IF(Q275="","",IF(Q275&lt;=N275,"Yes","No"))</f>
        <v/>
      </c>
      <c r="S275" s="52">
        <f>IF(Q275="","",IF(Q275&lt;=N275,0,NETWORKDAYS.INTL(N275,Q275,INDEX(LR_Code,MATCH(B275,LR_Lane,0)),INDEX(DH_Table,0,MATCH(B275&amp;"*",DH_Head,0)))-1))</f>
        <v/>
      </c>
      <c r="T275" s="127" t="n"/>
      <c r="U275" s="112">
        <f>IF(V275&lt;&gt;"",V275,IF(IFERROR(INDEX(RS_Flag,MATCH(B275,RS_Lane,0)),"")="Yes",IF(IFERROR(INDEX(RS_Loc,MATCH(B275,RS_Lane,0)),"")="","Regional stock",IFERROR(INDEX(RS_Loc,MATCH(B275,RS_Lane,0)),"")),"Helmond"))</f>
        <v/>
      </c>
      <c r="V275" s="141" t="n"/>
      <c r="W275" s="142" t="n"/>
      <c r="X275" s="143" t="n"/>
      <c r="Y275" s="116">
        <f>IF(X275&lt;&gt;"",X275,IF(U275="Helmond",IF(COUNTIFS(RC_Lane,B275,RC_Band,E275,RC_CostPS,"&gt;0")=0,"",SUMIFS(RC_CostPS,RC_Lane,B275,RC_Band,E275)*(1-SUMIFS(RC_Disc,RC_Lane,B275,RC_Band,E275))),IF(U275="Other","",IF(INDEX(RS_Rate,MATCH(B275,RS_Lane,0))="","",INDEX(RS_Rate,MATCH(B275,RS_Lane,0))))))</f>
        <v/>
      </c>
    </row>
    <row r="276">
      <c r="A276" s="95" t="inlineStr">
        <is>
          <t>B-272</t>
        </is>
      </c>
      <c r="B276" s="112" t="inlineStr">
        <is>
          <t>L01</t>
        </is>
      </c>
      <c r="C276" s="101" t="inlineStr">
        <is>
          <t>Saudi Arabia</t>
        </is>
      </c>
      <c r="D276" s="101" t="inlineStr">
        <is>
          <t>Riyadh</t>
        </is>
      </c>
      <c r="E276" s="101" t="inlineStr">
        <is>
          <t>B1  0 to 30 kg</t>
        </is>
      </c>
      <c r="F276" s="123" t="n">
        <v>3.1</v>
      </c>
      <c r="G276" s="86">
        <f>F276*0.006477</f>
        <v/>
      </c>
      <c r="H276" s="123">
        <f>F276*1.079436</f>
        <v/>
      </c>
      <c r="I276" s="122">
        <f>MAX(1,ROUNDUP(G276/0.096,0))</f>
        <v/>
      </c>
      <c r="J276" s="84" t="n">
        <v>46688</v>
      </c>
      <c r="K276" s="87">
        <f>J276-WEEKDAY(J276,2)+1</f>
        <v/>
      </c>
      <c r="L276" s="84">
        <f>J276</f>
        <v/>
      </c>
      <c r="M276" s="52">
        <f>INDEX(LR_Target,MATCH(B276,LR_Lane,0))</f>
        <v/>
      </c>
      <c r="N276" s="84">
        <f>WORKDAY.INTL(L276,M276,INDEX(LR_Code,MATCH(B276,LR_Lane,0)),INDEX(DH_Table,0,MATCH(B276&amp;"*",DH_Head,0)))</f>
        <v/>
      </c>
      <c r="O276" s="65">
        <f>IF(W276&lt;&gt;"",W276,IF(U276="Helmond",IF(COUNTIFS(RC_Lane,B276,RC_Band,E276,RC_Transit,"&lt;&gt;")=0,"",SUMIFS(RC_Transit,RC_Lane,B276,RC_Band,E276)),IF(U276="Other","",IF(INDEX(RS_Transit,MATCH(B276,RS_Lane,0))="","",INDEX(RS_Transit,MATCH(B276,RS_Lane,0))))))</f>
        <v/>
      </c>
      <c r="P276" s="140" t="n"/>
      <c r="Q276" s="84">
        <f>IF(P276&lt;&gt;"",P276,IF(O276="","",WORKDAY.INTL(L276,ROUNDUP(O276,0),INDEX(LR_Code,MATCH(B276,LR_Lane,0)),INDEX(DH_Table,0,MATCH(B276&amp;"*",DH_Head,0)))))</f>
        <v/>
      </c>
      <c r="R276" s="100">
        <f>IF(Q276="","",IF(Q276&lt;=N276,"Yes","No"))</f>
        <v/>
      </c>
      <c r="S276" s="52">
        <f>IF(Q276="","",IF(Q276&lt;=N276,0,NETWORKDAYS.INTL(N276,Q276,INDEX(LR_Code,MATCH(B276,LR_Lane,0)),INDEX(DH_Table,0,MATCH(B276&amp;"*",DH_Head,0)))-1))</f>
        <v/>
      </c>
      <c r="T276" s="127" t="n"/>
      <c r="U276" s="112">
        <f>IF(V276&lt;&gt;"",V276,IF(IFERROR(INDEX(RS_Flag,MATCH(B276,RS_Lane,0)),"")="Yes",IF(IFERROR(INDEX(RS_Loc,MATCH(B276,RS_Lane,0)),"")="","Regional stock",IFERROR(INDEX(RS_Loc,MATCH(B276,RS_Lane,0)),"")),"Helmond"))</f>
        <v/>
      </c>
      <c r="V276" s="141" t="n"/>
      <c r="W276" s="142" t="n"/>
      <c r="X276" s="143" t="n"/>
      <c r="Y276" s="116">
        <f>IF(X276&lt;&gt;"",X276,IF(U276="Helmond",IF(COUNTIFS(RC_Lane,B276,RC_Band,E276,RC_CostPS,"&gt;0")=0,"",SUMIFS(RC_CostPS,RC_Lane,B276,RC_Band,E276)*(1-SUMIFS(RC_Disc,RC_Lane,B276,RC_Band,E276))),IF(U276="Other","",IF(INDEX(RS_Rate,MATCH(B276,RS_Lane,0))="","",INDEX(RS_Rate,MATCH(B276,RS_Lane,0))))))</f>
        <v/>
      </c>
    </row>
    <row r="277">
      <c r="A277" s="95" t="inlineStr">
        <is>
          <t>B-273</t>
        </is>
      </c>
      <c r="B277" s="112" t="inlineStr">
        <is>
          <t>L01</t>
        </is>
      </c>
      <c r="C277" s="101" t="inlineStr">
        <is>
          <t>Saudi Arabia</t>
        </is>
      </c>
      <c r="D277" s="101" t="inlineStr">
        <is>
          <t>Riyadh</t>
        </is>
      </c>
      <c r="E277" s="101" t="inlineStr">
        <is>
          <t>B3  100 to 500 kg</t>
        </is>
      </c>
      <c r="F277" s="123" t="n">
        <v>292.1</v>
      </c>
      <c r="G277" s="86">
        <f>F277*0.006477</f>
        <v/>
      </c>
      <c r="H277" s="123">
        <f>F277*1.079436</f>
        <v/>
      </c>
      <c r="I277" s="122">
        <f>MAX(1,ROUNDUP(G277/0.096,0))</f>
        <v/>
      </c>
      <c r="J277" s="84" t="n">
        <v>46688</v>
      </c>
      <c r="K277" s="87">
        <f>J277-WEEKDAY(J277,2)+1</f>
        <v/>
      </c>
      <c r="L277" s="84">
        <f>J277</f>
        <v/>
      </c>
      <c r="M277" s="52">
        <f>INDEX(LR_Target,MATCH(B277,LR_Lane,0))</f>
        <v/>
      </c>
      <c r="N277" s="84">
        <f>WORKDAY.INTL(L277,M277,INDEX(LR_Code,MATCH(B277,LR_Lane,0)),INDEX(DH_Table,0,MATCH(B277&amp;"*",DH_Head,0)))</f>
        <v/>
      </c>
      <c r="O277" s="65">
        <f>IF(W277&lt;&gt;"",W277,IF(U277="Helmond",IF(COUNTIFS(RC_Lane,B277,RC_Band,E277,RC_Transit,"&lt;&gt;")=0,"",SUMIFS(RC_Transit,RC_Lane,B277,RC_Band,E277)),IF(U277="Other","",IF(INDEX(RS_Transit,MATCH(B277,RS_Lane,0))="","",INDEX(RS_Transit,MATCH(B277,RS_Lane,0))))))</f>
        <v/>
      </c>
      <c r="P277" s="140" t="n"/>
      <c r="Q277" s="84">
        <f>IF(P277&lt;&gt;"",P277,IF(O277="","",WORKDAY.INTL(L277,ROUNDUP(O277,0),INDEX(LR_Code,MATCH(B277,LR_Lane,0)),INDEX(DH_Table,0,MATCH(B277&amp;"*",DH_Head,0)))))</f>
        <v/>
      </c>
      <c r="R277" s="100">
        <f>IF(Q277="","",IF(Q277&lt;=N277,"Yes","No"))</f>
        <v/>
      </c>
      <c r="S277" s="52">
        <f>IF(Q277="","",IF(Q277&lt;=N277,0,NETWORKDAYS.INTL(N277,Q277,INDEX(LR_Code,MATCH(B277,LR_Lane,0)),INDEX(DH_Table,0,MATCH(B277&amp;"*",DH_Head,0)))-1))</f>
        <v/>
      </c>
      <c r="T277" s="127" t="n"/>
      <c r="U277" s="112">
        <f>IF(V277&lt;&gt;"",V277,IF(IFERROR(INDEX(RS_Flag,MATCH(B277,RS_Lane,0)),"")="Yes",IF(IFERROR(INDEX(RS_Loc,MATCH(B277,RS_Lane,0)),"")="","Regional stock",IFERROR(INDEX(RS_Loc,MATCH(B277,RS_Lane,0)),"")),"Helmond"))</f>
        <v/>
      </c>
      <c r="V277" s="141" t="n"/>
      <c r="W277" s="142" t="n"/>
      <c r="X277" s="143" t="n"/>
      <c r="Y277" s="116">
        <f>IF(X277&lt;&gt;"",X277,IF(U277="Helmond",IF(COUNTIFS(RC_Lane,B277,RC_Band,E277,RC_CostPS,"&gt;0")=0,"",SUMIFS(RC_CostPS,RC_Lane,B277,RC_Band,E277)*(1-SUMIFS(RC_Disc,RC_Lane,B277,RC_Band,E277))),IF(U277="Other","",IF(INDEX(RS_Rate,MATCH(B277,RS_Lane,0))="","",INDEX(RS_Rate,MATCH(B277,RS_Lane,0))))))</f>
        <v/>
      </c>
    </row>
    <row r="278">
      <c r="A278" s="95" t="inlineStr">
        <is>
          <t>B-274</t>
        </is>
      </c>
      <c r="B278" s="112" t="inlineStr">
        <is>
          <t>L01</t>
        </is>
      </c>
      <c r="C278" s="101" t="inlineStr">
        <is>
          <t>Saudi Arabia</t>
        </is>
      </c>
      <c r="D278" s="101" t="inlineStr">
        <is>
          <t>Jeddah</t>
        </is>
      </c>
      <c r="E278" s="101" t="inlineStr">
        <is>
          <t>B2  30 to 100 kg</t>
        </is>
      </c>
      <c r="F278" s="123" t="n">
        <v>63.3</v>
      </c>
      <c r="G278" s="86">
        <f>F278*0.006477</f>
        <v/>
      </c>
      <c r="H278" s="123">
        <f>F278*1.079436</f>
        <v/>
      </c>
      <c r="I278" s="122">
        <f>MAX(1,ROUNDUP(G278/0.096,0))</f>
        <v/>
      </c>
      <c r="J278" s="84" t="n">
        <v>46688</v>
      </c>
      <c r="K278" s="87">
        <f>J278-WEEKDAY(J278,2)+1</f>
        <v/>
      </c>
      <c r="L278" s="84">
        <f>J278</f>
        <v/>
      </c>
      <c r="M278" s="52">
        <f>INDEX(LR_Target,MATCH(B278,LR_Lane,0))</f>
        <v/>
      </c>
      <c r="N278" s="84">
        <f>WORKDAY.INTL(L278,M278,INDEX(LR_Code,MATCH(B278,LR_Lane,0)),INDEX(DH_Table,0,MATCH(B278&amp;"*",DH_Head,0)))</f>
        <v/>
      </c>
      <c r="O278" s="65">
        <f>IF(W278&lt;&gt;"",W278,IF(U278="Helmond",IF(COUNTIFS(RC_Lane,B278,RC_Band,E278,RC_Transit,"&lt;&gt;")=0,"",SUMIFS(RC_Transit,RC_Lane,B278,RC_Band,E278)),IF(U278="Other","",IF(INDEX(RS_Transit,MATCH(B278,RS_Lane,0))="","",INDEX(RS_Transit,MATCH(B278,RS_Lane,0))))))</f>
        <v/>
      </c>
      <c r="P278" s="140" t="n"/>
      <c r="Q278" s="84">
        <f>IF(P278&lt;&gt;"",P278,IF(O278="","",WORKDAY.INTL(L278,ROUNDUP(O278,0),INDEX(LR_Code,MATCH(B278,LR_Lane,0)),INDEX(DH_Table,0,MATCH(B278&amp;"*",DH_Head,0)))))</f>
        <v/>
      </c>
      <c r="R278" s="100">
        <f>IF(Q278="","",IF(Q278&lt;=N278,"Yes","No"))</f>
        <v/>
      </c>
      <c r="S278" s="52">
        <f>IF(Q278="","",IF(Q278&lt;=N278,0,NETWORKDAYS.INTL(N278,Q278,INDEX(LR_Code,MATCH(B278,LR_Lane,0)),INDEX(DH_Table,0,MATCH(B278&amp;"*",DH_Head,0)))-1))</f>
        <v/>
      </c>
      <c r="T278" s="127" t="n"/>
      <c r="U278" s="112">
        <f>IF(V278&lt;&gt;"",V278,IF(IFERROR(INDEX(RS_Flag,MATCH(B278,RS_Lane,0)),"")="Yes",IF(IFERROR(INDEX(RS_Loc,MATCH(B278,RS_Lane,0)),"")="","Regional stock",IFERROR(INDEX(RS_Loc,MATCH(B278,RS_Lane,0)),"")),"Helmond"))</f>
        <v/>
      </c>
      <c r="V278" s="141" t="n"/>
      <c r="W278" s="142" t="n"/>
      <c r="X278" s="143" t="n"/>
      <c r="Y278" s="116">
        <f>IF(X278&lt;&gt;"",X278,IF(U278="Helmond",IF(COUNTIFS(RC_Lane,B278,RC_Band,E278,RC_CostPS,"&gt;0")=0,"",SUMIFS(RC_CostPS,RC_Lane,B278,RC_Band,E278)*(1-SUMIFS(RC_Disc,RC_Lane,B278,RC_Band,E278))),IF(U278="Other","",IF(INDEX(RS_Rate,MATCH(B278,RS_Lane,0))="","",INDEX(RS_Rate,MATCH(B278,RS_Lane,0))))))</f>
        <v/>
      </c>
    </row>
    <row r="279">
      <c r="A279" s="95" t="inlineStr">
        <is>
          <t>B-275</t>
        </is>
      </c>
      <c r="B279" s="112" t="inlineStr">
        <is>
          <t>L05</t>
        </is>
      </c>
      <c r="C279" s="101" t="inlineStr">
        <is>
          <t>Türkiye</t>
        </is>
      </c>
      <c r="D279" s="101" t="inlineStr">
        <is>
          <t>Istanbul</t>
        </is>
      </c>
      <c r="E279" s="101" t="inlineStr">
        <is>
          <t>B3  100 to 500 kg</t>
        </is>
      </c>
      <c r="F279" s="123" t="n">
        <v>410.1</v>
      </c>
      <c r="G279" s="86">
        <f>F279*0.006477</f>
        <v/>
      </c>
      <c r="H279" s="123">
        <f>F279*1.079436</f>
        <v/>
      </c>
      <c r="I279" s="122">
        <f>MAX(1,ROUNDUP(G279/0.096,0))</f>
        <v/>
      </c>
      <c r="J279" s="84" t="n">
        <v>46688</v>
      </c>
      <c r="K279" s="87">
        <f>J279-WEEKDAY(J279,2)+1</f>
        <v/>
      </c>
      <c r="L279" s="84">
        <f>J279</f>
        <v/>
      </c>
      <c r="M279" s="52">
        <f>INDEX(LR_Target,MATCH(B279,LR_Lane,0))</f>
        <v/>
      </c>
      <c r="N279" s="84">
        <f>WORKDAY.INTL(L279,M279,INDEX(LR_Code,MATCH(B279,LR_Lane,0)),INDEX(DH_Table,0,MATCH(B279&amp;"*",DH_Head,0)))</f>
        <v/>
      </c>
      <c r="O279" s="65">
        <f>IF(W279&lt;&gt;"",W279,IF(U279="Helmond",IF(COUNTIFS(RC_Lane,B279,RC_Band,E279,RC_Transit,"&lt;&gt;")=0,"",SUMIFS(RC_Transit,RC_Lane,B279,RC_Band,E279)),IF(U279="Other","",IF(INDEX(RS_Transit,MATCH(B279,RS_Lane,0))="","",INDEX(RS_Transit,MATCH(B279,RS_Lane,0))))))</f>
        <v/>
      </c>
      <c r="P279" s="140" t="n"/>
      <c r="Q279" s="84">
        <f>IF(P279&lt;&gt;"",P279,IF(O279="","",WORKDAY.INTL(L279,ROUNDUP(O279,0),INDEX(LR_Code,MATCH(B279,LR_Lane,0)),INDEX(DH_Table,0,MATCH(B279&amp;"*",DH_Head,0)))))</f>
        <v/>
      </c>
      <c r="R279" s="100">
        <f>IF(Q279="","",IF(Q279&lt;=N279,"Yes","No"))</f>
        <v/>
      </c>
      <c r="S279" s="52">
        <f>IF(Q279="","",IF(Q279&lt;=N279,0,NETWORKDAYS.INTL(N279,Q279,INDEX(LR_Code,MATCH(B279,LR_Lane,0)),INDEX(DH_Table,0,MATCH(B279&amp;"*",DH_Head,0)))-1))</f>
        <v/>
      </c>
      <c r="T279" s="127" t="n"/>
      <c r="U279" s="112">
        <f>IF(V279&lt;&gt;"",V279,IF(IFERROR(INDEX(RS_Flag,MATCH(B279,RS_Lane,0)),"")="Yes",IF(IFERROR(INDEX(RS_Loc,MATCH(B279,RS_Lane,0)),"")="","Regional stock",IFERROR(INDEX(RS_Loc,MATCH(B279,RS_Lane,0)),"")),"Helmond"))</f>
        <v/>
      </c>
      <c r="V279" s="141" t="n"/>
      <c r="W279" s="142" t="n"/>
      <c r="X279" s="143" t="n"/>
      <c r="Y279" s="116">
        <f>IF(X279&lt;&gt;"",X279,IF(U279="Helmond",IF(COUNTIFS(RC_Lane,B279,RC_Band,E279,RC_CostPS,"&gt;0")=0,"",SUMIFS(RC_CostPS,RC_Lane,B279,RC_Band,E279)*(1-SUMIFS(RC_Disc,RC_Lane,B279,RC_Band,E279))),IF(U279="Other","",IF(INDEX(RS_Rate,MATCH(B279,RS_Lane,0))="","",INDEX(RS_Rate,MATCH(B279,RS_Lane,0))))))</f>
        <v/>
      </c>
    </row>
    <row r="280">
      <c r="A280" s="95" t="inlineStr">
        <is>
          <t>B-276</t>
        </is>
      </c>
      <c r="B280" s="112" t="inlineStr">
        <is>
          <t>L04</t>
        </is>
      </c>
      <c r="C280" s="101" t="inlineStr">
        <is>
          <t>Qatar</t>
        </is>
      </c>
      <c r="D280" s="101" t="inlineStr">
        <is>
          <t>Doha</t>
        </is>
      </c>
      <c r="E280" s="101" t="inlineStr">
        <is>
          <t>B2  30 to 100 kg</t>
        </is>
      </c>
      <c r="F280" s="123" t="n">
        <v>78.8</v>
      </c>
      <c r="G280" s="86">
        <f>F280*0.006477</f>
        <v/>
      </c>
      <c r="H280" s="123">
        <f>F280*1.079436</f>
        <v/>
      </c>
      <c r="I280" s="122">
        <f>MAX(1,ROUNDUP(G280/0.096,0))</f>
        <v/>
      </c>
      <c r="J280" s="84" t="n">
        <v>46689</v>
      </c>
      <c r="K280" s="87">
        <f>J280-WEEKDAY(J280,2)+1</f>
        <v/>
      </c>
      <c r="L280" s="84">
        <f>J280</f>
        <v/>
      </c>
      <c r="M280" s="52">
        <f>INDEX(LR_Target,MATCH(B280,LR_Lane,0))</f>
        <v/>
      </c>
      <c r="N280" s="84">
        <f>WORKDAY.INTL(L280,M280,INDEX(LR_Code,MATCH(B280,LR_Lane,0)),INDEX(DH_Table,0,MATCH(B280&amp;"*",DH_Head,0)))</f>
        <v/>
      </c>
      <c r="O280" s="65">
        <f>IF(W280&lt;&gt;"",W280,IF(U280="Helmond",IF(COUNTIFS(RC_Lane,B280,RC_Band,E280,RC_Transit,"&lt;&gt;")=0,"",SUMIFS(RC_Transit,RC_Lane,B280,RC_Band,E280)),IF(U280="Other","",IF(INDEX(RS_Transit,MATCH(B280,RS_Lane,0))="","",INDEX(RS_Transit,MATCH(B280,RS_Lane,0))))))</f>
        <v/>
      </c>
      <c r="P280" s="140" t="n"/>
      <c r="Q280" s="84">
        <f>IF(P280&lt;&gt;"",P280,IF(O280="","",WORKDAY.INTL(L280,ROUNDUP(O280,0),INDEX(LR_Code,MATCH(B280,LR_Lane,0)),INDEX(DH_Table,0,MATCH(B280&amp;"*",DH_Head,0)))))</f>
        <v/>
      </c>
      <c r="R280" s="100">
        <f>IF(Q280="","",IF(Q280&lt;=N280,"Yes","No"))</f>
        <v/>
      </c>
      <c r="S280" s="52">
        <f>IF(Q280="","",IF(Q280&lt;=N280,0,NETWORKDAYS.INTL(N280,Q280,INDEX(LR_Code,MATCH(B280,LR_Lane,0)),INDEX(DH_Table,0,MATCH(B280&amp;"*",DH_Head,0)))-1))</f>
        <v/>
      </c>
      <c r="T280" s="127" t="n"/>
      <c r="U280" s="112">
        <f>IF(V280&lt;&gt;"",V280,IF(IFERROR(INDEX(RS_Flag,MATCH(B280,RS_Lane,0)),"")="Yes",IF(IFERROR(INDEX(RS_Loc,MATCH(B280,RS_Lane,0)),"")="","Regional stock",IFERROR(INDEX(RS_Loc,MATCH(B280,RS_Lane,0)),"")),"Helmond"))</f>
        <v/>
      </c>
      <c r="V280" s="141" t="n"/>
      <c r="W280" s="142" t="n"/>
      <c r="X280" s="143" t="n"/>
      <c r="Y280" s="116">
        <f>IF(X280&lt;&gt;"",X280,IF(U280="Helmond",IF(COUNTIFS(RC_Lane,B280,RC_Band,E280,RC_CostPS,"&gt;0")=0,"",SUMIFS(RC_CostPS,RC_Lane,B280,RC_Band,E280)*(1-SUMIFS(RC_Disc,RC_Lane,B280,RC_Band,E280))),IF(U280="Other","",IF(INDEX(RS_Rate,MATCH(B280,RS_Lane,0))="","",INDEX(RS_Rate,MATCH(B280,RS_Lane,0))))))</f>
        <v/>
      </c>
    </row>
    <row r="281">
      <c r="A281" s="95" t="inlineStr">
        <is>
          <t>B-277</t>
        </is>
      </c>
      <c r="B281" s="112" t="inlineStr">
        <is>
          <t>L03</t>
        </is>
      </c>
      <c r="C281" s="101" t="inlineStr">
        <is>
          <t>Kuwait</t>
        </is>
      </c>
      <c r="D281" s="101" t="inlineStr">
        <is>
          <t>Kuwait City</t>
        </is>
      </c>
      <c r="E281" s="101" t="inlineStr">
        <is>
          <t>B3  100 to 500 kg</t>
        </is>
      </c>
      <c r="F281" s="123" t="n">
        <v>276.8</v>
      </c>
      <c r="G281" s="86">
        <f>F281*0.006477</f>
        <v/>
      </c>
      <c r="H281" s="123">
        <f>F281*1.079436</f>
        <v/>
      </c>
      <c r="I281" s="122">
        <f>MAX(1,ROUNDUP(G281/0.096,0))</f>
        <v/>
      </c>
      <c r="J281" s="84" t="n">
        <v>46693</v>
      </c>
      <c r="K281" s="87">
        <f>J281-WEEKDAY(J281,2)+1</f>
        <v/>
      </c>
      <c r="L281" s="84">
        <f>J281</f>
        <v/>
      </c>
      <c r="M281" s="52">
        <f>INDEX(LR_Target,MATCH(B281,LR_Lane,0))</f>
        <v/>
      </c>
      <c r="N281" s="84">
        <f>WORKDAY.INTL(L281,M281,INDEX(LR_Code,MATCH(B281,LR_Lane,0)),INDEX(DH_Table,0,MATCH(B281&amp;"*",DH_Head,0)))</f>
        <v/>
      </c>
      <c r="O281" s="65">
        <f>IF(W281&lt;&gt;"",W281,IF(U281="Helmond",IF(COUNTIFS(RC_Lane,B281,RC_Band,E281,RC_Transit,"&lt;&gt;")=0,"",SUMIFS(RC_Transit,RC_Lane,B281,RC_Band,E281)),IF(U281="Other","",IF(INDEX(RS_Transit,MATCH(B281,RS_Lane,0))="","",INDEX(RS_Transit,MATCH(B281,RS_Lane,0))))))</f>
        <v/>
      </c>
      <c r="P281" s="140" t="n"/>
      <c r="Q281" s="84">
        <f>IF(P281&lt;&gt;"",P281,IF(O281="","",WORKDAY.INTL(L281,ROUNDUP(O281,0),INDEX(LR_Code,MATCH(B281,LR_Lane,0)),INDEX(DH_Table,0,MATCH(B281&amp;"*",DH_Head,0)))))</f>
        <v/>
      </c>
      <c r="R281" s="100">
        <f>IF(Q281="","",IF(Q281&lt;=N281,"Yes","No"))</f>
        <v/>
      </c>
      <c r="S281" s="52">
        <f>IF(Q281="","",IF(Q281&lt;=N281,0,NETWORKDAYS.INTL(N281,Q281,INDEX(LR_Code,MATCH(B281,LR_Lane,0)),INDEX(DH_Table,0,MATCH(B281&amp;"*",DH_Head,0)))-1))</f>
        <v/>
      </c>
      <c r="T281" s="127" t="n"/>
      <c r="U281" s="112">
        <f>IF(V281&lt;&gt;"",V281,IF(IFERROR(INDEX(RS_Flag,MATCH(B281,RS_Lane,0)),"")="Yes",IF(IFERROR(INDEX(RS_Loc,MATCH(B281,RS_Lane,0)),"")="","Regional stock",IFERROR(INDEX(RS_Loc,MATCH(B281,RS_Lane,0)),"")),"Helmond"))</f>
        <v/>
      </c>
      <c r="V281" s="141" t="n"/>
      <c r="W281" s="142" t="n"/>
      <c r="X281" s="143" t="n"/>
      <c r="Y281" s="116">
        <f>IF(X281&lt;&gt;"",X281,IF(U281="Helmond",IF(COUNTIFS(RC_Lane,B281,RC_Band,E281,RC_CostPS,"&gt;0")=0,"",SUMIFS(RC_CostPS,RC_Lane,B281,RC_Band,E281)*(1-SUMIFS(RC_Disc,RC_Lane,B281,RC_Band,E281))),IF(U281="Other","",IF(INDEX(RS_Rate,MATCH(B281,RS_Lane,0))="","",INDEX(RS_Rate,MATCH(B281,RS_Lane,0))))))</f>
        <v/>
      </c>
    </row>
    <row r="282">
      <c r="A282" s="95" t="inlineStr">
        <is>
          <t>B-278</t>
        </is>
      </c>
      <c r="B282" s="112" t="inlineStr">
        <is>
          <t>L01</t>
        </is>
      </c>
      <c r="C282" s="101" t="inlineStr">
        <is>
          <t>Saudi Arabia</t>
        </is>
      </c>
      <c r="D282" s="101" t="inlineStr">
        <is>
          <t>Jeddah</t>
        </is>
      </c>
      <c r="E282" s="101" t="inlineStr">
        <is>
          <t>B3  100 to 500 kg</t>
        </is>
      </c>
      <c r="F282" s="123" t="n">
        <v>233.4</v>
      </c>
      <c r="G282" s="86">
        <f>F282*0.006477</f>
        <v/>
      </c>
      <c r="H282" s="123">
        <f>F282*1.079436</f>
        <v/>
      </c>
      <c r="I282" s="122">
        <f>MAX(1,ROUNDUP(G282/0.096,0))</f>
        <v/>
      </c>
      <c r="J282" s="84" t="n">
        <v>46694</v>
      </c>
      <c r="K282" s="87">
        <f>J282-WEEKDAY(J282,2)+1</f>
        <v/>
      </c>
      <c r="L282" s="84">
        <f>J282</f>
        <v/>
      </c>
      <c r="M282" s="52">
        <f>INDEX(LR_Target,MATCH(B282,LR_Lane,0))</f>
        <v/>
      </c>
      <c r="N282" s="84">
        <f>WORKDAY.INTL(L282,M282,INDEX(LR_Code,MATCH(B282,LR_Lane,0)),INDEX(DH_Table,0,MATCH(B282&amp;"*",DH_Head,0)))</f>
        <v/>
      </c>
      <c r="O282" s="65">
        <f>IF(W282&lt;&gt;"",W282,IF(U282="Helmond",IF(COUNTIFS(RC_Lane,B282,RC_Band,E282,RC_Transit,"&lt;&gt;")=0,"",SUMIFS(RC_Transit,RC_Lane,B282,RC_Band,E282)),IF(U282="Other","",IF(INDEX(RS_Transit,MATCH(B282,RS_Lane,0))="","",INDEX(RS_Transit,MATCH(B282,RS_Lane,0))))))</f>
        <v/>
      </c>
      <c r="P282" s="140" t="n"/>
      <c r="Q282" s="84">
        <f>IF(P282&lt;&gt;"",P282,IF(O282="","",WORKDAY.INTL(L282,ROUNDUP(O282,0),INDEX(LR_Code,MATCH(B282,LR_Lane,0)),INDEX(DH_Table,0,MATCH(B282&amp;"*",DH_Head,0)))))</f>
        <v/>
      </c>
      <c r="R282" s="100">
        <f>IF(Q282="","",IF(Q282&lt;=N282,"Yes","No"))</f>
        <v/>
      </c>
      <c r="S282" s="52">
        <f>IF(Q282="","",IF(Q282&lt;=N282,0,NETWORKDAYS.INTL(N282,Q282,INDEX(LR_Code,MATCH(B282,LR_Lane,0)),INDEX(DH_Table,0,MATCH(B282&amp;"*",DH_Head,0)))-1))</f>
        <v/>
      </c>
      <c r="T282" s="127" t="n"/>
      <c r="U282" s="112">
        <f>IF(V282&lt;&gt;"",V282,IF(IFERROR(INDEX(RS_Flag,MATCH(B282,RS_Lane,0)),"")="Yes",IF(IFERROR(INDEX(RS_Loc,MATCH(B282,RS_Lane,0)),"")="","Regional stock",IFERROR(INDEX(RS_Loc,MATCH(B282,RS_Lane,0)),"")),"Helmond"))</f>
        <v/>
      </c>
      <c r="V282" s="141" t="n"/>
      <c r="W282" s="142" t="n"/>
      <c r="X282" s="143" t="n"/>
      <c r="Y282" s="116">
        <f>IF(X282&lt;&gt;"",X282,IF(U282="Helmond",IF(COUNTIFS(RC_Lane,B282,RC_Band,E282,RC_CostPS,"&gt;0")=0,"",SUMIFS(RC_CostPS,RC_Lane,B282,RC_Band,E282)*(1-SUMIFS(RC_Disc,RC_Lane,B282,RC_Band,E282))),IF(U282="Other","",IF(INDEX(RS_Rate,MATCH(B282,RS_Lane,0))="","",INDEX(RS_Rate,MATCH(B282,RS_Lane,0))))))</f>
        <v/>
      </c>
    </row>
    <row r="283">
      <c r="A283" s="95" t="inlineStr">
        <is>
          <t>B-279</t>
        </is>
      </c>
      <c r="B283" s="112" t="inlineStr">
        <is>
          <t>L02</t>
        </is>
      </c>
      <c r="C283" s="101" t="inlineStr">
        <is>
          <t>United Arab Emirates</t>
        </is>
      </c>
      <c r="D283" s="101" t="inlineStr">
        <is>
          <t>Dubai</t>
        </is>
      </c>
      <c r="E283" s="101" t="inlineStr">
        <is>
          <t>B1  0 to 30 kg</t>
        </is>
      </c>
      <c r="F283" s="123" t="n">
        <v>8.300000000000001</v>
      </c>
      <c r="G283" s="86">
        <f>F283*0.006477</f>
        <v/>
      </c>
      <c r="H283" s="123">
        <f>F283*1.079436</f>
        <v/>
      </c>
      <c r="I283" s="122">
        <f>MAX(1,ROUNDUP(G283/0.096,0))</f>
        <v/>
      </c>
      <c r="J283" s="84" t="n">
        <v>46696</v>
      </c>
      <c r="K283" s="87">
        <f>J283-WEEKDAY(J283,2)+1</f>
        <v/>
      </c>
      <c r="L283" s="84">
        <f>J283</f>
        <v/>
      </c>
      <c r="M283" s="52">
        <f>INDEX(LR_Target,MATCH(B283,LR_Lane,0))</f>
        <v/>
      </c>
      <c r="N283" s="84">
        <f>WORKDAY.INTL(L283,M283,INDEX(LR_Code,MATCH(B283,LR_Lane,0)),INDEX(DH_Table,0,MATCH(B283&amp;"*",DH_Head,0)))</f>
        <v/>
      </c>
      <c r="O283" s="65">
        <f>IF(W283&lt;&gt;"",W283,IF(U283="Helmond",IF(COUNTIFS(RC_Lane,B283,RC_Band,E283,RC_Transit,"&lt;&gt;")=0,"",SUMIFS(RC_Transit,RC_Lane,B283,RC_Band,E283)),IF(U283="Other","",IF(INDEX(RS_Transit,MATCH(B283,RS_Lane,0))="","",INDEX(RS_Transit,MATCH(B283,RS_Lane,0))))))</f>
        <v/>
      </c>
      <c r="P283" s="140" t="n"/>
      <c r="Q283" s="84">
        <f>IF(P283&lt;&gt;"",P283,IF(O283="","",WORKDAY.INTL(L283,ROUNDUP(O283,0),INDEX(LR_Code,MATCH(B283,LR_Lane,0)),INDEX(DH_Table,0,MATCH(B283&amp;"*",DH_Head,0)))))</f>
        <v/>
      </c>
      <c r="R283" s="100">
        <f>IF(Q283="","",IF(Q283&lt;=N283,"Yes","No"))</f>
        <v/>
      </c>
      <c r="S283" s="52">
        <f>IF(Q283="","",IF(Q283&lt;=N283,0,NETWORKDAYS.INTL(N283,Q283,INDEX(LR_Code,MATCH(B283,LR_Lane,0)),INDEX(DH_Table,0,MATCH(B283&amp;"*",DH_Head,0)))-1))</f>
        <v/>
      </c>
      <c r="T283" s="127" t="n"/>
      <c r="U283" s="112">
        <f>IF(V283&lt;&gt;"",V283,IF(IFERROR(INDEX(RS_Flag,MATCH(B283,RS_Lane,0)),"")="Yes",IF(IFERROR(INDEX(RS_Loc,MATCH(B283,RS_Lane,0)),"")="","Regional stock",IFERROR(INDEX(RS_Loc,MATCH(B283,RS_Lane,0)),"")),"Helmond"))</f>
        <v/>
      </c>
      <c r="V283" s="141" t="n"/>
      <c r="W283" s="142" t="n"/>
      <c r="X283" s="143" t="n"/>
      <c r="Y283" s="116">
        <f>IF(X283&lt;&gt;"",X283,IF(U283="Helmond",IF(COUNTIFS(RC_Lane,B283,RC_Band,E283,RC_CostPS,"&gt;0")=0,"",SUMIFS(RC_CostPS,RC_Lane,B283,RC_Band,E283)*(1-SUMIFS(RC_Disc,RC_Lane,B283,RC_Band,E283))),IF(U283="Other","",IF(INDEX(RS_Rate,MATCH(B283,RS_Lane,0))="","",INDEX(RS_Rate,MATCH(B283,RS_Lane,0))))))</f>
        <v/>
      </c>
    </row>
    <row r="284">
      <c r="A284" s="95" t="inlineStr">
        <is>
          <t>B-280</t>
        </is>
      </c>
      <c r="B284" s="112" t="inlineStr">
        <is>
          <t>L02</t>
        </is>
      </c>
      <c r="C284" s="101" t="inlineStr">
        <is>
          <t>United Arab Emirates</t>
        </is>
      </c>
      <c r="D284" s="101" t="inlineStr">
        <is>
          <t>Dubai</t>
        </is>
      </c>
      <c r="E284" s="101" t="inlineStr">
        <is>
          <t>B3  100 to 500 kg</t>
        </is>
      </c>
      <c r="F284" s="123" t="n">
        <v>259.3</v>
      </c>
      <c r="G284" s="86">
        <f>F284*0.006477</f>
        <v/>
      </c>
      <c r="H284" s="123">
        <f>F284*1.079436</f>
        <v/>
      </c>
      <c r="I284" s="122">
        <f>MAX(1,ROUNDUP(G284/0.096,0))</f>
        <v/>
      </c>
      <c r="J284" s="84" t="n">
        <v>46699</v>
      </c>
      <c r="K284" s="87">
        <f>J284-WEEKDAY(J284,2)+1</f>
        <v/>
      </c>
      <c r="L284" s="84">
        <f>J284</f>
        <v/>
      </c>
      <c r="M284" s="52">
        <f>INDEX(LR_Target,MATCH(B284,LR_Lane,0))</f>
        <v/>
      </c>
      <c r="N284" s="84">
        <f>WORKDAY.INTL(L284,M284,INDEX(LR_Code,MATCH(B284,LR_Lane,0)),INDEX(DH_Table,0,MATCH(B284&amp;"*",DH_Head,0)))</f>
        <v/>
      </c>
      <c r="O284" s="65">
        <f>IF(W284&lt;&gt;"",W284,IF(U284="Helmond",IF(COUNTIFS(RC_Lane,B284,RC_Band,E284,RC_Transit,"&lt;&gt;")=0,"",SUMIFS(RC_Transit,RC_Lane,B284,RC_Band,E284)),IF(U284="Other","",IF(INDEX(RS_Transit,MATCH(B284,RS_Lane,0))="","",INDEX(RS_Transit,MATCH(B284,RS_Lane,0))))))</f>
        <v/>
      </c>
      <c r="P284" s="140" t="n"/>
      <c r="Q284" s="84">
        <f>IF(P284&lt;&gt;"",P284,IF(O284="","",WORKDAY.INTL(L284,ROUNDUP(O284,0),INDEX(LR_Code,MATCH(B284,LR_Lane,0)),INDEX(DH_Table,0,MATCH(B284&amp;"*",DH_Head,0)))))</f>
        <v/>
      </c>
      <c r="R284" s="100">
        <f>IF(Q284="","",IF(Q284&lt;=N284,"Yes","No"))</f>
        <v/>
      </c>
      <c r="S284" s="52">
        <f>IF(Q284="","",IF(Q284&lt;=N284,0,NETWORKDAYS.INTL(N284,Q284,INDEX(LR_Code,MATCH(B284,LR_Lane,0)),INDEX(DH_Table,0,MATCH(B284&amp;"*",DH_Head,0)))-1))</f>
        <v/>
      </c>
      <c r="T284" s="127" t="n"/>
      <c r="U284" s="112">
        <f>IF(V284&lt;&gt;"",V284,IF(IFERROR(INDEX(RS_Flag,MATCH(B284,RS_Lane,0)),"")="Yes",IF(IFERROR(INDEX(RS_Loc,MATCH(B284,RS_Lane,0)),"")="","Regional stock",IFERROR(INDEX(RS_Loc,MATCH(B284,RS_Lane,0)),"")),"Helmond"))</f>
        <v/>
      </c>
      <c r="V284" s="141" t="n"/>
      <c r="W284" s="142" t="n"/>
      <c r="X284" s="143" t="n"/>
      <c r="Y284" s="116">
        <f>IF(X284&lt;&gt;"",X284,IF(U284="Helmond",IF(COUNTIFS(RC_Lane,B284,RC_Band,E284,RC_CostPS,"&gt;0")=0,"",SUMIFS(RC_CostPS,RC_Lane,B284,RC_Band,E284)*(1-SUMIFS(RC_Disc,RC_Lane,B284,RC_Band,E284))),IF(U284="Other","",IF(INDEX(RS_Rate,MATCH(B284,RS_Lane,0))="","",INDEX(RS_Rate,MATCH(B284,RS_Lane,0))))))</f>
        <v/>
      </c>
    </row>
    <row r="285">
      <c r="A285" s="95" t="inlineStr">
        <is>
          <t>B-281</t>
        </is>
      </c>
      <c r="B285" s="112" t="inlineStr">
        <is>
          <t>L01</t>
        </is>
      </c>
      <c r="C285" s="101" t="inlineStr">
        <is>
          <t>Saudi Arabia</t>
        </is>
      </c>
      <c r="D285" s="101" t="inlineStr">
        <is>
          <t>Riyadh</t>
        </is>
      </c>
      <c r="E285" s="101" t="inlineStr">
        <is>
          <t>B2  30 to 100 kg</t>
        </is>
      </c>
      <c r="F285" s="123" t="n">
        <v>54</v>
      </c>
      <c r="G285" s="86">
        <f>F285*0.006477</f>
        <v/>
      </c>
      <c r="H285" s="123">
        <f>F285*1.079436</f>
        <v/>
      </c>
      <c r="I285" s="122">
        <f>MAX(1,ROUNDUP(G285/0.096,0))</f>
        <v/>
      </c>
      <c r="J285" s="84" t="n">
        <v>46700</v>
      </c>
      <c r="K285" s="87">
        <f>J285-WEEKDAY(J285,2)+1</f>
        <v/>
      </c>
      <c r="L285" s="84">
        <f>J285</f>
        <v/>
      </c>
      <c r="M285" s="52">
        <f>INDEX(LR_Target,MATCH(B285,LR_Lane,0))</f>
        <v/>
      </c>
      <c r="N285" s="84">
        <f>WORKDAY.INTL(L285,M285,INDEX(LR_Code,MATCH(B285,LR_Lane,0)),INDEX(DH_Table,0,MATCH(B285&amp;"*",DH_Head,0)))</f>
        <v/>
      </c>
      <c r="O285" s="65">
        <f>IF(W285&lt;&gt;"",W285,IF(U285="Helmond",IF(COUNTIFS(RC_Lane,B285,RC_Band,E285,RC_Transit,"&lt;&gt;")=0,"",SUMIFS(RC_Transit,RC_Lane,B285,RC_Band,E285)),IF(U285="Other","",IF(INDEX(RS_Transit,MATCH(B285,RS_Lane,0))="","",INDEX(RS_Transit,MATCH(B285,RS_Lane,0))))))</f>
        <v/>
      </c>
      <c r="P285" s="140" t="n"/>
      <c r="Q285" s="84">
        <f>IF(P285&lt;&gt;"",P285,IF(O285="","",WORKDAY.INTL(L285,ROUNDUP(O285,0),INDEX(LR_Code,MATCH(B285,LR_Lane,0)),INDEX(DH_Table,0,MATCH(B285&amp;"*",DH_Head,0)))))</f>
        <v/>
      </c>
      <c r="R285" s="100">
        <f>IF(Q285="","",IF(Q285&lt;=N285,"Yes","No"))</f>
        <v/>
      </c>
      <c r="S285" s="52">
        <f>IF(Q285="","",IF(Q285&lt;=N285,0,NETWORKDAYS.INTL(N285,Q285,INDEX(LR_Code,MATCH(B285,LR_Lane,0)),INDEX(DH_Table,0,MATCH(B285&amp;"*",DH_Head,0)))-1))</f>
        <v/>
      </c>
      <c r="T285" s="127" t="n"/>
      <c r="U285" s="112">
        <f>IF(V285&lt;&gt;"",V285,IF(IFERROR(INDEX(RS_Flag,MATCH(B285,RS_Lane,0)),"")="Yes",IF(IFERROR(INDEX(RS_Loc,MATCH(B285,RS_Lane,0)),"")="","Regional stock",IFERROR(INDEX(RS_Loc,MATCH(B285,RS_Lane,0)),"")),"Helmond"))</f>
        <v/>
      </c>
      <c r="V285" s="141" t="n"/>
      <c r="W285" s="142" t="n"/>
      <c r="X285" s="143" t="n"/>
      <c r="Y285" s="116">
        <f>IF(X285&lt;&gt;"",X285,IF(U285="Helmond",IF(COUNTIFS(RC_Lane,B285,RC_Band,E285,RC_CostPS,"&gt;0")=0,"",SUMIFS(RC_CostPS,RC_Lane,B285,RC_Band,E285)*(1-SUMIFS(RC_Disc,RC_Lane,B285,RC_Band,E285))),IF(U285="Other","",IF(INDEX(RS_Rate,MATCH(B285,RS_Lane,0))="","",INDEX(RS_Rate,MATCH(B285,RS_Lane,0))))))</f>
        <v/>
      </c>
    </row>
    <row r="286">
      <c r="A286" s="95" t="inlineStr">
        <is>
          <t>B-282</t>
        </is>
      </c>
      <c r="B286" s="112" t="inlineStr">
        <is>
          <t>L04</t>
        </is>
      </c>
      <c r="C286" s="101" t="inlineStr">
        <is>
          <t>Qatar</t>
        </is>
      </c>
      <c r="D286" s="101" t="inlineStr">
        <is>
          <t>Doha</t>
        </is>
      </c>
      <c r="E286" s="101" t="inlineStr">
        <is>
          <t>B1  0 to 30 kg</t>
        </is>
      </c>
      <c r="F286" s="123" t="n">
        <v>12.9</v>
      </c>
      <c r="G286" s="86">
        <f>F286*0.006477</f>
        <v/>
      </c>
      <c r="H286" s="123">
        <f>F286*1.079436</f>
        <v/>
      </c>
      <c r="I286" s="122">
        <f>MAX(1,ROUNDUP(G286/0.096,0))</f>
        <v/>
      </c>
      <c r="J286" s="84" t="n">
        <v>46700</v>
      </c>
      <c r="K286" s="87">
        <f>J286-WEEKDAY(J286,2)+1</f>
        <v/>
      </c>
      <c r="L286" s="84">
        <f>J286</f>
        <v/>
      </c>
      <c r="M286" s="52">
        <f>INDEX(LR_Target,MATCH(B286,LR_Lane,0))</f>
        <v/>
      </c>
      <c r="N286" s="84">
        <f>WORKDAY.INTL(L286,M286,INDEX(LR_Code,MATCH(B286,LR_Lane,0)),INDEX(DH_Table,0,MATCH(B286&amp;"*",DH_Head,0)))</f>
        <v/>
      </c>
      <c r="O286" s="65">
        <f>IF(W286&lt;&gt;"",W286,IF(U286="Helmond",IF(COUNTIFS(RC_Lane,B286,RC_Band,E286,RC_Transit,"&lt;&gt;")=0,"",SUMIFS(RC_Transit,RC_Lane,B286,RC_Band,E286)),IF(U286="Other","",IF(INDEX(RS_Transit,MATCH(B286,RS_Lane,0))="","",INDEX(RS_Transit,MATCH(B286,RS_Lane,0))))))</f>
        <v/>
      </c>
      <c r="P286" s="140" t="n"/>
      <c r="Q286" s="84">
        <f>IF(P286&lt;&gt;"",P286,IF(O286="","",WORKDAY.INTL(L286,ROUNDUP(O286,0),INDEX(LR_Code,MATCH(B286,LR_Lane,0)),INDEX(DH_Table,0,MATCH(B286&amp;"*",DH_Head,0)))))</f>
        <v/>
      </c>
      <c r="R286" s="100">
        <f>IF(Q286="","",IF(Q286&lt;=N286,"Yes","No"))</f>
        <v/>
      </c>
      <c r="S286" s="52">
        <f>IF(Q286="","",IF(Q286&lt;=N286,0,NETWORKDAYS.INTL(N286,Q286,INDEX(LR_Code,MATCH(B286,LR_Lane,0)),INDEX(DH_Table,0,MATCH(B286&amp;"*",DH_Head,0)))-1))</f>
        <v/>
      </c>
      <c r="T286" s="127" t="n"/>
      <c r="U286" s="112">
        <f>IF(V286&lt;&gt;"",V286,IF(IFERROR(INDEX(RS_Flag,MATCH(B286,RS_Lane,0)),"")="Yes",IF(IFERROR(INDEX(RS_Loc,MATCH(B286,RS_Lane,0)),"")="","Regional stock",IFERROR(INDEX(RS_Loc,MATCH(B286,RS_Lane,0)),"")),"Helmond"))</f>
        <v/>
      </c>
      <c r="V286" s="141" t="n"/>
      <c r="W286" s="142" t="n"/>
      <c r="X286" s="143" t="n"/>
      <c r="Y286" s="116">
        <f>IF(X286&lt;&gt;"",X286,IF(U286="Helmond",IF(COUNTIFS(RC_Lane,B286,RC_Band,E286,RC_CostPS,"&gt;0")=0,"",SUMIFS(RC_CostPS,RC_Lane,B286,RC_Band,E286)*(1-SUMIFS(RC_Disc,RC_Lane,B286,RC_Band,E286))),IF(U286="Other","",IF(INDEX(RS_Rate,MATCH(B286,RS_Lane,0))="","",INDEX(RS_Rate,MATCH(B286,RS_Lane,0))))))</f>
        <v/>
      </c>
    </row>
    <row r="287">
      <c r="A287" s="95" t="inlineStr">
        <is>
          <t>B-283</t>
        </is>
      </c>
      <c r="B287" s="112" t="inlineStr">
        <is>
          <t>L02</t>
        </is>
      </c>
      <c r="C287" s="101" t="inlineStr">
        <is>
          <t>United Arab Emirates</t>
        </is>
      </c>
      <c r="D287" s="101" t="inlineStr">
        <is>
          <t>Dubai</t>
        </is>
      </c>
      <c r="E287" s="101" t="inlineStr">
        <is>
          <t>B1  0 to 30 kg</t>
        </is>
      </c>
      <c r="F287" s="123" t="n">
        <v>3.3</v>
      </c>
      <c r="G287" s="86">
        <f>F287*0.006477</f>
        <v/>
      </c>
      <c r="H287" s="123">
        <f>F287*1.079436</f>
        <v/>
      </c>
      <c r="I287" s="122">
        <f>MAX(1,ROUNDUP(G287/0.096,0))</f>
        <v/>
      </c>
      <c r="J287" s="84" t="n">
        <v>46701</v>
      </c>
      <c r="K287" s="87">
        <f>J287-WEEKDAY(J287,2)+1</f>
        <v/>
      </c>
      <c r="L287" s="84">
        <f>J287</f>
        <v/>
      </c>
      <c r="M287" s="52">
        <f>INDEX(LR_Target,MATCH(B287,LR_Lane,0))</f>
        <v/>
      </c>
      <c r="N287" s="84">
        <f>WORKDAY.INTL(L287,M287,INDEX(LR_Code,MATCH(B287,LR_Lane,0)),INDEX(DH_Table,0,MATCH(B287&amp;"*",DH_Head,0)))</f>
        <v/>
      </c>
      <c r="O287" s="65">
        <f>IF(W287&lt;&gt;"",W287,IF(U287="Helmond",IF(COUNTIFS(RC_Lane,B287,RC_Band,E287,RC_Transit,"&lt;&gt;")=0,"",SUMIFS(RC_Transit,RC_Lane,B287,RC_Band,E287)),IF(U287="Other","",IF(INDEX(RS_Transit,MATCH(B287,RS_Lane,0))="","",INDEX(RS_Transit,MATCH(B287,RS_Lane,0))))))</f>
        <v/>
      </c>
      <c r="P287" s="140" t="n"/>
      <c r="Q287" s="84">
        <f>IF(P287&lt;&gt;"",P287,IF(O287="","",WORKDAY.INTL(L287,ROUNDUP(O287,0),INDEX(LR_Code,MATCH(B287,LR_Lane,0)),INDEX(DH_Table,0,MATCH(B287&amp;"*",DH_Head,0)))))</f>
        <v/>
      </c>
      <c r="R287" s="100">
        <f>IF(Q287="","",IF(Q287&lt;=N287,"Yes","No"))</f>
        <v/>
      </c>
      <c r="S287" s="52">
        <f>IF(Q287="","",IF(Q287&lt;=N287,0,NETWORKDAYS.INTL(N287,Q287,INDEX(LR_Code,MATCH(B287,LR_Lane,0)),INDEX(DH_Table,0,MATCH(B287&amp;"*",DH_Head,0)))-1))</f>
        <v/>
      </c>
      <c r="T287" s="127" t="n"/>
      <c r="U287" s="112">
        <f>IF(V287&lt;&gt;"",V287,IF(IFERROR(INDEX(RS_Flag,MATCH(B287,RS_Lane,0)),"")="Yes",IF(IFERROR(INDEX(RS_Loc,MATCH(B287,RS_Lane,0)),"")="","Regional stock",IFERROR(INDEX(RS_Loc,MATCH(B287,RS_Lane,0)),"")),"Helmond"))</f>
        <v/>
      </c>
      <c r="V287" s="141" t="n"/>
      <c r="W287" s="142" t="n"/>
      <c r="X287" s="143" t="n"/>
      <c r="Y287" s="116">
        <f>IF(X287&lt;&gt;"",X287,IF(U287="Helmond",IF(COUNTIFS(RC_Lane,B287,RC_Band,E287,RC_CostPS,"&gt;0")=0,"",SUMIFS(RC_CostPS,RC_Lane,B287,RC_Band,E287)*(1-SUMIFS(RC_Disc,RC_Lane,B287,RC_Band,E287))),IF(U287="Other","",IF(INDEX(RS_Rate,MATCH(B287,RS_Lane,0))="","",INDEX(RS_Rate,MATCH(B287,RS_Lane,0))))))</f>
        <v/>
      </c>
    </row>
    <row r="288">
      <c r="A288" s="95" t="inlineStr">
        <is>
          <t>B-284</t>
        </is>
      </c>
      <c r="B288" s="112" t="inlineStr">
        <is>
          <t>L05</t>
        </is>
      </c>
      <c r="C288" s="101" t="inlineStr">
        <is>
          <t>Türkiye</t>
        </is>
      </c>
      <c r="D288" s="101" t="inlineStr">
        <is>
          <t>Istanbul</t>
        </is>
      </c>
      <c r="E288" s="101" t="inlineStr">
        <is>
          <t>B3  100 to 500 kg</t>
        </is>
      </c>
      <c r="F288" s="123" t="n">
        <v>343.1</v>
      </c>
      <c r="G288" s="86">
        <f>F288*0.006477</f>
        <v/>
      </c>
      <c r="H288" s="123">
        <f>F288*1.079436</f>
        <v/>
      </c>
      <c r="I288" s="122">
        <f>MAX(1,ROUNDUP(G288/0.096,0))</f>
        <v/>
      </c>
      <c r="J288" s="84" t="n">
        <v>46701</v>
      </c>
      <c r="K288" s="87">
        <f>J288-WEEKDAY(J288,2)+1</f>
        <v/>
      </c>
      <c r="L288" s="84">
        <f>J288</f>
        <v/>
      </c>
      <c r="M288" s="52">
        <f>INDEX(LR_Target,MATCH(B288,LR_Lane,0))</f>
        <v/>
      </c>
      <c r="N288" s="84">
        <f>WORKDAY.INTL(L288,M288,INDEX(LR_Code,MATCH(B288,LR_Lane,0)),INDEX(DH_Table,0,MATCH(B288&amp;"*",DH_Head,0)))</f>
        <v/>
      </c>
      <c r="O288" s="65">
        <f>IF(W288&lt;&gt;"",W288,IF(U288="Helmond",IF(COUNTIFS(RC_Lane,B288,RC_Band,E288,RC_Transit,"&lt;&gt;")=0,"",SUMIFS(RC_Transit,RC_Lane,B288,RC_Band,E288)),IF(U288="Other","",IF(INDEX(RS_Transit,MATCH(B288,RS_Lane,0))="","",INDEX(RS_Transit,MATCH(B288,RS_Lane,0))))))</f>
        <v/>
      </c>
      <c r="P288" s="140" t="n"/>
      <c r="Q288" s="84">
        <f>IF(P288&lt;&gt;"",P288,IF(O288="","",WORKDAY.INTL(L288,ROUNDUP(O288,0),INDEX(LR_Code,MATCH(B288,LR_Lane,0)),INDEX(DH_Table,0,MATCH(B288&amp;"*",DH_Head,0)))))</f>
        <v/>
      </c>
      <c r="R288" s="100">
        <f>IF(Q288="","",IF(Q288&lt;=N288,"Yes","No"))</f>
        <v/>
      </c>
      <c r="S288" s="52">
        <f>IF(Q288="","",IF(Q288&lt;=N288,0,NETWORKDAYS.INTL(N288,Q288,INDEX(LR_Code,MATCH(B288,LR_Lane,0)),INDEX(DH_Table,0,MATCH(B288&amp;"*",DH_Head,0)))-1))</f>
        <v/>
      </c>
      <c r="T288" s="127" t="n"/>
      <c r="U288" s="112">
        <f>IF(V288&lt;&gt;"",V288,IF(IFERROR(INDEX(RS_Flag,MATCH(B288,RS_Lane,0)),"")="Yes",IF(IFERROR(INDEX(RS_Loc,MATCH(B288,RS_Lane,0)),"")="","Regional stock",IFERROR(INDEX(RS_Loc,MATCH(B288,RS_Lane,0)),"")),"Helmond"))</f>
        <v/>
      </c>
      <c r="V288" s="141" t="n"/>
      <c r="W288" s="142" t="n"/>
      <c r="X288" s="143" t="n"/>
      <c r="Y288" s="116">
        <f>IF(X288&lt;&gt;"",X288,IF(U288="Helmond",IF(COUNTIFS(RC_Lane,B288,RC_Band,E288,RC_CostPS,"&gt;0")=0,"",SUMIFS(RC_CostPS,RC_Lane,B288,RC_Band,E288)*(1-SUMIFS(RC_Disc,RC_Lane,B288,RC_Band,E288))),IF(U288="Other","",IF(INDEX(RS_Rate,MATCH(B288,RS_Lane,0))="","",INDEX(RS_Rate,MATCH(B288,RS_Lane,0))))))</f>
        <v/>
      </c>
    </row>
    <row r="289">
      <c r="A289" s="95" t="inlineStr">
        <is>
          <t>B-285</t>
        </is>
      </c>
      <c r="B289" s="112" t="inlineStr">
        <is>
          <t>L08</t>
        </is>
      </c>
      <c r="C289" s="101" t="inlineStr">
        <is>
          <t>Egypt</t>
        </is>
      </c>
      <c r="D289" s="101" t="inlineStr">
        <is>
          <t>Cairo area</t>
        </is>
      </c>
      <c r="E289" s="101" t="inlineStr">
        <is>
          <t>B4  500 to 2,000 kg</t>
        </is>
      </c>
      <c r="F289" s="123" t="n">
        <v>941.5</v>
      </c>
      <c r="G289" s="86">
        <f>F289*0.006477</f>
        <v/>
      </c>
      <c r="H289" s="123">
        <f>F289*1.079436</f>
        <v/>
      </c>
      <c r="I289" s="122">
        <f>MAX(1,ROUNDUP(G289/0.096,0))</f>
        <v/>
      </c>
      <c r="J289" s="84" t="n">
        <v>46701</v>
      </c>
      <c r="K289" s="87">
        <f>J289-WEEKDAY(J289,2)+1</f>
        <v/>
      </c>
      <c r="L289" s="84">
        <f>J289</f>
        <v/>
      </c>
      <c r="M289" s="52">
        <f>INDEX(LR_Target,MATCH(B289,LR_Lane,0))</f>
        <v/>
      </c>
      <c r="N289" s="84">
        <f>WORKDAY.INTL(L289,M289,INDEX(LR_Code,MATCH(B289,LR_Lane,0)),INDEX(DH_Table,0,MATCH(B289&amp;"*",DH_Head,0)))</f>
        <v/>
      </c>
      <c r="O289" s="65">
        <f>IF(W289&lt;&gt;"",W289,IF(U289="Helmond",IF(COUNTIFS(RC_Lane,B289,RC_Band,E289,RC_Transit,"&lt;&gt;")=0,"",SUMIFS(RC_Transit,RC_Lane,B289,RC_Band,E289)),IF(U289="Other","",IF(INDEX(RS_Transit,MATCH(B289,RS_Lane,0))="","",INDEX(RS_Transit,MATCH(B289,RS_Lane,0))))))</f>
        <v/>
      </c>
      <c r="P289" s="140" t="n"/>
      <c r="Q289" s="84">
        <f>IF(P289&lt;&gt;"",P289,IF(O289="","",WORKDAY.INTL(L289,ROUNDUP(O289,0),INDEX(LR_Code,MATCH(B289,LR_Lane,0)),INDEX(DH_Table,0,MATCH(B289&amp;"*",DH_Head,0)))))</f>
        <v/>
      </c>
      <c r="R289" s="100">
        <f>IF(Q289="","",IF(Q289&lt;=N289,"Yes","No"))</f>
        <v/>
      </c>
      <c r="S289" s="52">
        <f>IF(Q289="","",IF(Q289&lt;=N289,0,NETWORKDAYS.INTL(N289,Q289,INDEX(LR_Code,MATCH(B289,LR_Lane,0)),INDEX(DH_Table,0,MATCH(B289&amp;"*",DH_Head,0)))-1))</f>
        <v/>
      </c>
      <c r="T289" s="127" t="n"/>
      <c r="U289" s="112">
        <f>IF(V289&lt;&gt;"",V289,IF(IFERROR(INDEX(RS_Flag,MATCH(B289,RS_Lane,0)),"")="Yes",IF(IFERROR(INDEX(RS_Loc,MATCH(B289,RS_Lane,0)),"")="","Regional stock",IFERROR(INDEX(RS_Loc,MATCH(B289,RS_Lane,0)),"")),"Helmond"))</f>
        <v/>
      </c>
      <c r="V289" s="141" t="n"/>
      <c r="W289" s="142" t="n"/>
      <c r="X289" s="143" t="n"/>
      <c r="Y289" s="116">
        <f>IF(X289&lt;&gt;"",X289,IF(U289="Helmond",IF(COUNTIFS(RC_Lane,B289,RC_Band,E289,RC_CostPS,"&gt;0")=0,"",SUMIFS(RC_CostPS,RC_Lane,B289,RC_Band,E289)*(1-SUMIFS(RC_Disc,RC_Lane,B289,RC_Band,E289))),IF(U289="Other","",IF(INDEX(RS_Rate,MATCH(B289,RS_Lane,0))="","",INDEX(RS_Rate,MATCH(B289,RS_Lane,0))))))</f>
        <v/>
      </c>
    </row>
    <row r="290">
      <c r="A290" s="95" t="inlineStr">
        <is>
          <t>B-286</t>
        </is>
      </c>
      <c r="B290" s="112" t="inlineStr">
        <is>
          <t>L05</t>
        </is>
      </c>
      <c r="C290" s="101" t="inlineStr">
        <is>
          <t>Türkiye</t>
        </is>
      </c>
      <c r="D290" s="101" t="inlineStr">
        <is>
          <t>Istanbul</t>
        </is>
      </c>
      <c r="E290" s="101" t="inlineStr">
        <is>
          <t>B2  30 to 100 kg</t>
        </is>
      </c>
      <c r="F290" s="123" t="n">
        <v>73.5</v>
      </c>
      <c r="G290" s="86">
        <f>F290*0.006477</f>
        <v/>
      </c>
      <c r="H290" s="123">
        <f>F290*1.079436</f>
        <v/>
      </c>
      <c r="I290" s="122">
        <f>MAX(1,ROUNDUP(G290/0.096,0))</f>
        <v/>
      </c>
      <c r="J290" s="84" t="n">
        <v>46702</v>
      </c>
      <c r="K290" s="87">
        <f>J290-WEEKDAY(J290,2)+1</f>
        <v/>
      </c>
      <c r="L290" s="84">
        <f>J290</f>
        <v/>
      </c>
      <c r="M290" s="52">
        <f>INDEX(LR_Target,MATCH(B290,LR_Lane,0))</f>
        <v/>
      </c>
      <c r="N290" s="84">
        <f>WORKDAY.INTL(L290,M290,INDEX(LR_Code,MATCH(B290,LR_Lane,0)),INDEX(DH_Table,0,MATCH(B290&amp;"*",DH_Head,0)))</f>
        <v/>
      </c>
      <c r="O290" s="65">
        <f>IF(W290&lt;&gt;"",W290,IF(U290="Helmond",IF(COUNTIFS(RC_Lane,B290,RC_Band,E290,RC_Transit,"&lt;&gt;")=0,"",SUMIFS(RC_Transit,RC_Lane,B290,RC_Band,E290)),IF(U290="Other","",IF(INDEX(RS_Transit,MATCH(B290,RS_Lane,0))="","",INDEX(RS_Transit,MATCH(B290,RS_Lane,0))))))</f>
        <v/>
      </c>
      <c r="P290" s="140" t="n"/>
      <c r="Q290" s="84">
        <f>IF(P290&lt;&gt;"",P290,IF(O290="","",WORKDAY.INTL(L290,ROUNDUP(O290,0),INDEX(LR_Code,MATCH(B290,LR_Lane,0)),INDEX(DH_Table,0,MATCH(B290&amp;"*",DH_Head,0)))))</f>
        <v/>
      </c>
      <c r="R290" s="100">
        <f>IF(Q290="","",IF(Q290&lt;=N290,"Yes","No"))</f>
        <v/>
      </c>
      <c r="S290" s="52">
        <f>IF(Q290="","",IF(Q290&lt;=N290,0,NETWORKDAYS.INTL(N290,Q290,INDEX(LR_Code,MATCH(B290,LR_Lane,0)),INDEX(DH_Table,0,MATCH(B290&amp;"*",DH_Head,0)))-1))</f>
        <v/>
      </c>
      <c r="T290" s="127" t="n"/>
      <c r="U290" s="112">
        <f>IF(V290&lt;&gt;"",V290,IF(IFERROR(INDEX(RS_Flag,MATCH(B290,RS_Lane,0)),"")="Yes",IF(IFERROR(INDEX(RS_Loc,MATCH(B290,RS_Lane,0)),"")="","Regional stock",IFERROR(INDEX(RS_Loc,MATCH(B290,RS_Lane,0)),"")),"Helmond"))</f>
        <v/>
      </c>
      <c r="V290" s="141" t="n"/>
      <c r="W290" s="142" t="n"/>
      <c r="X290" s="143" t="n"/>
      <c r="Y290" s="116">
        <f>IF(X290&lt;&gt;"",X290,IF(U290="Helmond",IF(COUNTIFS(RC_Lane,B290,RC_Band,E290,RC_CostPS,"&gt;0")=0,"",SUMIFS(RC_CostPS,RC_Lane,B290,RC_Band,E290)*(1-SUMIFS(RC_Disc,RC_Lane,B290,RC_Band,E290))),IF(U290="Other","",IF(INDEX(RS_Rate,MATCH(B290,RS_Lane,0))="","",INDEX(RS_Rate,MATCH(B290,RS_Lane,0))))))</f>
        <v/>
      </c>
    </row>
    <row r="291">
      <c r="A291" s="95" t="inlineStr">
        <is>
          <t>B-287</t>
        </is>
      </c>
      <c r="B291" s="112" t="inlineStr">
        <is>
          <t>L01</t>
        </is>
      </c>
      <c r="C291" s="101" t="inlineStr">
        <is>
          <t>Saudi Arabia</t>
        </is>
      </c>
      <c r="D291" s="101" t="inlineStr">
        <is>
          <t>Riyadh</t>
        </is>
      </c>
      <c r="E291" s="101" t="inlineStr">
        <is>
          <t>B1  0 to 30 kg</t>
        </is>
      </c>
      <c r="F291" s="123" t="n">
        <v>3.8</v>
      </c>
      <c r="G291" s="86">
        <f>F291*0.006477</f>
        <v/>
      </c>
      <c r="H291" s="123">
        <f>F291*1.079436</f>
        <v/>
      </c>
      <c r="I291" s="122">
        <f>MAX(1,ROUNDUP(G291/0.096,0))</f>
        <v/>
      </c>
      <c r="J291" s="84" t="n">
        <v>46703</v>
      </c>
      <c r="K291" s="87">
        <f>J291-WEEKDAY(J291,2)+1</f>
        <v/>
      </c>
      <c r="L291" s="84">
        <f>J291</f>
        <v/>
      </c>
      <c r="M291" s="52">
        <f>INDEX(LR_Target,MATCH(B291,LR_Lane,0))</f>
        <v/>
      </c>
      <c r="N291" s="84">
        <f>WORKDAY.INTL(L291,M291,INDEX(LR_Code,MATCH(B291,LR_Lane,0)),INDEX(DH_Table,0,MATCH(B291&amp;"*",DH_Head,0)))</f>
        <v/>
      </c>
      <c r="O291" s="65">
        <f>IF(W291&lt;&gt;"",W291,IF(U291="Helmond",IF(COUNTIFS(RC_Lane,B291,RC_Band,E291,RC_Transit,"&lt;&gt;")=0,"",SUMIFS(RC_Transit,RC_Lane,B291,RC_Band,E291)),IF(U291="Other","",IF(INDEX(RS_Transit,MATCH(B291,RS_Lane,0))="","",INDEX(RS_Transit,MATCH(B291,RS_Lane,0))))))</f>
        <v/>
      </c>
      <c r="P291" s="140" t="n"/>
      <c r="Q291" s="84">
        <f>IF(P291&lt;&gt;"",P291,IF(O291="","",WORKDAY.INTL(L291,ROUNDUP(O291,0),INDEX(LR_Code,MATCH(B291,LR_Lane,0)),INDEX(DH_Table,0,MATCH(B291&amp;"*",DH_Head,0)))))</f>
        <v/>
      </c>
      <c r="R291" s="100">
        <f>IF(Q291="","",IF(Q291&lt;=N291,"Yes","No"))</f>
        <v/>
      </c>
      <c r="S291" s="52">
        <f>IF(Q291="","",IF(Q291&lt;=N291,0,NETWORKDAYS.INTL(N291,Q291,INDEX(LR_Code,MATCH(B291,LR_Lane,0)),INDEX(DH_Table,0,MATCH(B291&amp;"*",DH_Head,0)))-1))</f>
        <v/>
      </c>
      <c r="T291" s="127" t="n"/>
      <c r="U291" s="112">
        <f>IF(V291&lt;&gt;"",V291,IF(IFERROR(INDEX(RS_Flag,MATCH(B291,RS_Lane,0)),"")="Yes",IF(IFERROR(INDEX(RS_Loc,MATCH(B291,RS_Lane,0)),"")="","Regional stock",IFERROR(INDEX(RS_Loc,MATCH(B291,RS_Lane,0)),"")),"Helmond"))</f>
        <v/>
      </c>
      <c r="V291" s="141" t="n"/>
      <c r="W291" s="142" t="n"/>
      <c r="X291" s="143" t="n"/>
      <c r="Y291" s="116">
        <f>IF(X291&lt;&gt;"",X291,IF(U291="Helmond",IF(COUNTIFS(RC_Lane,B291,RC_Band,E291,RC_CostPS,"&gt;0")=0,"",SUMIFS(RC_CostPS,RC_Lane,B291,RC_Band,E291)*(1-SUMIFS(RC_Disc,RC_Lane,B291,RC_Band,E291))),IF(U291="Other","",IF(INDEX(RS_Rate,MATCH(B291,RS_Lane,0))="","",INDEX(RS_Rate,MATCH(B291,RS_Lane,0))))))</f>
        <v/>
      </c>
    </row>
    <row r="292">
      <c r="A292" s="95" t="inlineStr">
        <is>
          <t>B-288</t>
        </is>
      </c>
      <c r="B292" s="112" t="inlineStr">
        <is>
          <t>L01</t>
        </is>
      </c>
      <c r="C292" s="101" t="inlineStr">
        <is>
          <t>Saudi Arabia</t>
        </is>
      </c>
      <c r="D292" s="101" t="inlineStr">
        <is>
          <t>Riyadh</t>
        </is>
      </c>
      <c r="E292" s="101" t="inlineStr">
        <is>
          <t>B1  0 to 30 kg</t>
        </is>
      </c>
      <c r="F292" s="123" t="n">
        <v>9.6</v>
      </c>
      <c r="G292" s="86">
        <f>F292*0.006477</f>
        <v/>
      </c>
      <c r="H292" s="123">
        <f>F292*1.079436</f>
        <v/>
      </c>
      <c r="I292" s="122">
        <f>MAX(1,ROUNDUP(G292/0.096,0))</f>
        <v/>
      </c>
      <c r="J292" s="84" t="n">
        <v>46706</v>
      </c>
      <c r="K292" s="87">
        <f>J292-WEEKDAY(J292,2)+1</f>
        <v/>
      </c>
      <c r="L292" s="84">
        <f>J292</f>
        <v/>
      </c>
      <c r="M292" s="52">
        <f>INDEX(LR_Target,MATCH(B292,LR_Lane,0))</f>
        <v/>
      </c>
      <c r="N292" s="84">
        <f>WORKDAY.INTL(L292,M292,INDEX(LR_Code,MATCH(B292,LR_Lane,0)),INDEX(DH_Table,0,MATCH(B292&amp;"*",DH_Head,0)))</f>
        <v/>
      </c>
      <c r="O292" s="65">
        <f>IF(W292&lt;&gt;"",W292,IF(U292="Helmond",IF(COUNTIFS(RC_Lane,B292,RC_Band,E292,RC_Transit,"&lt;&gt;")=0,"",SUMIFS(RC_Transit,RC_Lane,B292,RC_Band,E292)),IF(U292="Other","",IF(INDEX(RS_Transit,MATCH(B292,RS_Lane,0))="","",INDEX(RS_Transit,MATCH(B292,RS_Lane,0))))))</f>
        <v/>
      </c>
      <c r="P292" s="140" t="n"/>
      <c r="Q292" s="84">
        <f>IF(P292&lt;&gt;"",P292,IF(O292="","",WORKDAY.INTL(L292,ROUNDUP(O292,0),INDEX(LR_Code,MATCH(B292,LR_Lane,0)),INDEX(DH_Table,0,MATCH(B292&amp;"*",DH_Head,0)))))</f>
        <v/>
      </c>
      <c r="R292" s="100">
        <f>IF(Q292="","",IF(Q292&lt;=N292,"Yes","No"))</f>
        <v/>
      </c>
      <c r="S292" s="52">
        <f>IF(Q292="","",IF(Q292&lt;=N292,0,NETWORKDAYS.INTL(N292,Q292,INDEX(LR_Code,MATCH(B292,LR_Lane,0)),INDEX(DH_Table,0,MATCH(B292&amp;"*",DH_Head,0)))-1))</f>
        <v/>
      </c>
      <c r="T292" s="127" t="n"/>
      <c r="U292" s="112">
        <f>IF(V292&lt;&gt;"",V292,IF(IFERROR(INDEX(RS_Flag,MATCH(B292,RS_Lane,0)),"")="Yes",IF(IFERROR(INDEX(RS_Loc,MATCH(B292,RS_Lane,0)),"")="","Regional stock",IFERROR(INDEX(RS_Loc,MATCH(B292,RS_Lane,0)),"")),"Helmond"))</f>
        <v/>
      </c>
      <c r="V292" s="141" t="n"/>
      <c r="W292" s="142" t="n"/>
      <c r="X292" s="143" t="n"/>
      <c r="Y292" s="116">
        <f>IF(X292&lt;&gt;"",X292,IF(U292="Helmond",IF(COUNTIFS(RC_Lane,B292,RC_Band,E292,RC_CostPS,"&gt;0")=0,"",SUMIFS(RC_CostPS,RC_Lane,B292,RC_Band,E292)*(1-SUMIFS(RC_Disc,RC_Lane,B292,RC_Band,E292))),IF(U292="Other","",IF(INDEX(RS_Rate,MATCH(B292,RS_Lane,0))="","",INDEX(RS_Rate,MATCH(B292,RS_Lane,0))))))</f>
        <v/>
      </c>
    </row>
    <row r="293">
      <c r="A293" s="95" t="inlineStr">
        <is>
          <t>B-289</t>
        </is>
      </c>
      <c r="B293" s="112" t="inlineStr">
        <is>
          <t>L01</t>
        </is>
      </c>
      <c r="C293" s="101" t="inlineStr">
        <is>
          <t>Saudi Arabia</t>
        </is>
      </c>
      <c r="D293" s="101" t="inlineStr">
        <is>
          <t>Riyadh</t>
        </is>
      </c>
      <c r="E293" s="101" t="inlineStr">
        <is>
          <t>B3  100 to 500 kg</t>
        </is>
      </c>
      <c r="F293" s="123" t="n">
        <v>207.6</v>
      </c>
      <c r="G293" s="86">
        <f>F293*0.006477</f>
        <v/>
      </c>
      <c r="H293" s="123">
        <f>F293*1.079436</f>
        <v/>
      </c>
      <c r="I293" s="122">
        <f>MAX(1,ROUNDUP(G293/0.096,0))</f>
        <v/>
      </c>
      <c r="J293" s="84" t="n">
        <v>46706</v>
      </c>
      <c r="K293" s="87">
        <f>J293-WEEKDAY(J293,2)+1</f>
        <v/>
      </c>
      <c r="L293" s="84">
        <f>J293</f>
        <v/>
      </c>
      <c r="M293" s="52">
        <f>INDEX(LR_Target,MATCH(B293,LR_Lane,0))</f>
        <v/>
      </c>
      <c r="N293" s="84">
        <f>WORKDAY.INTL(L293,M293,INDEX(LR_Code,MATCH(B293,LR_Lane,0)),INDEX(DH_Table,0,MATCH(B293&amp;"*",DH_Head,0)))</f>
        <v/>
      </c>
      <c r="O293" s="65">
        <f>IF(W293&lt;&gt;"",W293,IF(U293="Helmond",IF(COUNTIFS(RC_Lane,B293,RC_Band,E293,RC_Transit,"&lt;&gt;")=0,"",SUMIFS(RC_Transit,RC_Lane,B293,RC_Band,E293)),IF(U293="Other","",IF(INDEX(RS_Transit,MATCH(B293,RS_Lane,0))="","",INDEX(RS_Transit,MATCH(B293,RS_Lane,0))))))</f>
        <v/>
      </c>
      <c r="P293" s="140" t="n"/>
      <c r="Q293" s="84">
        <f>IF(P293&lt;&gt;"",P293,IF(O293="","",WORKDAY.INTL(L293,ROUNDUP(O293,0),INDEX(LR_Code,MATCH(B293,LR_Lane,0)),INDEX(DH_Table,0,MATCH(B293&amp;"*",DH_Head,0)))))</f>
        <v/>
      </c>
      <c r="R293" s="100">
        <f>IF(Q293="","",IF(Q293&lt;=N293,"Yes","No"))</f>
        <v/>
      </c>
      <c r="S293" s="52">
        <f>IF(Q293="","",IF(Q293&lt;=N293,0,NETWORKDAYS.INTL(N293,Q293,INDEX(LR_Code,MATCH(B293,LR_Lane,0)),INDEX(DH_Table,0,MATCH(B293&amp;"*",DH_Head,0)))-1))</f>
        <v/>
      </c>
      <c r="T293" s="127" t="n"/>
      <c r="U293" s="112">
        <f>IF(V293&lt;&gt;"",V293,IF(IFERROR(INDEX(RS_Flag,MATCH(B293,RS_Lane,0)),"")="Yes",IF(IFERROR(INDEX(RS_Loc,MATCH(B293,RS_Lane,0)),"")="","Regional stock",IFERROR(INDEX(RS_Loc,MATCH(B293,RS_Lane,0)),"")),"Helmond"))</f>
        <v/>
      </c>
      <c r="V293" s="141" t="n"/>
      <c r="W293" s="142" t="n"/>
      <c r="X293" s="143" t="n"/>
      <c r="Y293" s="116">
        <f>IF(X293&lt;&gt;"",X293,IF(U293="Helmond",IF(COUNTIFS(RC_Lane,B293,RC_Band,E293,RC_CostPS,"&gt;0")=0,"",SUMIFS(RC_CostPS,RC_Lane,B293,RC_Band,E293)*(1-SUMIFS(RC_Disc,RC_Lane,B293,RC_Band,E293))),IF(U293="Other","",IF(INDEX(RS_Rate,MATCH(B293,RS_Lane,0))="","",INDEX(RS_Rate,MATCH(B293,RS_Lane,0))))))</f>
        <v/>
      </c>
    </row>
    <row r="294">
      <c r="A294" s="95" t="inlineStr">
        <is>
          <t>B-290</t>
        </is>
      </c>
      <c r="B294" s="112" t="inlineStr">
        <is>
          <t>L01</t>
        </is>
      </c>
      <c r="C294" s="101" t="inlineStr">
        <is>
          <t>Saudi Arabia</t>
        </is>
      </c>
      <c r="D294" s="101" t="inlineStr">
        <is>
          <t>Jeddah</t>
        </is>
      </c>
      <c r="E294" s="101" t="inlineStr">
        <is>
          <t>B4  500 to 2,000 kg</t>
        </is>
      </c>
      <c r="F294" s="123" t="n">
        <v>734.5</v>
      </c>
      <c r="G294" s="86">
        <f>F294*0.006477</f>
        <v/>
      </c>
      <c r="H294" s="123">
        <f>F294*1.079436</f>
        <v/>
      </c>
      <c r="I294" s="122">
        <f>MAX(1,ROUNDUP(G294/0.096,0))</f>
        <v/>
      </c>
      <c r="J294" s="84" t="n">
        <v>46708</v>
      </c>
      <c r="K294" s="87">
        <f>J294-WEEKDAY(J294,2)+1</f>
        <v/>
      </c>
      <c r="L294" s="84">
        <f>J294</f>
        <v/>
      </c>
      <c r="M294" s="52">
        <f>INDEX(LR_Target,MATCH(B294,LR_Lane,0))</f>
        <v/>
      </c>
      <c r="N294" s="84">
        <f>WORKDAY.INTL(L294,M294,INDEX(LR_Code,MATCH(B294,LR_Lane,0)),INDEX(DH_Table,0,MATCH(B294&amp;"*",DH_Head,0)))</f>
        <v/>
      </c>
      <c r="O294" s="65">
        <f>IF(W294&lt;&gt;"",W294,IF(U294="Helmond",IF(COUNTIFS(RC_Lane,B294,RC_Band,E294,RC_Transit,"&lt;&gt;")=0,"",SUMIFS(RC_Transit,RC_Lane,B294,RC_Band,E294)),IF(U294="Other","",IF(INDEX(RS_Transit,MATCH(B294,RS_Lane,0))="","",INDEX(RS_Transit,MATCH(B294,RS_Lane,0))))))</f>
        <v/>
      </c>
      <c r="P294" s="140" t="n"/>
      <c r="Q294" s="84">
        <f>IF(P294&lt;&gt;"",P294,IF(O294="","",WORKDAY.INTL(L294,ROUNDUP(O294,0),INDEX(LR_Code,MATCH(B294,LR_Lane,0)),INDEX(DH_Table,0,MATCH(B294&amp;"*",DH_Head,0)))))</f>
        <v/>
      </c>
      <c r="R294" s="100">
        <f>IF(Q294="","",IF(Q294&lt;=N294,"Yes","No"))</f>
        <v/>
      </c>
      <c r="S294" s="52">
        <f>IF(Q294="","",IF(Q294&lt;=N294,0,NETWORKDAYS.INTL(N294,Q294,INDEX(LR_Code,MATCH(B294,LR_Lane,0)),INDEX(DH_Table,0,MATCH(B294&amp;"*",DH_Head,0)))-1))</f>
        <v/>
      </c>
      <c r="T294" s="127" t="n"/>
      <c r="U294" s="112">
        <f>IF(V294&lt;&gt;"",V294,IF(IFERROR(INDEX(RS_Flag,MATCH(B294,RS_Lane,0)),"")="Yes",IF(IFERROR(INDEX(RS_Loc,MATCH(B294,RS_Lane,0)),"")="","Regional stock",IFERROR(INDEX(RS_Loc,MATCH(B294,RS_Lane,0)),"")),"Helmond"))</f>
        <v/>
      </c>
      <c r="V294" s="141" t="n"/>
      <c r="W294" s="142" t="n"/>
      <c r="X294" s="143" t="n"/>
      <c r="Y294" s="116">
        <f>IF(X294&lt;&gt;"",X294,IF(U294="Helmond",IF(COUNTIFS(RC_Lane,B294,RC_Band,E294,RC_CostPS,"&gt;0")=0,"",SUMIFS(RC_CostPS,RC_Lane,B294,RC_Band,E294)*(1-SUMIFS(RC_Disc,RC_Lane,B294,RC_Band,E294))),IF(U294="Other","",IF(INDEX(RS_Rate,MATCH(B294,RS_Lane,0))="","",INDEX(RS_Rate,MATCH(B294,RS_Lane,0))))))</f>
        <v/>
      </c>
    </row>
    <row r="295">
      <c r="A295" s="95" t="inlineStr">
        <is>
          <t>B-291</t>
        </is>
      </c>
      <c r="B295" s="112" t="inlineStr">
        <is>
          <t>L01</t>
        </is>
      </c>
      <c r="C295" s="101" t="inlineStr">
        <is>
          <t>Saudi Arabia</t>
        </is>
      </c>
      <c r="D295" s="101" t="inlineStr">
        <is>
          <t>Jeddah</t>
        </is>
      </c>
      <c r="E295" s="101" t="inlineStr">
        <is>
          <t>B1  0 to 30 kg</t>
        </is>
      </c>
      <c r="F295" s="123" t="n">
        <v>6.3</v>
      </c>
      <c r="G295" s="86">
        <f>F295*0.006477</f>
        <v/>
      </c>
      <c r="H295" s="123">
        <f>F295*1.079436</f>
        <v/>
      </c>
      <c r="I295" s="122">
        <f>MAX(1,ROUNDUP(G295/0.096,0))</f>
        <v/>
      </c>
      <c r="J295" s="84" t="n">
        <v>46708</v>
      </c>
      <c r="K295" s="87">
        <f>J295-WEEKDAY(J295,2)+1</f>
        <v/>
      </c>
      <c r="L295" s="84">
        <f>J295</f>
        <v/>
      </c>
      <c r="M295" s="52">
        <f>INDEX(LR_Target,MATCH(B295,LR_Lane,0))</f>
        <v/>
      </c>
      <c r="N295" s="84">
        <f>WORKDAY.INTL(L295,M295,INDEX(LR_Code,MATCH(B295,LR_Lane,0)),INDEX(DH_Table,0,MATCH(B295&amp;"*",DH_Head,0)))</f>
        <v/>
      </c>
      <c r="O295" s="65">
        <f>IF(W295&lt;&gt;"",W295,IF(U295="Helmond",IF(COUNTIFS(RC_Lane,B295,RC_Band,E295,RC_Transit,"&lt;&gt;")=0,"",SUMIFS(RC_Transit,RC_Lane,B295,RC_Band,E295)),IF(U295="Other","",IF(INDEX(RS_Transit,MATCH(B295,RS_Lane,0))="","",INDEX(RS_Transit,MATCH(B295,RS_Lane,0))))))</f>
        <v/>
      </c>
      <c r="P295" s="140" t="n"/>
      <c r="Q295" s="84">
        <f>IF(P295&lt;&gt;"",P295,IF(O295="","",WORKDAY.INTL(L295,ROUNDUP(O295,0),INDEX(LR_Code,MATCH(B295,LR_Lane,0)),INDEX(DH_Table,0,MATCH(B295&amp;"*",DH_Head,0)))))</f>
        <v/>
      </c>
      <c r="R295" s="100">
        <f>IF(Q295="","",IF(Q295&lt;=N295,"Yes","No"))</f>
        <v/>
      </c>
      <c r="S295" s="52">
        <f>IF(Q295="","",IF(Q295&lt;=N295,0,NETWORKDAYS.INTL(N295,Q295,INDEX(LR_Code,MATCH(B295,LR_Lane,0)),INDEX(DH_Table,0,MATCH(B295&amp;"*",DH_Head,0)))-1))</f>
        <v/>
      </c>
      <c r="T295" s="127" t="n"/>
      <c r="U295" s="112">
        <f>IF(V295&lt;&gt;"",V295,IF(IFERROR(INDEX(RS_Flag,MATCH(B295,RS_Lane,0)),"")="Yes",IF(IFERROR(INDEX(RS_Loc,MATCH(B295,RS_Lane,0)),"")="","Regional stock",IFERROR(INDEX(RS_Loc,MATCH(B295,RS_Lane,0)),"")),"Helmond"))</f>
        <v/>
      </c>
      <c r="V295" s="141" t="n"/>
      <c r="W295" s="142" t="n"/>
      <c r="X295" s="143" t="n"/>
      <c r="Y295" s="116">
        <f>IF(X295&lt;&gt;"",X295,IF(U295="Helmond",IF(COUNTIFS(RC_Lane,B295,RC_Band,E295,RC_CostPS,"&gt;0")=0,"",SUMIFS(RC_CostPS,RC_Lane,B295,RC_Band,E295)*(1-SUMIFS(RC_Disc,RC_Lane,B295,RC_Band,E295))),IF(U295="Other","",IF(INDEX(RS_Rate,MATCH(B295,RS_Lane,0))="","",INDEX(RS_Rate,MATCH(B295,RS_Lane,0))))))</f>
        <v/>
      </c>
    </row>
    <row r="296">
      <c r="A296" s="95" t="inlineStr">
        <is>
          <t>B-292</t>
        </is>
      </c>
      <c r="B296" s="112" t="inlineStr">
        <is>
          <t>L06</t>
        </is>
      </c>
      <c r="C296" s="101" t="inlineStr">
        <is>
          <t>Morocco</t>
        </is>
      </c>
      <c r="D296" s="101" t="inlineStr">
        <is>
          <t>Casablanca area</t>
        </is>
      </c>
      <c r="E296" s="101" t="inlineStr">
        <is>
          <t>B1  0 to 30 kg</t>
        </is>
      </c>
      <c r="F296" s="123" t="n">
        <v>1.5</v>
      </c>
      <c r="G296" s="86">
        <f>F296*0.006477</f>
        <v/>
      </c>
      <c r="H296" s="123">
        <f>F296*1.079436</f>
        <v/>
      </c>
      <c r="I296" s="122">
        <f>MAX(1,ROUNDUP(G296/0.096,0))</f>
        <v/>
      </c>
      <c r="J296" s="84" t="n">
        <v>46708</v>
      </c>
      <c r="K296" s="87">
        <f>J296-WEEKDAY(J296,2)+1</f>
        <v/>
      </c>
      <c r="L296" s="84">
        <f>J296</f>
        <v/>
      </c>
      <c r="M296" s="52">
        <f>INDEX(LR_Target,MATCH(B296,LR_Lane,0))</f>
        <v/>
      </c>
      <c r="N296" s="84">
        <f>WORKDAY.INTL(L296,M296,INDEX(LR_Code,MATCH(B296,LR_Lane,0)),INDEX(DH_Table,0,MATCH(B296&amp;"*",DH_Head,0)))</f>
        <v/>
      </c>
      <c r="O296" s="65">
        <f>IF(W296&lt;&gt;"",W296,IF(U296="Helmond",IF(COUNTIFS(RC_Lane,B296,RC_Band,E296,RC_Transit,"&lt;&gt;")=0,"",SUMIFS(RC_Transit,RC_Lane,B296,RC_Band,E296)),IF(U296="Other","",IF(INDEX(RS_Transit,MATCH(B296,RS_Lane,0))="","",INDEX(RS_Transit,MATCH(B296,RS_Lane,0))))))</f>
        <v/>
      </c>
      <c r="P296" s="140" t="n"/>
      <c r="Q296" s="84">
        <f>IF(P296&lt;&gt;"",P296,IF(O296="","",WORKDAY.INTL(L296,ROUNDUP(O296,0),INDEX(LR_Code,MATCH(B296,LR_Lane,0)),INDEX(DH_Table,0,MATCH(B296&amp;"*",DH_Head,0)))))</f>
        <v/>
      </c>
      <c r="R296" s="100">
        <f>IF(Q296="","",IF(Q296&lt;=N296,"Yes","No"))</f>
        <v/>
      </c>
      <c r="S296" s="52">
        <f>IF(Q296="","",IF(Q296&lt;=N296,0,NETWORKDAYS.INTL(N296,Q296,INDEX(LR_Code,MATCH(B296,LR_Lane,0)),INDEX(DH_Table,0,MATCH(B296&amp;"*",DH_Head,0)))-1))</f>
        <v/>
      </c>
      <c r="T296" s="127" t="n"/>
      <c r="U296" s="112">
        <f>IF(V296&lt;&gt;"",V296,IF(IFERROR(INDEX(RS_Flag,MATCH(B296,RS_Lane,0)),"")="Yes",IF(IFERROR(INDEX(RS_Loc,MATCH(B296,RS_Lane,0)),"")="","Regional stock",IFERROR(INDEX(RS_Loc,MATCH(B296,RS_Lane,0)),"")),"Helmond"))</f>
        <v/>
      </c>
      <c r="V296" s="141" t="n"/>
      <c r="W296" s="142" t="n"/>
      <c r="X296" s="143" t="n"/>
      <c r="Y296" s="116">
        <f>IF(X296&lt;&gt;"",X296,IF(U296="Helmond",IF(COUNTIFS(RC_Lane,B296,RC_Band,E296,RC_CostPS,"&gt;0")=0,"",SUMIFS(RC_CostPS,RC_Lane,B296,RC_Band,E296)*(1-SUMIFS(RC_Disc,RC_Lane,B296,RC_Band,E296))),IF(U296="Other","",IF(INDEX(RS_Rate,MATCH(B296,RS_Lane,0))="","",INDEX(RS_Rate,MATCH(B296,RS_Lane,0))))))</f>
        <v/>
      </c>
    </row>
    <row r="297">
      <c r="A297" s="95" t="inlineStr">
        <is>
          <t>B-293</t>
        </is>
      </c>
      <c r="B297" s="112" t="inlineStr">
        <is>
          <t>L01</t>
        </is>
      </c>
      <c r="C297" s="101" t="inlineStr">
        <is>
          <t>Saudi Arabia</t>
        </is>
      </c>
      <c r="D297" s="101" t="inlineStr">
        <is>
          <t>Jeddah</t>
        </is>
      </c>
      <c r="E297" s="101" t="inlineStr">
        <is>
          <t>B3  100 to 500 kg</t>
        </is>
      </c>
      <c r="F297" s="123" t="n">
        <v>385</v>
      </c>
      <c r="G297" s="86">
        <f>F297*0.006477</f>
        <v/>
      </c>
      <c r="H297" s="123">
        <f>F297*1.079436</f>
        <v/>
      </c>
      <c r="I297" s="122">
        <f>MAX(1,ROUNDUP(G297/0.096,0))</f>
        <v/>
      </c>
      <c r="J297" s="84" t="n">
        <v>46709</v>
      </c>
      <c r="K297" s="87">
        <f>J297-WEEKDAY(J297,2)+1</f>
        <v/>
      </c>
      <c r="L297" s="84">
        <f>J297</f>
        <v/>
      </c>
      <c r="M297" s="52">
        <f>INDEX(LR_Target,MATCH(B297,LR_Lane,0))</f>
        <v/>
      </c>
      <c r="N297" s="84">
        <f>WORKDAY.INTL(L297,M297,INDEX(LR_Code,MATCH(B297,LR_Lane,0)),INDEX(DH_Table,0,MATCH(B297&amp;"*",DH_Head,0)))</f>
        <v/>
      </c>
      <c r="O297" s="65">
        <f>IF(W297&lt;&gt;"",W297,IF(U297="Helmond",IF(COUNTIFS(RC_Lane,B297,RC_Band,E297,RC_Transit,"&lt;&gt;")=0,"",SUMIFS(RC_Transit,RC_Lane,B297,RC_Band,E297)),IF(U297="Other","",IF(INDEX(RS_Transit,MATCH(B297,RS_Lane,0))="","",INDEX(RS_Transit,MATCH(B297,RS_Lane,0))))))</f>
        <v/>
      </c>
      <c r="P297" s="140" t="n"/>
      <c r="Q297" s="84">
        <f>IF(P297&lt;&gt;"",P297,IF(O297="","",WORKDAY.INTL(L297,ROUNDUP(O297,0),INDEX(LR_Code,MATCH(B297,LR_Lane,0)),INDEX(DH_Table,0,MATCH(B297&amp;"*",DH_Head,0)))))</f>
        <v/>
      </c>
      <c r="R297" s="100">
        <f>IF(Q297="","",IF(Q297&lt;=N297,"Yes","No"))</f>
        <v/>
      </c>
      <c r="S297" s="52">
        <f>IF(Q297="","",IF(Q297&lt;=N297,0,NETWORKDAYS.INTL(N297,Q297,INDEX(LR_Code,MATCH(B297,LR_Lane,0)),INDEX(DH_Table,0,MATCH(B297&amp;"*",DH_Head,0)))-1))</f>
        <v/>
      </c>
      <c r="T297" s="127" t="n"/>
      <c r="U297" s="112">
        <f>IF(V297&lt;&gt;"",V297,IF(IFERROR(INDEX(RS_Flag,MATCH(B297,RS_Lane,0)),"")="Yes",IF(IFERROR(INDEX(RS_Loc,MATCH(B297,RS_Lane,0)),"")="","Regional stock",IFERROR(INDEX(RS_Loc,MATCH(B297,RS_Lane,0)),"")),"Helmond"))</f>
        <v/>
      </c>
      <c r="V297" s="141" t="n"/>
      <c r="W297" s="142" t="n"/>
      <c r="X297" s="143" t="n"/>
      <c r="Y297" s="116">
        <f>IF(X297&lt;&gt;"",X297,IF(U297="Helmond",IF(COUNTIFS(RC_Lane,B297,RC_Band,E297,RC_CostPS,"&gt;0")=0,"",SUMIFS(RC_CostPS,RC_Lane,B297,RC_Band,E297)*(1-SUMIFS(RC_Disc,RC_Lane,B297,RC_Band,E297))),IF(U297="Other","",IF(INDEX(RS_Rate,MATCH(B297,RS_Lane,0))="","",INDEX(RS_Rate,MATCH(B297,RS_Lane,0))))))</f>
        <v/>
      </c>
    </row>
    <row r="298">
      <c r="A298" s="95" t="inlineStr">
        <is>
          <t>B-294</t>
        </is>
      </c>
      <c r="B298" s="112" t="inlineStr">
        <is>
          <t>L01</t>
        </is>
      </c>
      <c r="C298" s="101" t="inlineStr">
        <is>
          <t>Saudi Arabia</t>
        </is>
      </c>
      <c r="D298" s="101" t="inlineStr">
        <is>
          <t>Riyadh</t>
        </is>
      </c>
      <c r="E298" s="101" t="inlineStr">
        <is>
          <t>B2  30 to 100 kg</t>
        </is>
      </c>
      <c r="F298" s="123" t="n">
        <v>68.8</v>
      </c>
      <c r="G298" s="86">
        <f>F298*0.006477</f>
        <v/>
      </c>
      <c r="H298" s="123">
        <f>F298*1.079436</f>
        <v/>
      </c>
      <c r="I298" s="122">
        <f>MAX(1,ROUNDUP(G298/0.096,0))</f>
        <v/>
      </c>
      <c r="J298" s="84" t="n">
        <v>46714</v>
      </c>
      <c r="K298" s="87">
        <f>J298-WEEKDAY(J298,2)+1</f>
        <v/>
      </c>
      <c r="L298" s="84">
        <f>J298</f>
        <v/>
      </c>
      <c r="M298" s="52">
        <f>INDEX(LR_Target,MATCH(B298,LR_Lane,0))</f>
        <v/>
      </c>
      <c r="N298" s="84">
        <f>WORKDAY.INTL(L298,M298,INDEX(LR_Code,MATCH(B298,LR_Lane,0)),INDEX(DH_Table,0,MATCH(B298&amp;"*",DH_Head,0)))</f>
        <v/>
      </c>
      <c r="O298" s="65">
        <f>IF(W298&lt;&gt;"",W298,IF(U298="Helmond",IF(COUNTIFS(RC_Lane,B298,RC_Band,E298,RC_Transit,"&lt;&gt;")=0,"",SUMIFS(RC_Transit,RC_Lane,B298,RC_Band,E298)),IF(U298="Other","",IF(INDEX(RS_Transit,MATCH(B298,RS_Lane,0))="","",INDEX(RS_Transit,MATCH(B298,RS_Lane,0))))))</f>
        <v/>
      </c>
      <c r="P298" s="140" t="n"/>
      <c r="Q298" s="84">
        <f>IF(P298&lt;&gt;"",P298,IF(O298="","",WORKDAY.INTL(L298,ROUNDUP(O298,0),INDEX(LR_Code,MATCH(B298,LR_Lane,0)),INDEX(DH_Table,0,MATCH(B298&amp;"*",DH_Head,0)))))</f>
        <v/>
      </c>
      <c r="R298" s="100">
        <f>IF(Q298="","",IF(Q298&lt;=N298,"Yes","No"))</f>
        <v/>
      </c>
      <c r="S298" s="52">
        <f>IF(Q298="","",IF(Q298&lt;=N298,0,NETWORKDAYS.INTL(N298,Q298,INDEX(LR_Code,MATCH(B298,LR_Lane,0)),INDEX(DH_Table,0,MATCH(B298&amp;"*",DH_Head,0)))-1))</f>
        <v/>
      </c>
      <c r="T298" s="127" t="n"/>
      <c r="U298" s="112">
        <f>IF(V298&lt;&gt;"",V298,IF(IFERROR(INDEX(RS_Flag,MATCH(B298,RS_Lane,0)),"")="Yes",IF(IFERROR(INDEX(RS_Loc,MATCH(B298,RS_Lane,0)),"")="","Regional stock",IFERROR(INDEX(RS_Loc,MATCH(B298,RS_Lane,0)),"")),"Helmond"))</f>
        <v/>
      </c>
      <c r="V298" s="141" t="n"/>
      <c r="W298" s="142" t="n"/>
      <c r="X298" s="143" t="n"/>
      <c r="Y298" s="116">
        <f>IF(X298&lt;&gt;"",X298,IF(U298="Helmond",IF(COUNTIFS(RC_Lane,B298,RC_Band,E298,RC_CostPS,"&gt;0")=0,"",SUMIFS(RC_CostPS,RC_Lane,B298,RC_Band,E298)*(1-SUMIFS(RC_Disc,RC_Lane,B298,RC_Band,E298))),IF(U298="Other","",IF(INDEX(RS_Rate,MATCH(B298,RS_Lane,0))="","",INDEX(RS_Rate,MATCH(B298,RS_Lane,0))))))</f>
        <v/>
      </c>
    </row>
    <row r="299">
      <c r="A299" s="95" t="inlineStr">
        <is>
          <t>B-295</t>
        </is>
      </c>
      <c r="B299" s="112" t="inlineStr">
        <is>
          <t>L01</t>
        </is>
      </c>
      <c r="C299" s="101" t="inlineStr">
        <is>
          <t>Saudi Arabia</t>
        </is>
      </c>
      <c r="D299" s="101" t="inlineStr">
        <is>
          <t>Riyadh</t>
        </is>
      </c>
      <c r="E299" s="101" t="inlineStr">
        <is>
          <t>B2  30 to 100 kg</t>
        </is>
      </c>
      <c r="F299" s="123" t="n">
        <v>55.2</v>
      </c>
      <c r="G299" s="86">
        <f>F299*0.006477</f>
        <v/>
      </c>
      <c r="H299" s="123">
        <f>F299*1.079436</f>
        <v/>
      </c>
      <c r="I299" s="122">
        <f>MAX(1,ROUNDUP(G299/0.096,0))</f>
        <v/>
      </c>
      <c r="J299" s="84" t="n">
        <v>46714</v>
      </c>
      <c r="K299" s="87">
        <f>J299-WEEKDAY(J299,2)+1</f>
        <v/>
      </c>
      <c r="L299" s="84">
        <f>J299</f>
        <v/>
      </c>
      <c r="M299" s="52">
        <f>INDEX(LR_Target,MATCH(B299,LR_Lane,0))</f>
        <v/>
      </c>
      <c r="N299" s="84">
        <f>WORKDAY.INTL(L299,M299,INDEX(LR_Code,MATCH(B299,LR_Lane,0)),INDEX(DH_Table,0,MATCH(B299&amp;"*",DH_Head,0)))</f>
        <v/>
      </c>
      <c r="O299" s="65">
        <f>IF(W299&lt;&gt;"",W299,IF(U299="Helmond",IF(COUNTIFS(RC_Lane,B299,RC_Band,E299,RC_Transit,"&lt;&gt;")=0,"",SUMIFS(RC_Transit,RC_Lane,B299,RC_Band,E299)),IF(U299="Other","",IF(INDEX(RS_Transit,MATCH(B299,RS_Lane,0))="","",INDEX(RS_Transit,MATCH(B299,RS_Lane,0))))))</f>
        <v/>
      </c>
      <c r="P299" s="140" t="n"/>
      <c r="Q299" s="84">
        <f>IF(P299&lt;&gt;"",P299,IF(O299="","",WORKDAY.INTL(L299,ROUNDUP(O299,0),INDEX(LR_Code,MATCH(B299,LR_Lane,0)),INDEX(DH_Table,0,MATCH(B299&amp;"*",DH_Head,0)))))</f>
        <v/>
      </c>
      <c r="R299" s="100">
        <f>IF(Q299="","",IF(Q299&lt;=N299,"Yes","No"))</f>
        <v/>
      </c>
      <c r="S299" s="52">
        <f>IF(Q299="","",IF(Q299&lt;=N299,0,NETWORKDAYS.INTL(N299,Q299,INDEX(LR_Code,MATCH(B299,LR_Lane,0)),INDEX(DH_Table,0,MATCH(B299&amp;"*",DH_Head,0)))-1))</f>
        <v/>
      </c>
      <c r="T299" s="127" t="n"/>
      <c r="U299" s="112">
        <f>IF(V299&lt;&gt;"",V299,IF(IFERROR(INDEX(RS_Flag,MATCH(B299,RS_Lane,0)),"")="Yes",IF(IFERROR(INDEX(RS_Loc,MATCH(B299,RS_Lane,0)),"")="","Regional stock",IFERROR(INDEX(RS_Loc,MATCH(B299,RS_Lane,0)),"")),"Helmond"))</f>
        <v/>
      </c>
      <c r="V299" s="141" t="n"/>
      <c r="W299" s="142" t="n"/>
      <c r="X299" s="143" t="n"/>
      <c r="Y299" s="116">
        <f>IF(X299&lt;&gt;"",X299,IF(U299="Helmond",IF(COUNTIFS(RC_Lane,B299,RC_Band,E299,RC_CostPS,"&gt;0")=0,"",SUMIFS(RC_CostPS,RC_Lane,B299,RC_Band,E299)*(1-SUMIFS(RC_Disc,RC_Lane,B299,RC_Band,E299))),IF(U299="Other","",IF(INDEX(RS_Rate,MATCH(B299,RS_Lane,0))="","",INDEX(RS_Rate,MATCH(B299,RS_Lane,0))))))</f>
        <v/>
      </c>
    </row>
    <row r="300">
      <c r="A300" s="95" t="inlineStr">
        <is>
          <t>B-296</t>
        </is>
      </c>
      <c r="B300" s="112" t="inlineStr">
        <is>
          <t>L01</t>
        </is>
      </c>
      <c r="C300" s="101" t="inlineStr">
        <is>
          <t>Saudi Arabia</t>
        </is>
      </c>
      <c r="D300" s="101" t="inlineStr">
        <is>
          <t>Jeddah</t>
        </is>
      </c>
      <c r="E300" s="101" t="inlineStr">
        <is>
          <t>B1  0 to 30 kg</t>
        </is>
      </c>
      <c r="F300" s="123" t="n">
        <v>5.2</v>
      </c>
      <c r="G300" s="86">
        <f>F300*0.006477</f>
        <v/>
      </c>
      <c r="H300" s="123">
        <f>F300*1.079436</f>
        <v/>
      </c>
      <c r="I300" s="122">
        <f>MAX(1,ROUNDUP(G300/0.096,0))</f>
        <v/>
      </c>
      <c r="J300" s="84" t="n">
        <v>46715</v>
      </c>
      <c r="K300" s="87">
        <f>J300-WEEKDAY(J300,2)+1</f>
        <v/>
      </c>
      <c r="L300" s="84">
        <f>J300</f>
        <v/>
      </c>
      <c r="M300" s="52">
        <f>INDEX(LR_Target,MATCH(B300,LR_Lane,0))</f>
        <v/>
      </c>
      <c r="N300" s="84">
        <f>WORKDAY.INTL(L300,M300,INDEX(LR_Code,MATCH(B300,LR_Lane,0)),INDEX(DH_Table,0,MATCH(B300&amp;"*",DH_Head,0)))</f>
        <v/>
      </c>
      <c r="O300" s="65">
        <f>IF(W300&lt;&gt;"",W300,IF(U300="Helmond",IF(COUNTIFS(RC_Lane,B300,RC_Band,E300,RC_Transit,"&lt;&gt;")=0,"",SUMIFS(RC_Transit,RC_Lane,B300,RC_Band,E300)),IF(U300="Other","",IF(INDEX(RS_Transit,MATCH(B300,RS_Lane,0))="","",INDEX(RS_Transit,MATCH(B300,RS_Lane,0))))))</f>
        <v/>
      </c>
      <c r="P300" s="140" t="n"/>
      <c r="Q300" s="84">
        <f>IF(P300&lt;&gt;"",P300,IF(O300="","",WORKDAY.INTL(L300,ROUNDUP(O300,0),INDEX(LR_Code,MATCH(B300,LR_Lane,0)),INDEX(DH_Table,0,MATCH(B300&amp;"*",DH_Head,0)))))</f>
        <v/>
      </c>
      <c r="R300" s="100">
        <f>IF(Q300="","",IF(Q300&lt;=N300,"Yes","No"))</f>
        <v/>
      </c>
      <c r="S300" s="52">
        <f>IF(Q300="","",IF(Q300&lt;=N300,0,NETWORKDAYS.INTL(N300,Q300,INDEX(LR_Code,MATCH(B300,LR_Lane,0)),INDEX(DH_Table,0,MATCH(B300&amp;"*",DH_Head,0)))-1))</f>
        <v/>
      </c>
      <c r="T300" s="127" t="n"/>
      <c r="U300" s="112">
        <f>IF(V300&lt;&gt;"",V300,IF(IFERROR(INDEX(RS_Flag,MATCH(B300,RS_Lane,0)),"")="Yes",IF(IFERROR(INDEX(RS_Loc,MATCH(B300,RS_Lane,0)),"")="","Regional stock",IFERROR(INDEX(RS_Loc,MATCH(B300,RS_Lane,0)),"")),"Helmond"))</f>
        <v/>
      </c>
      <c r="V300" s="141" t="n"/>
      <c r="W300" s="142" t="n"/>
      <c r="X300" s="143" t="n"/>
      <c r="Y300" s="116">
        <f>IF(X300&lt;&gt;"",X300,IF(U300="Helmond",IF(COUNTIFS(RC_Lane,B300,RC_Band,E300,RC_CostPS,"&gt;0")=0,"",SUMIFS(RC_CostPS,RC_Lane,B300,RC_Band,E300)*(1-SUMIFS(RC_Disc,RC_Lane,B300,RC_Band,E300))),IF(U300="Other","",IF(INDEX(RS_Rate,MATCH(B300,RS_Lane,0))="","",INDEX(RS_Rate,MATCH(B300,RS_Lane,0))))))</f>
        <v/>
      </c>
    </row>
    <row r="301">
      <c r="A301" s="95" t="inlineStr">
        <is>
          <t>B-297</t>
        </is>
      </c>
      <c r="B301" s="112" t="inlineStr">
        <is>
          <t>L03</t>
        </is>
      </c>
      <c r="C301" s="101" t="inlineStr">
        <is>
          <t>Kuwait</t>
        </is>
      </c>
      <c r="D301" s="101" t="inlineStr">
        <is>
          <t>Kuwait City</t>
        </is>
      </c>
      <c r="E301" s="101" t="inlineStr">
        <is>
          <t>B3  100 to 500 kg</t>
        </is>
      </c>
      <c r="F301" s="123" t="n">
        <v>313.8</v>
      </c>
      <c r="G301" s="86">
        <f>F301*0.006477</f>
        <v/>
      </c>
      <c r="H301" s="123">
        <f>F301*1.079436</f>
        <v/>
      </c>
      <c r="I301" s="122">
        <f>MAX(1,ROUNDUP(G301/0.096,0))</f>
        <v/>
      </c>
      <c r="J301" s="84" t="n">
        <v>46716</v>
      </c>
      <c r="K301" s="87">
        <f>J301-WEEKDAY(J301,2)+1</f>
        <v/>
      </c>
      <c r="L301" s="84">
        <f>J301</f>
        <v/>
      </c>
      <c r="M301" s="52">
        <f>INDEX(LR_Target,MATCH(B301,LR_Lane,0))</f>
        <v/>
      </c>
      <c r="N301" s="84">
        <f>WORKDAY.INTL(L301,M301,INDEX(LR_Code,MATCH(B301,LR_Lane,0)),INDEX(DH_Table,0,MATCH(B301&amp;"*",DH_Head,0)))</f>
        <v/>
      </c>
      <c r="O301" s="65">
        <f>IF(W301&lt;&gt;"",W301,IF(U301="Helmond",IF(COUNTIFS(RC_Lane,B301,RC_Band,E301,RC_Transit,"&lt;&gt;")=0,"",SUMIFS(RC_Transit,RC_Lane,B301,RC_Band,E301)),IF(U301="Other","",IF(INDEX(RS_Transit,MATCH(B301,RS_Lane,0))="","",INDEX(RS_Transit,MATCH(B301,RS_Lane,0))))))</f>
        <v/>
      </c>
      <c r="P301" s="140" t="n"/>
      <c r="Q301" s="84">
        <f>IF(P301&lt;&gt;"",P301,IF(O301="","",WORKDAY.INTL(L301,ROUNDUP(O301,0),INDEX(LR_Code,MATCH(B301,LR_Lane,0)),INDEX(DH_Table,0,MATCH(B301&amp;"*",DH_Head,0)))))</f>
        <v/>
      </c>
      <c r="R301" s="100">
        <f>IF(Q301="","",IF(Q301&lt;=N301,"Yes","No"))</f>
        <v/>
      </c>
      <c r="S301" s="52">
        <f>IF(Q301="","",IF(Q301&lt;=N301,0,NETWORKDAYS.INTL(N301,Q301,INDEX(LR_Code,MATCH(B301,LR_Lane,0)),INDEX(DH_Table,0,MATCH(B301&amp;"*",DH_Head,0)))-1))</f>
        <v/>
      </c>
      <c r="T301" s="127" t="n"/>
      <c r="U301" s="112">
        <f>IF(V301&lt;&gt;"",V301,IF(IFERROR(INDEX(RS_Flag,MATCH(B301,RS_Lane,0)),"")="Yes",IF(IFERROR(INDEX(RS_Loc,MATCH(B301,RS_Lane,0)),"")="","Regional stock",IFERROR(INDEX(RS_Loc,MATCH(B301,RS_Lane,0)),"")),"Helmond"))</f>
        <v/>
      </c>
      <c r="V301" s="141" t="n"/>
      <c r="W301" s="142" t="n"/>
      <c r="X301" s="143" t="n"/>
      <c r="Y301" s="116">
        <f>IF(X301&lt;&gt;"",X301,IF(U301="Helmond",IF(COUNTIFS(RC_Lane,B301,RC_Band,E301,RC_CostPS,"&gt;0")=0,"",SUMIFS(RC_CostPS,RC_Lane,B301,RC_Band,E301)*(1-SUMIFS(RC_Disc,RC_Lane,B301,RC_Band,E301))),IF(U301="Other","",IF(INDEX(RS_Rate,MATCH(B301,RS_Lane,0))="","",INDEX(RS_Rate,MATCH(B301,RS_Lane,0))))))</f>
        <v/>
      </c>
    </row>
    <row r="302">
      <c r="A302" s="95" t="inlineStr">
        <is>
          <t>B-298</t>
        </is>
      </c>
      <c r="B302" s="112" t="inlineStr">
        <is>
          <t>L04</t>
        </is>
      </c>
      <c r="C302" s="101" t="inlineStr">
        <is>
          <t>Qatar</t>
        </is>
      </c>
      <c r="D302" s="101" t="inlineStr">
        <is>
          <t>Doha</t>
        </is>
      </c>
      <c r="E302" s="101" t="inlineStr">
        <is>
          <t>B2  30 to 100 kg</t>
        </is>
      </c>
      <c r="F302" s="123" t="n">
        <v>60.2</v>
      </c>
      <c r="G302" s="86">
        <f>F302*0.006477</f>
        <v/>
      </c>
      <c r="H302" s="123">
        <f>F302*1.079436</f>
        <v/>
      </c>
      <c r="I302" s="122">
        <f>MAX(1,ROUNDUP(G302/0.096,0))</f>
        <v/>
      </c>
      <c r="J302" s="84" t="n">
        <v>46716</v>
      </c>
      <c r="K302" s="87">
        <f>J302-WEEKDAY(J302,2)+1</f>
        <v/>
      </c>
      <c r="L302" s="84">
        <f>J302</f>
        <v/>
      </c>
      <c r="M302" s="52">
        <f>INDEX(LR_Target,MATCH(B302,LR_Lane,0))</f>
        <v/>
      </c>
      <c r="N302" s="84">
        <f>WORKDAY.INTL(L302,M302,INDEX(LR_Code,MATCH(B302,LR_Lane,0)),INDEX(DH_Table,0,MATCH(B302&amp;"*",DH_Head,0)))</f>
        <v/>
      </c>
      <c r="O302" s="65">
        <f>IF(W302&lt;&gt;"",W302,IF(U302="Helmond",IF(COUNTIFS(RC_Lane,B302,RC_Band,E302,RC_Transit,"&lt;&gt;")=0,"",SUMIFS(RC_Transit,RC_Lane,B302,RC_Band,E302)),IF(U302="Other","",IF(INDEX(RS_Transit,MATCH(B302,RS_Lane,0))="","",INDEX(RS_Transit,MATCH(B302,RS_Lane,0))))))</f>
        <v/>
      </c>
      <c r="P302" s="140" t="n"/>
      <c r="Q302" s="84">
        <f>IF(P302&lt;&gt;"",P302,IF(O302="","",WORKDAY.INTL(L302,ROUNDUP(O302,0),INDEX(LR_Code,MATCH(B302,LR_Lane,0)),INDEX(DH_Table,0,MATCH(B302&amp;"*",DH_Head,0)))))</f>
        <v/>
      </c>
      <c r="R302" s="100">
        <f>IF(Q302="","",IF(Q302&lt;=N302,"Yes","No"))</f>
        <v/>
      </c>
      <c r="S302" s="52">
        <f>IF(Q302="","",IF(Q302&lt;=N302,0,NETWORKDAYS.INTL(N302,Q302,INDEX(LR_Code,MATCH(B302,LR_Lane,0)),INDEX(DH_Table,0,MATCH(B302&amp;"*",DH_Head,0)))-1))</f>
        <v/>
      </c>
      <c r="T302" s="127" t="n"/>
      <c r="U302" s="112">
        <f>IF(V302&lt;&gt;"",V302,IF(IFERROR(INDEX(RS_Flag,MATCH(B302,RS_Lane,0)),"")="Yes",IF(IFERROR(INDEX(RS_Loc,MATCH(B302,RS_Lane,0)),"")="","Regional stock",IFERROR(INDEX(RS_Loc,MATCH(B302,RS_Lane,0)),"")),"Helmond"))</f>
        <v/>
      </c>
      <c r="V302" s="141" t="n"/>
      <c r="W302" s="142" t="n"/>
      <c r="X302" s="143" t="n"/>
      <c r="Y302" s="116">
        <f>IF(X302&lt;&gt;"",X302,IF(U302="Helmond",IF(COUNTIFS(RC_Lane,B302,RC_Band,E302,RC_CostPS,"&gt;0")=0,"",SUMIFS(RC_CostPS,RC_Lane,B302,RC_Band,E302)*(1-SUMIFS(RC_Disc,RC_Lane,B302,RC_Band,E302))),IF(U302="Other","",IF(INDEX(RS_Rate,MATCH(B302,RS_Lane,0))="","",INDEX(RS_Rate,MATCH(B302,RS_Lane,0))))))</f>
        <v/>
      </c>
    </row>
    <row r="303">
      <c r="A303" s="95" t="inlineStr">
        <is>
          <t>B-299</t>
        </is>
      </c>
      <c r="B303" s="112" t="inlineStr">
        <is>
          <t>L02</t>
        </is>
      </c>
      <c r="C303" s="101" t="inlineStr">
        <is>
          <t>United Arab Emirates</t>
        </is>
      </c>
      <c r="D303" s="101" t="inlineStr">
        <is>
          <t>Dubai</t>
        </is>
      </c>
      <c r="E303" s="101" t="inlineStr">
        <is>
          <t>B1  0 to 30 kg</t>
        </is>
      </c>
      <c r="F303" s="123" t="n">
        <v>10.6</v>
      </c>
      <c r="G303" s="86">
        <f>F303*0.006477</f>
        <v/>
      </c>
      <c r="H303" s="123">
        <f>F303*1.079436</f>
        <v/>
      </c>
      <c r="I303" s="122">
        <f>MAX(1,ROUNDUP(G303/0.096,0))</f>
        <v/>
      </c>
      <c r="J303" s="84" t="n">
        <v>46717</v>
      </c>
      <c r="K303" s="87">
        <f>J303-WEEKDAY(J303,2)+1</f>
        <v/>
      </c>
      <c r="L303" s="84">
        <f>J303</f>
        <v/>
      </c>
      <c r="M303" s="52">
        <f>INDEX(LR_Target,MATCH(B303,LR_Lane,0))</f>
        <v/>
      </c>
      <c r="N303" s="84">
        <f>WORKDAY.INTL(L303,M303,INDEX(LR_Code,MATCH(B303,LR_Lane,0)),INDEX(DH_Table,0,MATCH(B303&amp;"*",DH_Head,0)))</f>
        <v/>
      </c>
      <c r="O303" s="65">
        <f>IF(W303&lt;&gt;"",W303,IF(U303="Helmond",IF(COUNTIFS(RC_Lane,B303,RC_Band,E303,RC_Transit,"&lt;&gt;")=0,"",SUMIFS(RC_Transit,RC_Lane,B303,RC_Band,E303)),IF(U303="Other","",IF(INDEX(RS_Transit,MATCH(B303,RS_Lane,0))="","",INDEX(RS_Transit,MATCH(B303,RS_Lane,0))))))</f>
        <v/>
      </c>
      <c r="P303" s="140" t="n"/>
      <c r="Q303" s="84">
        <f>IF(P303&lt;&gt;"",P303,IF(O303="","",WORKDAY.INTL(L303,ROUNDUP(O303,0),INDEX(LR_Code,MATCH(B303,LR_Lane,0)),INDEX(DH_Table,0,MATCH(B303&amp;"*",DH_Head,0)))))</f>
        <v/>
      </c>
      <c r="R303" s="100">
        <f>IF(Q303="","",IF(Q303&lt;=N303,"Yes","No"))</f>
        <v/>
      </c>
      <c r="S303" s="52">
        <f>IF(Q303="","",IF(Q303&lt;=N303,0,NETWORKDAYS.INTL(N303,Q303,INDEX(LR_Code,MATCH(B303,LR_Lane,0)),INDEX(DH_Table,0,MATCH(B303&amp;"*",DH_Head,0)))-1))</f>
        <v/>
      </c>
      <c r="T303" s="127" t="n"/>
      <c r="U303" s="112">
        <f>IF(V303&lt;&gt;"",V303,IF(IFERROR(INDEX(RS_Flag,MATCH(B303,RS_Lane,0)),"")="Yes",IF(IFERROR(INDEX(RS_Loc,MATCH(B303,RS_Lane,0)),"")="","Regional stock",IFERROR(INDEX(RS_Loc,MATCH(B303,RS_Lane,0)),"")),"Helmond"))</f>
        <v/>
      </c>
      <c r="V303" s="141" t="n"/>
      <c r="W303" s="142" t="n"/>
      <c r="X303" s="143" t="n"/>
      <c r="Y303" s="116">
        <f>IF(X303&lt;&gt;"",X303,IF(U303="Helmond",IF(COUNTIFS(RC_Lane,B303,RC_Band,E303,RC_CostPS,"&gt;0")=0,"",SUMIFS(RC_CostPS,RC_Lane,B303,RC_Band,E303)*(1-SUMIFS(RC_Disc,RC_Lane,B303,RC_Band,E303))),IF(U303="Other","",IF(INDEX(RS_Rate,MATCH(B303,RS_Lane,0))="","",INDEX(RS_Rate,MATCH(B303,RS_Lane,0))))))</f>
        <v/>
      </c>
    </row>
    <row r="304">
      <c r="A304" s="95" t="inlineStr">
        <is>
          <t>B-300</t>
        </is>
      </c>
      <c r="B304" s="112" t="inlineStr">
        <is>
          <t>L02</t>
        </is>
      </c>
      <c r="C304" s="101" t="inlineStr">
        <is>
          <t>United Arab Emirates</t>
        </is>
      </c>
      <c r="D304" s="101" t="inlineStr">
        <is>
          <t>Dubai</t>
        </is>
      </c>
      <c r="E304" s="101" t="inlineStr">
        <is>
          <t>B1  0 to 30 kg</t>
        </is>
      </c>
      <c r="F304" s="123" t="n">
        <v>9.1</v>
      </c>
      <c r="G304" s="86">
        <f>F304*0.006477</f>
        <v/>
      </c>
      <c r="H304" s="123">
        <f>F304*1.079436</f>
        <v/>
      </c>
      <c r="I304" s="122">
        <f>MAX(1,ROUNDUP(G304/0.096,0))</f>
        <v/>
      </c>
      <c r="J304" s="84" t="n">
        <v>46717</v>
      </c>
      <c r="K304" s="87">
        <f>J304-WEEKDAY(J304,2)+1</f>
        <v/>
      </c>
      <c r="L304" s="84">
        <f>J304</f>
        <v/>
      </c>
      <c r="M304" s="52">
        <f>INDEX(LR_Target,MATCH(B304,LR_Lane,0))</f>
        <v/>
      </c>
      <c r="N304" s="84">
        <f>WORKDAY.INTL(L304,M304,INDEX(LR_Code,MATCH(B304,LR_Lane,0)),INDEX(DH_Table,0,MATCH(B304&amp;"*",DH_Head,0)))</f>
        <v/>
      </c>
      <c r="O304" s="65">
        <f>IF(W304&lt;&gt;"",W304,IF(U304="Helmond",IF(COUNTIFS(RC_Lane,B304,RC_Band,E304,RC_Transit,"&lt;&gt;")=0,"",SUMIFS(RC_Transit,RC_Lane,B304,RC_Band,E304)),IF(U304="Other","",IF(INDEX(RS_Transit,MATCH(B304,RS_Lane,0))="","",INDEX(RS_Transit,MATCH(B304,RS_Lane,0))))))</f>
        <v/>
      </c>
      <c r="P304" s="140" t="n"/>
      <c r="Q304" s="84">
        <f>IF(P304&lt;&gt;"",P304,IF(O304="","",WORKDAY.INTL(L304,ROUNDUP(O304,0),INDEX(LR_Code,MATCH(B304,LR_Lane,0)),INDEX(DH_Table,0,MATCH(B304&amp;"*",DH_Head,0)))))</f>
        <v/>
      </c>
      <c r="R304" s="100">
        <f>IF(Q304="","",IF(Q304&lt;=N304,"Yes","No"))</f>
        <v/>
      </c>
      <c r="S304" s="52">
        <f>IF(Q304="","",IF(Q304&lt;=N304,0,NETWORKDAYS.INTL(N304,Q304,INDEX(LR_Code,MATCH(B304,LR_Lane,0)),INDEX(DH_Table,0,MATCH(B304&amp;"*",DH_Head,0)))-1))</f>
        <v/>
      </c>
      <c r="T304" s="127" t="n"/>
      <c r="U304" s="112">
        <f>IF(V304&lt;&gt;"",V304,IF(IFERROR(INDEX(RS_Flag,MATCH(B304,RS_Lane,0)),"")="Yes",IF(IFERROR(INDEX(RS_Loc,MATCH(B304,RS_Lane,0)),"")="","Regional stock",IFERROR(INDEX(RS_Loc,MATCH(B304,RS_Lane,0)),"")),"Helmond"))</f>
        <v/>
      </c>
      <c r="V304" s="141" t="n"/>
      <c r="W304" s="142" t="n"/>
      <c r="X304" s="143" t="n"/>
      <c r="Y304" s="116">
        <f>IF(X304&lt;&gt;"",X304,IF(U304="Helmond",IF(COUNTIFS(RC_Lane,B304,RC_Band,E304,RC_CostPS,"&gt;0")=0,"",SUMIFS(RC_CostPS,RC_Lane,B304,RC_Band,E304)*(1-SUMIFS(RC_Disc,RC_Lane,B304,RC_Band,E304))),IF(U304="Other","",IF(INDEX(RS_Rate,MATCH(B304,RS_Lane,0))="","",INDEX(RS_Rate,MATCH(B304,RS_Lane,0))))))</f>
        <v/>
      </c>
    </row>
    <row r="305">
      <c r="A305" s="95" t="inlineStr">
        <is>
          <t>B-301</t>
        </is>
      </c>
      <c r="B305" s="112" t="inlineStr">
        <is>
          <t>L05</t>
        </is>
      </c>
      <c r="C305" s="101" t="inlineStr">
        <is>
          <t>Türkiye</t>
        </is>
      </c>
      <c r="D305" s="101" t="inlineStr">
        <is>
          <t>Istanbul</t>
        </is>
      </c>
      <c r="E305" s="101" t="inlineStr">
        <is>
          <t>B1  0 to 30 kg</t>
        </is>
      </c>
      <c r="F305" s="123" t="n">
        <v>11.1</v>
      </c>
      <c r="G305" s="86">
        <f>F305*0.006477</f>
        <v/>
      </c>
      <c r="H305" s="123">
        <f>F305*1.079436</f>
        <v/>
      </c>
      <c r="I305" s="122">
        <f>MAX(1,ROUNDUP(G305/0.096,0))</f>
        <v/>
      </c>
      <c r="J305" s="84" t="n">
        <v>46717</v>
      </c>
      <c r="K305" s="87">
        <f>J305-WEEKDAY(J305,2)+1</f>
        <v/>
      </c>
      <c r="L305" s="84">
        <f>J305</f>
        <v/>
      </c>
      <c r="M305" s="52">
        <f>INDEX(LR_Target,MATCH(B305,LR_Lane,0))</f>
        <v/>
      </c>
      <c r="N305" s="84">
        <f>WORKDAY.INTL(L305,M305,INDEX(LR_Code,MATCH(B305,LR_Lane,0)),INDEX(DH_Table,0,MATCH(B305&amp;"*",DH_Head,0)))</f>
        <v/>
      </c>
      <c r="O305" s="65">
        <f>IF(W305&lt;&gt;"",W305,IF(U305="Helmond",IF(COUNTIFS(RC_Lane,B305,RC_Band,E305,RC_Transit,"&lt;&gt;")=0,"",SUMIFS(RC_Transit,RC_Lane,B305,RC_Band,E305)),IF(U305="Other","",IF(INDEX(RS_Transit,MATCH(B305,RS_Lane,0))="","",INDEX(RS_Transit,MATCH(B305,RS_Lane,0))))))</f>
        <v/>
      </c>
      <c r="P305" s="140" t="n"/>
      <c r="Q305" s="84">
        <f>IF(P305&lt;&gt;"",P305,IF(O305="","",WORKDAY.INTL(L305,ROUNDUP(O305,0),INDEX(LR_Code,MATCH(B305,LR_Lane,0)),INDEX(DH_Table,0,MATCH(B305&amp;"*",DH_Head,0)))))</f>
        <v/>
      </c>
      <c r="R305" s="100">
        <f>IF(Q305="","",IF(Q305&lt;=N305,"Yes","No"))</f>
        <v/>
      </c>
      <c r="S305" s="52">
        <f>IF(Q305="","",IF(Q305&lt;=N305,0,NETWORKDAYS.INTL(N305,Q305,INDEX(LR_Code,MATCH(B305,LR_Lane,0)),INDEX(DH_Table,0,MATCH(B305&amp;"*",DH_Head,0)))-1))</f>
        <v/>
      </c>
      <c r="T305" s="127" t="n"/>
      <c r="U305" s="112">
        <f>IF(V305&lt;&gt;"",V305,IF(IFERROR(INDEX(RS_Flag,MATCH(B305,RS_Lane,0)),"")="Yes",IF(IFERROR(INDEX(RS_Loc,MATCH(B305,RS_Lane,0)),"")="","Regional stock",IFERROR(INDEX(RS_Loc,MATCH(B305,RS_Lane,0)),"")),"Helmond"))</f>
        <v/>
      </c>
      <c r="V305" s="141" t="n"/>
      <c r="W305" s="142" t="n"/>
      <c r="X305" s="143" t="n"/>
      <c r="Y305" s="116">
        <f>IF(X305&lt;&gt;"",X305,IF(U305="Helmond",IF(COUNTIFS(RC_Lane,B305,RC_Band,E305,RC_CostPS,"&gt;0")=0,"",SUMIFS(RC_CostPS,RC_Lane,B305,RC_Band,E305)*(1-SUMIFS(RC_Disc,RC_Lane,B305,RC_Band,E305))),IF(U305="Other","",IF(INDEX(RS_Rate,MATCH(B305,RS_Lane,0))="","",INDEX(RS_Rate,MATCH(B305,RS_Lane,0))))))</f>
        <v/>
      </c>
    </row>
    <row r="306">
      <c r="A306" s="95" t="inlineStr">
        <is>
          <t>B-302</t>
        </is>
      </c>
      <c r="B306" s="112" t="inlineStr">
        <is>
          <t>L01</t>
        </is>
      </c>
      <c r="C306" s="101" t="inlineStr">
        <is>
          <t>Saudi Arabia</t>
        </is>
      </c>
      <c r="D306" s="101" t="inlineStr">
        <is>
          <t>Riyadh</t>
        </is>
      </c>
      <c r="E306" s="101" t="inlineStr">
        <is>
          <t>B1  0 to 30 kg</t>
        </is>
      </c>
      <c r="F306" s="123" t="n">
        <v>3.5</v>
      </c>
      <c r="G306" s="86">
        <f>F306*0.006477</f>
        <v/>
      </c>
      <c r="H306" s="123">
        <f>F306*1.079436</f>
        <v/>
      </c>
      <c r="I306" s="122">
        <f>MAX(1,ROUNDUP(G306/0.096,0))</f>
        <v/>
      </c>
      <c r="J306" s="84" t="n">
        <v>46720</v>
      </c>
      <c r="K306" s="87">
        <f>J306-WEEKDAY(J306,2)+1</f>
        <v/>
      </c>
      <c r="L306" s="84">
        <f>J306</f>
        <v/>
      </c>
      <c r="M306" s="52">
        <f>INDEX(LR_Target,MATCH(B306,LR_Lane,0))</f>
        <v/>
      </c>
      <c r="N306" s="84">
        <f>WORKDAY.INTL(L306,M306,INDEX(LR_Code,MATCH(B306,LR_Lane,0)),INDEX(DH_Table,0,MATCH(B306&amp;"*",DH_Head,0)))</f>
        <v/>
      </c>
      <c r="O306" s="65">
        <f>IF(W306&lt;&gt;"",W306,IF(U306="Helmond",IF(COUNTIFS(RC_Lane,B306,RC_Band,E306,RC_Transit,"&lt;&gt;")=0,"",SUMIFS(RC_Transit,RC_Lane,B306,RC_Band,E306)),IF(U306="Other","",IF(INDEX(RS_Transit,MATCH(B306,RS_Lane,0))="","",INDEX(RS_Transit,MATCH(B306,RS_Lane,0))))))</f>
        <v/>
      </c>
      <c r="P306" s="140" t="n"/>
      <c r="Q306" s="84">
        <f>IF(P306&lt;&gt;"",P306,IF(O306="","",WORKDAY.INTL(L306,ROUNDUP(O306,0),INDEX(LR_Code,MATCH(B306,LR_Lane,0)),INDEX(DH_Table,0,MATCH(B306&amp;"*",DH_Head,0)))))</f>
        <v/>
      </c>
      <c r="R306" s="100">
        <f>IF(Q306="","",IF(Q306&lt;=N306,"Yes","No"))</f>
        <v/>
      </c>
      <c r="S306" s="52">
        <f>IF(Q306="","",IF(Q306&lt;=N306,0,NETWORKDAYS.INTL(N306,Q306,INDEX(LR_Code,MATCH(B306,LR_Lane,0)),INDEX(DH_Table,0,MATCH(B306&amp;"*",DH_Head,0)))-1))</f>
        <v/>
      </c>
      <c r="T306" s="127" t="n"/>
      <c r="U306" s="112">
        <f>IF(V306&lt;&gt;"",V306,IF(IFERROR(INDEX(RS_Flag,MATCH(B306,RS_Lane,0)),"")="Yes",IF(IFERROR(INDEX(RS_Loc,MATCH(B306,RS_Lane,0)),"")="","Regional stock",IFERROR(INDEX(RS_Loc,MATCH(B306,RS_Lane,0)),"")),"Helmond"))</f>
        <v/>
      </c>
      <c r="V306" s="141" t="n"/>
      <c r="W306" s="142" t="n"/>
      <c r="X306" s="143" t="n"/>
      <c r="Y306" s="116">
        <f>IF(X306&lt;&gt;"",X306,IF(U306="Helmond",IF(COUNTIFS(RC_Lane,B306,RC_Band,E306,RC_CostPS,"&gt;0")=0,"",SUMIFS(RC_CostPS,RC_Lane,B306,RC_Band,E306)*(1-SUMIFS(RC_Disc,RC_Lane,B306,RC_Band,E306))),IF(U306="Other","",IF(INDEX(RS_Rate,MATCH(B306,RS_Lane,0))="","",INDEX(RS_Rate,MATCH(B306,RS_Lane,0))))))</f>
        <v/>
      </c>
    </row>
    <row r="307">
      <c r="A307" s="95" t="inlineStr">
        <is>
          <t>B-303</t>
        </is>
      </c>
      <c r="B307" s="112" t="inlineStr">
        <is>
          <t>L02</t>
        </is>
      </c>
      <c r="C307" s="101" t="inlineStr">
        <is>
          <t>United Arab Emirates</t>
        </is>
      </c>
      <c r="D307" s="101" t="inlineStr">
        <is>
          <t>Dubai</t>
        </is>
      </c>
      <c r="E307" s="101" t="inlineStr">
        <is>
          <t>B3  100 to 500 kg</t>
        </is>
      </c>
      <c r="F307" s="123" t="n">
        <v>369.6</v>
      </c>
      <c r="G307" s="86">
        <f>F307*0.006477</f>
        <v/>
      </c>
      <c r="H307" s="123">
        <f>F307*1.079436</f>
        <v/>
      </c>
      <c r="I307" s="122">
        <f>MAX(1,ROUNDUP(G307/0.096,0))</f>
        <v/>
      </c>
      <c r="J307" s="84" t="n">
        <v>46720</v>
      </c>
      <c r="K307" s="87">
        <f>J307-WEEKDAY(J307,2)+1</f>
        <v/>
      </c>
      <c r="L307" s="84">
        <f>J307</f>
        <v/>
      </c>
      <c r="M307" s="52">
        <f>INDEX(LR_Target,MATCH(B307,LR_Lane,0))</f>
        <v/>
      </c>
      <c r="N307" s="84">
        <f>WORKDAY.INTL(L307,M307,INDEX(LR_Code,MATCH(B307,LR_Lane,0)),INDEX(DH_Table,0,MATCH(B307&amp;"*",DH_Head,0)))</f>
        <v/>
      </c>
      <c r="O307" s="65">
        <f>IF(W307&lt;&gt;"",W307,IF(U307="Helmond",IF(COUNTIFS(RC_Lane,B307,RC_Band,E307,RC_Transit,"&lt;&gt;")=0,"",SUMIFS(RC_Transit,RC_Lane,B307,RC_Band,E307)),IF(U307="Other","",IF(INDEX(RS_Transit,MATCH(B307,RS_Lane,0))="","",INDEX(RS_Transit,MATCH(B307,RS_Lane,0))))))</f>
        <v/>
      </c>
      <c r="P307" s="140" t="n"/>
      <c r="Q307" s="84">
        <f>IF(P307&lt;&gt;"",P307,IF(O307="","",WORKDAY.INTL(L307,ROUNDUP(O307,0),INDEX(LR_Code,MATCH(B307,LR_Lane,0)),INDEX(DH_Table,0,MATCH(B307&amp;"*",DH_Head,0)))))</f>
        <v/>
      </c>
      <c r="R307" s="100">
        <f>IF(Q307="","",IF(Q307&lt;=N307,"Yes","No"))</f>
        <v/>
      </c>
      <c r="S307" s="52">
        <f>IF(Q307="","",IF(Q307&lt;=N307,0,NETWORKDAYS.INTL(N307,Q307,INDEX(LR_Code,MATCH(B307,LR_Lane,0)),INDEX(DH_Table,0,MATCH(B307&amp;"*",DH_Head,0)))-1))</f>
        <v/>
      </c>
      <c r="T307" s="127" t="n"/>
      <c r="U307" s="112">
        <f>IF(V307&lt;&gt;"",V307,IF(IFERROR(INDEX(RS_Flag,MATCH(B307,RS_Lane,0)),"")="Yes",IF(IFERROR(INDEX(RS_Loc,MATCH(B307,RS_Lane,0)),"")="","Regional stock",IFERROR(INDEX(RS_Loc,MATCH(B307,RS_Lane,0)),"")),"Helmond"))</f>
        <v/>
      </c>
      <c r="V307" s="141" t="n"/>
      <c r="W307" s="142" t="n"/>
      <c r="X307" s="143" t="n"/>
      <c r="Y307" s="116">
        <f>IF(X307&lt;&gt;"",X307,IF(U307="Helmond",IF(COUNTIFS(RC_Lane,B307,RC_Band,E307,RC_CostPS,"&gt;0")=0,"",SUMIFS(RC_CostPS,RC_Lane,B307,RC_Band,E307)*(1-SUMIFS(RC_Disc,RC_Lane,B307,RC_Band,E307))),IF(U307="Other","",IF(INDEX(RS_Rate,MATCH(B307,RS_Lane,0))="","",INDEX(RS_Rate,MATCH(B307,RS_Lane,0))))))</f>
        <v/>
      </c>
    </row>
    <row r="308">
      <c r="A308" s="95" t="inlineStr">
        <is>
          <t>B-304</t>
        </is>
      </c>
      <c r="B308" s="112" t="inlineStr">
        <is>
          <t>L02</t>
        </is>
      </c>
      <c r="C308" s="101" t="inlineStr">
        <is>
          <t>United Arab Emirates</t>
        </is>
      </c>
      <c r="D308" s="101" t="inlineStr">
        <is>
          <t>Dubai</t>
        </is>
      </c>
      <c r="E308" s="101" t="inlineStr">
        <is>
          <t>B1  0 to 30 kg</t>
        </is>
      </c>
      <c r="F308" s="123" t="n">
        <v>7</v>
      </c>
      <c r="G308" s="86">
        <f>F308*0.006477</f>
        <v/>
      </c>
      <c r="H308" s="123">
        <f>F308*1.079436</f>
        <v/>
      </c>
      <c r="I308" s="122">
        <f>MAX(1,ROUNDUP(G308/0.096,0))</f>
        <v/>
      </c>
      <c r="J308" s="84" t="n">
        <v>46720</v>
      </c>
      <c r="K308" s="87">
        <f>J308-WEEKDAY(J308,2)+1</f>
        <v/>
      </c>
      <c r="L308" s="84">
        <f>J308</f>
        <v/>
      </c>
      <c r="M308" s="52">
        <f>INDEX(LR_Target,MATCH(B308,LR_Lane,0))</f>
        <v/>
      </c>
      <c r="N308" s="84">
        <f>WORKDAY.INTL(L308,M308,INDEX(LR_Code,MATCH(B308,LR_Lane,0)),INDEX(DH_Table,0,MATCH(B308&amp;"*",DH_Head,0)))</f>
        <v/>
      </c>
      <c r="O308" s="65">
        <f>IF(W308&lt;&gt;"",W308,IF(U308="Helmond",IF(COUNTIFS(RC_Lane,B308,RC_Band,E308,RC_Transit,"&lt;&gt;")=0,"",SUMIFS(RC_Transit,RC_Lane,B308,RC_Band,E308)),IF(U308="Other","",IF(INDEX(RS_Transit,MATCH(B308,RS_Lane,0))="","",INDEX(RS_Transit,MATCH(B308,RS_Lane,0))))))</f>
        <v/>
      </c>
      <c r="P308" s="140" t="n"/>
      <c r="Q308" s="84">
        <f>IF(P308&lt;&gt;"",P308,IF(O308="","",WORKDAY.INTL(L308,ROUNDUP(O308,0),INDEX(LR_Code,MATCH(B308,LR_Lane,0)),INDEX(DH_Table,0,MATCH(B308&amp;"*",DH_Head,0)))))</f>
        <v/>
      </c>
      <c r="R308" s="100">
        <f>IF(Q308="","",IF(Q308&lt;=N308,"Yes","No"))</f>
        <v/>
      </c>
      <c r="S308" s="52">
        <f>IF(Q308="","",IF(Q308&lt;=N308,0,NETWORKDAYS.INTL(N308,Q308,INDEX(LR_Code,MATCH(B308,LR_Lane,0)),INDEX(DH_Table,0,MATCH(B308&amp;"*",DH_Head,0)))-1))</f>
        <v/>
      </c>
      <c r="T308" s="127" t="n"/>
      <c r="U308" s="112">
        <f>IF(V308&lt;&gt;"",V308,IF(IFERROR(INDEX(RS_Flag,MATCH(B308,RS_Lane,0)),"")="Yes",IF(IFERROR(INDEX(RS_Loc,MATCH(B308,RS_Lane,0)),"")="","Regional stock",IFERROR(INDEX(RS_Loc,MATCH(B308,RS_Lane,0)),"")),"Helmond"))</f>
        <v/>
      </c>
      <c r="V308" s="141" t="n"/>
      <c r="W308" s="142" t="n"/>
      <c r="X308" s="143" t="n"/>
      <c r="Y308" s="116">
        <f>IF(X308&lt;&gt;"",X308,IF(U308="Helmond",IF(COUNTIFS(RC_Lane,B308,RC_Band,E308,RC_CostPS,"&gt;0")=0,"",SUMIFS(RC_CostPS,RC_Lane,B308,RC_Band,E308)*(1-SUMIFS(RC_Disc,RC_Lane,B308,RC_Band,E308))),IF(U308="Other","",IF(INDEX(RS_Rate,MATCH(B308,RS_Lane,0))="","",INDEX(RS_Rate,MATCH(B308,RS_Lane,0))))))</f>
        <v/>
      </c>
    </row>
    <row r="309">
      <c r="A309" s="95" t="inlineStr">
        <is>
          <t>B-305</t>
        </is>
      </c>
      <c r="B309" s="112" t="inlineStr">
        <is>
          <t>L02</t>
        </is>
      </c>
      <c r="C309" s="101" t="inlineStr">
        <is>
          <t>United Arab Emirates</t>
        </is>
      </c>
      <c r="D309" s="101" t="inlineStr">
        <is>
          <t>Dubai</t>
        </is>
      </c>
      <c r="E309" s="101" t="inlineStr">
        <is>
          <t>B1  0 to 30 kg</t>
        </is>
      </c>
      <c r="F309" s="123" t="n">
        <v>7.5</v>
      </c>
      <c r="G309" s="86">
        <f>F309*0.006477</f>
        <v/>
      </c>
      <c r="H309" s="123">
        <f>F309*1.079436</f>
        <v/>
      </c>
      <c r="I309" s="122">
        <f>MAX(1,ROUNDUP(G309/0.096,0))</f>
        <v/>
      </c>
      <c r="J309" s="84" t="n">
        <v>46721</v>
      </c>
      <c r="K309" s="87">
        <f>J309-WEEKDAY(J309,2)+1</f>
        <v/>
      </c>
      <c r="L309" s="84">
        <f>J309</f>
        <v/>
      </c>
      <c r="M309" s="52">
        <f>INDEX(LR_Target,MATCH(B309,LR_Lane,0))</f>
        <v/>
      </c>
      <c r="N309" s="84">
        <f>WORKDAY.INTL(L309,M309,INDEX(LR_Code,MATCH(B309,LR_Lane,0)),INDEX(DH_Table,0,MATCH(B309&amp;"*",DH_Head,0)))</f>
        <v/>
      </c>
      <c r="O309" s="65">
        <f>IF(W309&lt;&gt;"",W309,IF(U309="Helmond",IF(COUNTIFS(RC_Lane,B309,RC_Band,E309,RC_Transit,"&lt;&gt;")=0,"",SUMIFS(RC_Transit,RC_Lane,B309,RC_Band,E309)),IF(U309="Other","",IF(INDEX(RS_Transit,MATCH(B309,RS_Lane,0))="","",INDEX(RS_Transit,MATCH(B309,RS_Lane,0))))))</f>
        <v/>
      </c>
      <c r="P309" s="140" t="n"/>
      <c r="Q309" s="84">
        <f>IF(P309&lt;&gt;"",P309,IF(O309="","",WORKDAY.INTL(L309,ROUNDUP(O309,0),INDEX(LR_Code,MATCH(B309,LR_Lane,0)),INDEX(DH_Table,0,MATCH(B309&amp;"*",DH_Head,0)))))</f>
        <v/>
      </c>
      <c r="R309" s="100">
        <f>IF(Q309="","",IF(Q309&lt;=N309,"Yes","No"))</f>
        <v/>
      </c>
      <c r="S309" s="52">
        <f>IF(Q309="","",IF(Q309&lt;=N309,0,NETWORKDAYS.INTL(N309,Q309,INDEX(LR_Code,MATCH(B309,LR_Lane,0)),INDEX(DH_Table,0,MATCH(B309&amp;"*",DH_Head,0)))-1))</f>
        <v/>
      </c>
      <c r="T309" s="127" t="n"/>
      <c r="U309" s="112">
        <f>IF(V309&lt;&gt;"",V309,IF(IFERROR(INDEX(RS_Flag,MATCH(B309,RS_Lane,0)),"")="Yes",IF(IFERROR(INDEX(RS_Loc,MATCH(B309,RS_Lane,0)),"")="","Regional stock",IFERROR(INDEX(RS_Loc,MATCH(B309,RS_Lane,0)),"")),"Helmond"))</f>
        <v/>
      </c>
      <c r="V309" s="141" t="n"/>
      <c r="W309" s="142" t="n"/>
      <c r="X309" s="143" t="n"/>
      <c r="Y309" s="116">
        <f>IF(X309&lt;&gt;"",X309,IF(U309="Helmond",IF(COUNTIFS(RC_Lane,B309,RC_Band,E309,RC_CostPS,"&gt;0")=0,"",SUMIFS(RC_CostPS,RC_Lane,B309,RC_Band,E309)*(1-SUMIFS(RC_Disc,RC_Lane,B309,RC_Band,E309))),IF(U309="Other","",IF(INDEX(RS_Rate,MATCH(B309,RS_Lane,0))="","",INDEX(RS_Rate,MATCH(B309,RS_Lane,0))))))</f>
        <v/>
      </c>
    </row>
    <row r="310">
      <c r="A310" s="95" t="inlineStr">
        <is>
          <t>B-306</t>
        </is>
      </c>
      <c r="B310" s="112" t="inlineStr">
        <is>
          <t>L03</t>
        </is>
      </c>
      <c r="C310" s="101" t="inlineStr">
        <is>
          <t>Kuwait</t>
        </is>
      </c>
      <c r="D310" s="101" t="inlineStr">
        <is>
          <t>Kuwait City</t>
        </is>
      </c>
      <c r="E310" s="101" t="inlineStr">
        <is>
          <t>B4  500 to 2,000 kg</t>
        </is>
      </c>
      <c r="F310" s="123" t="n">
        <v>1215.7</v>
      </c>
      <c r="G310" s="86">
        <f>F310*0.006477</f>
        <v/>
      </c>
      <c r="H310" s="123">
        <f>F310*1.079436</f>
        <v/>
      </c>
      <c r="I310" s="122">
        <f>MAX(1,ROUNDUP(G310/0.096,0))</f>
        <v/>
      </c>
      <c r="J310" s="84" t="n">
        <v>46721</v>
      </c>
      <c r="K310" s="87">
        <f>J310-WEEKDAY(J310,2)+1</f>
        <v/>
      </c>
      <c r="L310" s="84">
        <f>J310</f>
        <v/>
      </c>
      <c r="M310" s="52">
        <f>INDEX(LR_Target,MATCH(B310,LR_Lane,0))</f>
        <v/>
      </c>
      <c r="N310" s="84">
        <f>WORKDAY.INTL(L310,M310,INDEX(LR_Code,MATCH(B310,LR_Lane,0)),INDEX(DH_Table,0,MATCH(B310&amp;"*",DH_Head,0)))</f>
        <v/>
      </c>
      <c r="O310" s="65">
        <f>IF(W310&lt;&gt;"",W310,IF(U310="Helmond",IF(COUNTIFS(RC_Lane,B310,RC_Band,E310,RC_Transit,"&lt;&gt;")=0,"",SUMIFS(RC_Transit,RC_Lane,B310,RC_Band,E310)),IF(U310="Other","",IF(INDEX(RS_Transit,MATCH(B310,RS_Lane,0))="","",INDEX(RS_Transit,MATCH(B310,RS_Lane,0))))))</f>
        <v/>
      </c>
      <c r="P310" s="140" t="n"/>
      <c r="Q310" s="84">
        <f>IF(P310&lt;&gt;"",P310,IF(O310="","",WORKDAY.INTL(L310,ROUNDUP(O310,0),INDEX(LR_Code,MATCH(B310,LR_Lane,0)),INDEX(DH_Table,0,MATCH(B310&amp;"*",DH_Head,0)))))</f>
        <v/>
      </c>
      <c r="R310" s="100">
        <f>IF(Q310="","",IF(Q310&lt;=N310,"Yes","No"))</f>
        <v/>
      </c>
      <c r="S310" s="52">
        <f>IF(Q310="","",IF(Q310&lt;=N310,0,NETWORKDAYS.INTL(N310,Q310,INDEX(LR_Code,MATCH(B310,LR_Lane,0)),INDEX(DH_Table,0,MATCH(B310&amp;"*",DH_Head,0)))-1))</f>
        <v/>
      </c>
      <c r="T310" s="127" t="n"/>
      <c r="U310" s="112">
        <f>IF(V310&lt;&gt;"",V310,IF(IFERROR(INDEX(RS_Flag,MATCH(B310,RS_Lane,0)),"")="Yes",IF(IFERROR(INDEX(RS_Loc,MATCH(B310,RS_Lane,0)),"")="","Regional stock",IFERROR(INDEX(RS_Loc,MATCH(B310,RS_Lane,0)),"")),"Helmond"))</f>
        <v/>
      </c>
      <c r="V310" s="141" t="n"/>
      <c r="W310" s="142" t="n"/>
      <c r="X310" s="143" t="n"/>
      <c r="Y310" s="116">
        <f>IF(X310&lt;&gt;"",X310,IF(U310="Helmond",IF(COUNTIFS(RC_Lane,B310,RC_Band,E310,RC_CostPS,"&gt;0")=0,"",SUMIFS(RC_CostPS,RC_Lane,B310,RC_Band,E310)*(1-SUMIFS(RC_Disc,RC_Lane,B310,RC_Band,E310))),IF(U310="Other","",IF(INDEX(RS_Rate,MATCH(B310,RS_Lane,0))="","",INDEX(RS_Rate,MATCH(B310,RS_Lane,0))))))</f>
        <v/>
      </c>
    </row>
    <row r="311">
      <c r="A311" s="95" t="inlineStr">
        <is>
          <t>B-307</t>
        </is>
      </c>
      <c r="B311" s="112" t="inlineStr">
        <is>
          <t>L07</t>
        </is>
      </c>
      <c r="C311" s="101" t="inlineStr">
        <is>
          <t>Algeria</t>
        </is>
      </c>
      <c r="D311" s="101" t="inlineStr">
        <is>
          <t>Algiers</t>
        </is>
      </c>
      <c r="E311" s="101" t="inlineStr">
        <is>
          <t>B1  0 to 30 kg</t>
        </is>
      </c>
      <c r="F311" s="123" t="n">
        <v>8</v>
      </c>
      <c r="G311" s="86">
        <f>F311*0.006477</f>
        <v/>
      </c>
      <c r="H311" s="123">
        <f>F311*1.079436</f>
        <v/>
      </c>
      <c r="I311" s="122">
        <f>MAX(1,ROUNDUP(G311/0.096,0))</f>
        <v/>
      </c>
      <c r="J311" s="84" t="n">
        <v>46721</v>
      </c>
      <c r="K311" s="87">
        <f>J311-WEEKDAY(J311,2)+1</f>
        <v/>
      </c>
      <c r="L311" s="84">
        <f>J311</f>
        <v/>
      </c>
      <c r="M311" s="52">
        <f>INDEX(LR_Target,MATCH(B311,LR_Lane,0))</f>
        <v/>
      </c>
      <c r="N311" s="84">
        <f>WORKDAY.INTL(L311,M311,INDEX(LR_Code,MATCH(B311,LR_Lane,0)),INDEX(DH_Table,0,MATCH(B311&amp;"*",DH_Head,0)))</f>
        <v/>
      </c>
      <c r="O311" s="65">
        <f>IF(W311&lt;&gt;"",W311,IF(U311="Helmond",IF(COUNTIFS(RC_Lane,B311,RC_Band,E311,RC_Transit,"&lt;&gt;")=0,"",SUMIFS(RC_Transit,RC_Lane,B311,RC_Band,E311)),IF(U311="Other","",IF(INDEX(RS_Transit,MATCH(B311,RS_Lane,0))="","",INDEX(RS_Transit,MATCH(B311,RS_Lane,0))))))</f>
        <v/>
      </c>
      <c r="P311" s="140" t="n"/>
      <c r="Q311" s="84">
        <f>IF(P311&lt;&gt;"",P311,IF(O311="","",WORKDAY.INTL(L311,ROUNDUP(O311,0),INDEX(LR_Code,MATCH(B311,LR_Lane,0)),INDEX(DH_Table,0,MATCH(B311&amp;"*",DH_Head,0)))))</f>
        <v/>
      </c>
      <c r="R311" s="100">
        <f>IF(Q311="","",IF(Q311&lt;=N311,"Yes","No"))</f>
        <v/>
      </c>
      <c r="S311" s="52">
        <f>IF(Q311="","",IF(Q311&lt;=N311,0,NETWORKDAYS.INTL(N311,Q311,INDEX(LR_Code,MATCH(B311,LR_Lane,0)),INDEX(DH_Table,0,MATCH(B311&amp;"*",DH_Head,0)))-1))</f>
        <v/>
      </c>
      <c r="T311" s="127" t="n"/>
      <c r="U311" s="112">
        <f>IF(V311&lt;&gt;"",V311,IF(IFERROR(INDEX(RS_Flag,MATCH(B311,RS_Lane,0)),"")="Yes",IF(IFERROR(INDEX(RS_Loc,MATCH(B311,RS_Lane,0)),"")="","Regional stock",IFERROR(INDEX(RS_Loc,MATCH(B311,RS_Lane,0)),"")),"Helmond"))</f>
        <v/>
      </c>
      <c r="V311" s="141" t="n"/>
      <c r="W311" s="142" t="n"/>
      <c r="X311" s="143" t="n"/>
      <c r="Y311" s="116">
        <f>IF(X311&lt;&gt;"",X311,IF(U311="Helmond",IF(COUNTIFS(RC_Lane,B311,RC_Band,E311,RC_CostPS,"&gt;0")=0,"",SUMIFS(RC_CostPS,RC_Lane,B311,RC_Band,E311)*(1-SUMIFS(RC_Disc,RC_Lane,B311,RC_Band,E311))),IF(U311="Other","",IF(INDEX(RS_Rate,MATCH(B311,RS_Lane,0))="","",INDEX(RS_Rate,MATCH(B311,RS_Lane,0))))))</f>
        <v/>
      </c>
    </row>
    <row r="312">
      <c r="A312" s="95" t="inlineStr">
        <is>
          <t>B-308</t>
        </is>
      </c>
      <c r="B312" s="112" t="inlineStr">
        <is>
          <t>L01</t>
        </is>
      </c>
      <c r="C312" s="101" t="inlineStr">
        <is>
          <t>Saudi Arabia</t>
        </is>
      </c>
      <c r="D312" s="101" t="inlineStr">
        <is>
          <t>Jeddah</t>
        </is>
      </c>
      <c r="E312" s="101" t="inlineStr">
        <is>
          <t>B3  100 to 500 kg</t>
        </is>
      </c>
      <c r="F312" s="123" t="n">
        <v>187.7</v>
      </c>
      <c r="G312" s="86">
        <f>F312*0.006477</f>
        <v/>
      </c>
      <c r="H312" s="123">
        <f>F312*1.079436</f>
        <v/>
      </c>
      <c r="I312" s="122">
        <f>MAX(1,ROUNDUP(G312/0.096,0))</f>
        <v/>
      </c>
      <c r="J312" s="84" t="n">
        <v>46722</v>
      </c>
      <c r="K312" s="87">
        <f>J312-WEEKDAY(J312,2)+1</f>
        <v/>
      </c>
      <c r="L312" s="84">
        <f>J312</f>
        <v/>
      </c>
      <c r="M312" s="52">
        <f>INDEX(LR_Target,MATCH(B312,LR_Lane,0))</f>
        <v/>
      </c>
      <c r="N312" s="84">
        <f>WORKDAY.INTL(L312,M312,INDEX(LR_Code,MATCH(B312,LR_Lane,0)),INDEX(DH_Table,0,MATCH(B312&amp;"*",DH_Head,0)))</f>
        <v/>
      </c>
      <c r="O312" s="65">
        <f>IF(W312&lt;&gt;"",W312,IF(U312="Helmond",IF(COUNTIFS(RC_Lane,B312,RC_Band,E312,RC_Transit,"&lt;&gt;")=0,"",SUMIFS(RC_Transit,RC_Lane,B312,RC_Band,E312)),IF(U312="Other","",IF(INDEX(RS_Transit,MATCH(B312,RS_Lane,0))="","",INDEX(RS_Transit,MATCH(B312,RS_Lane,0))))))</f>
        <v/>
      </c>
      <c r="P312" s="140" t="n"/>
      <c r="Q312" s="84">
        <f>IF(P312&lt;&gt;"",P312,IF(O312="","",WORKDAY.INTL(L312,ROUNDUP(O312,0),INDEX(LR_Code,MATCH(B312,LR_Lane,0)),INDEX(DH_Table,0,MATCH(B312&amp;"*",DH_Head,0)))))</f>
        <v/>
      </c>
      <c r="R312" s="100">
        <f>IF(Q312="","",IF(Q312&lt;=N312,"Yes","No"))</f>
        <v/>
      </c>
      <c r="S312" s="52">
        <f>IF(Q312="","",IF(Q312&lt;=N312,0,NETWORKDAYS.INTL(N312,Q312,INDEX(LR_Code,MATCH(B312,LR_Lane,0)),INDEX(DH_Table,0,MATCH(B312&amp;"*",DH_Head,0)))-1))</f>
        <v/>
      </c>
      <c r="T312" s="127" t="n"/>
      <c r="U312" s="112">
        <f>IF(V312&lt;&gt;"",V312,IF(IFERROR(INDEX(RS_Flag,MATCH(B312,RS_Lane,0)),"")="Yes",IF(IFERROR(INDEX(RS_Loc,MATCH(B312,RS_Lane,0)),"")="","Regional stock",IFERROR(INDEX(RS_Loc,MATCH(B312,RS_Lane,0)),"")),"Helmond"))</f>
        <v/>
      </c>
      <c r="V312" s="141" t="n"/>
      <c r="W312" s="142" t="n"/>
      <c r="X312" s="143" t="n"/>
      <c r="Y312" s="116">
        <f>IF(X312&lt;&gt;"",X312,IF(U312="Helmond",IF(COUNTIFS(RC_Lane,B312,RC_Band,E312,RC_CostPS,"&gt;0")=0,"",SUMIFS(RC_CostPS,RC_Lane,B312,RC_Band,E312)*(1-SUMIFS(RC_Disc,RC_Lane,B312,RC_Band,E312))),IF(U312="Other","",IF(INDEX(RS_Rate,MATCH(B312,RS_Lane,0))="","",INDEX(RS_Rate,MATCH(B312,RS_Lane,0))))))</f>
        <v/>
      </c>
    </row>
    <row r="313">
      <c r="A313" s="95" t="inlineStr">
        <is>
          <t>B-309</t>
        </is>
      </c>
      <c r="B313" s="112" t="inlineStr">
        <is>
          <t>L02</t>
        </is>
      </c>
      <c r="C313" s="101" t="inlineStr">
        <is>
          <t>United Arab Emirates</t>
        </is>
      </c>
      <c r="D313" s="101" t="inlineStr">
        <is>
          <t>Dubai</t>
        </is>
      </c>
      <c r="E313" s="101" t="inlineStr">
        <is>
          <t>B1  0 to 30 kg</t>
        </is>
      </c>
      <c r="F313" s="123" t="n">
        <v>6.8</v>
      </c>
      <c r="G313" s="86">
        <f>F313*0.006477</f>
        <v/>
      </c>
      <c r="H313" s="123">
        <f>F313*1.079436</f>
        <v/>
      </c>
      <c r="I313" s="122">
        <f>MAX(1,ROUNDUP(G313/0.096,0))</f>
        <v/>
      </c>
      <c r="J313" s="84" t="n">
        <v>46723</v>
      </c>
      <c r="K313" s="87">
        <f>J313-WEEKDAY(J313,2)+1</f>
        <v/>
      </c>
      <c r="L313" s="84">
        <f>J313</f>
        <v/>
      </c>
      <c r="M313" s="52">
        <f>INDEX(LR_Target,MATCH(B313,LR_Lane,0))</f>
        <v/>
      </c>
      <c r="N313" s="84">
        <f>WORKDAY.INTL(L313,M313,INDEX(LR_Code,MATCH(B313,LR_Lane,0)),INDEX(DH_Table,0,MATCH(B313&amp;"*",DH_Head,0)))</f>
        <v/>
      </c>
      <c r="O313" s="65">
        <f>IF(W313&lt;&gt;"",W313,IF(U313="Helmond",IF(COUNTIFS(RC_Lane,B313,RC_Band,E313,RC_Transit,"&lt;&gt;")=0,"",SUMIFS(RC_Transit,RC_Lane,B313,RC_Band,E313)),IF(U313="Other","",IF(INDEX(RS_Transit,MATCH(B313,RS_Lane,0))="","",INDEX(RS_Transit,MATCH(B313,RS_Lane,0))))))</f>
        <v/>
      </c>
      <c r="P313" s="140" t="n"/>
      <c r="Q313" s="84">
        <f>IF(P313&lt;&gt;"",P313,IF(O313="","",WORKDAY.INTL(L313,ROUNDUP(O313,0),INDEX(LR_Code,MATCH(B313,LR_Lane,0)),INDEX(DH_Table,0,MATCH(B313&amp;"*",DH_Head,0)))))</f>
        <v/>
      </c>
      <c r="R313" s="100">
        <f>IF(Q313="","",IF(Q313&lt;=N313,"Yes","No"))</f>
        <v/>
      </c>
      <c r="S313" s="52">
        <f>IF(Q313="","",IF(Q313&lt;=N313,0,NETWORKDAYS.INTL(N313,Q313,INDEX(LR_Code,MATCH(B313,LR_Lane,0)),INDEX(DH_Table,0,MATCH(B313&amp;"*",DH_Head,0)))-1))</f>
        <v/>
      </c>
      <c r="T313" s="127" t="n"/>
      <c r="U313" s="112">
        <f>IF(V313&lt;&gt;"",V313,IF(IFERROR(INDEX(RS_Flag,MATCH(B313,RS_Lane,0)),"")="Yes",IF(IFERROR(INDEX(RS_Loc,MATCH(B313,RS_Lane,0)),"")="","Regional stock",IFERROR(INDEX(RS_Loc,MATCH(B313,RS_Lane,0)),"")),"Helmond"))</f>
        <v/>
      </c>
      <c r="V313" s="141" t="n"/>
      <c r="W313" s="142" t="n"/>
      <c r="X313" s="143" t="n"/>
      <c r="Y313" s="116">
        <f>IF(X313&lt;&gt;"",X313,IF(U313="Helmond",IF(COUNTIFS(RC_Lane,B313,RC_Band,E313,RC_CostPS,"&gt;0")=0,"",SUMIFS(RC_CostPS,RC_Lane,B313,RC_Band,E313)*(1-SUMIFS(RC_Disc,RC_Lane,B313,RC_Band,E313))),IF(U313="Other","",IF(INDEX(RS_Rate,MATCH(B313,RS_Lane,0))="","",INDEX(RS_Rate,MATCH(B313,RS_Lane,0))))))</f>
        <v/>
      </c>
    </row>
    <row r="314">
      <c r="A314" s="95" t="inlineStr">
        <is>
          <t>B-310</t>
        </is>
      </c>
      <c r="B314" s="112" t="inlineStr">
        <is>
          <t>L01</t>
        </is>
      </c>
      <c r="C314" s="101" t="inlineStr">
        <is>
          <t>Saudi Arabia</t>
        </is>
      </c>
      <c r="D314" s="101" t="inlineStr">
        <is>
          <t>Riyadh</t>
        </is>
      </c>
      <c r="E314" s="101" t="inlineStr">
        <is>
          <t>B4  500 to 2,000 kg</t>
        </is>
      </c>
      <c r="F314" s="123" t="n">
        <v>1477.2</v>
      </c>
      <c r="G314" s="86">
        <f>F314*0.006477</f>
        <v/>
      </c>
      <c r="H314" s="123">
        <f>F314*1.079436</f>
        <v/>
      </c>
      <c r="I314" s="122">
        <f>MAX(1,ROUNDUP(G314/0.096,0))</f>
        <v/>
      </c>
      <c r="J314" s="84" t="n">
        <v>46724</v>
      </c>
      <c r="K314" s="87">
        <f>J314-WEEKDAY(J314,2)+1</f>
        <v/>
      </c>
      <c r="L314" s="84">
        <f>J314</f>
        <v/>
      </c>
      <c r="M314" s="52">
        <f>INDEX(LR_Target,MATCH(B314,LR_Lane,0))</f>
        <v/>
      </c>
      <c r="N314" s="84">
        <f>WORKDAY.INTL(L314,M314,INDEX(LR_Code,MATCH(B314,LR_Lane,0)),INDEX(DH_Table,0,MATCH(B314&amp;"*",DH_Head,0)))</f>
        <v/>
      </c>
      <c r="O314" s="65">
        <f>IF(W314&lt;&gt;"",W314,IF(U314="Helmond",IF(COUNTIFS(RC_Lane,B314,RC_Band,E314,RC_Transit,"&lt;&gt;")=0,"",SUMIFS(RC_Transit,RC_Lane,B314,RC_Band,E314)),IF(U314="Other","",IF(INDEX(RS_Transit,MATCH(B314,RS_Lane,0))="","",INDEX(RS_Transit,MATCH(B314,RS_Lane,0))))))</f>
        <v/>
      </c>
      <c r="P314" s="140" t="n"/>
      <c r="Q314" s="84">
        <f>IF(P314&lt;&gt;"",P314,IF(O314="","",WORKDAY.INTL(L314,ROUNDUP(O314,0),INDEX(LR_Code,MATCH(B314,LR_Lane,0)),INDEX(DH_Table,0,MATCH(B314&amp;"*",DH_Head,0)))))</f>
        <v/>
      </c>
      <c r="R314" s="100">
        <f>IF(Q314="","",IF(Q314&lt;=N314,"Yes","No"))</f>
        <v/>
      </c>
      <c r="S314" s="52">
        <f>IF(Q314="","",IF(Q314&lt;=N314,0,NETWORKDAYS.INTL(N314,Q314,INDEX(LR_Code,MATCH(B314,LR_Lane,0)),INDEX(DH_Table,0,MATCH(B314&amp;"*",DH_Head,0)))-1))</f>
        <v/>
      </c>
      <c r="T314" s="127" t="n"/>
      <c r="U314" s="112">
        <f>IF(V314&lt;&gt;"",V314,IF(IFERROR(INDEX(RS_Flag,MATCH(B314,RS_Lane,0)),"")="Yes",IF(IFERROR(INDEX(RS_Loc,MATCH(B314,RS_Lane,0)),"")="","Regional stock",IFERROR(INDEX(RS_Loc,MATCH(B314,RS_Lane,0)),"")),"Helmond"))</f>
        <v/>
      </c>
      <c r="V314" s="141" t="n"/>
      <c r="W314" s="142" t="n"/>
      <c r="X314" s="143" t="n"/>
      <c r="Y314" s="116">
        <f>IF(X314&lt;&gt;"",X314,IF(U314="Helmond",IF(COUNTIFS(RC_Lane,B314,RC_Band,E314,RC_CostPS,"&gt;0")=0,"",SUMIFS(RC_CostPS,RC_Lane,B314,RC_Band,E314)*(1-SUMIFS(RC_Disc,RC_Lane,B314,RC_Band,E314))),IF(U314="Other","",IF(INDEX(RS_Rate,MATCH(B314,RS_Lane,0))="","",INDEX(RS_Rate,MATCH(B314,RS_Lane,0))))))</f>
        <v/>
      </c>
    </row>
    <row r="315">
      <c r="A315" s="95" t="inlineStr">
        <is>
          <t>B-311</t>
        </is>
      </c>
      <c r="B315" s="112" t="inlineStr">
        <is>
          <t>L02</t>
        </is>
      </c>
      <c r="C315" s="101" t="inlineStr">
        <is>
          <t>United Arab Emirates</t>
        </is>
      </c>
      <c r="D315" s="101" t="inlineStr">
        <is>
          <t>Dubai</t>
        </is>
      </c>
      <c r="E315" s="101" t="inlineStr">
        <is>
          <t>B3  100 to 500 kg</t>
        </is>
      </c>
      <c r="F315" s="123" t="n">
        <v>261.7</v>
      </c>
      <c r="G315" s="86">
        <f>F315*0.006477</f>
        <v/>
      </c>
      <c r="H315" s="123">
        <f>F315*1.079436</f>
        <v/>
      </c>
      <c r="I315" s="122">
        <f>MAX(1,ROUNDUP(G315/0.096,0))</f>
        <v/>
      </c>
      <c r="J315" s="84" t="n">
        <v>46728</v>
      </c>
      <c r="K315" s="87">
        <f>J315-WEEKDAY(J315,2)+1</f>
        <v/>
      </c>
      <c r="L315" s="84">
        <f>J315</f>
        <v/>
      </c>
      <c r="M315" s="52">
        <f>INDEX(LR_Target,MATCH(B315,LR_Lane,0))</f>
        <v/>
      </c>
      <c r="N315" s="84">
        <f>WORKDAY.INTL(L315,M315,INDEX(LR_Code,MATCH(B315,LR_Lane,0)),INDEX(DH_Table,0,MATCH(B315&amp;"*",DH_Head,0)))</f>
        <v/>
      </c>
      <c r="O315" s="65">
        <f>IF(W315&lt;&gt;"",W315,IF(U315="Helmond",IF(COUNTIFS(RC_Lane,B315,RC_Band,E315,RC_Transit,"&lt;&gt;")=0,"",SUMIFS(RC_Transit,RC_Lane,B315,RC_Band,E315)),IF(U315="Other","",IF(INDEX(RS_Transit,MATCH(B315,RS_Lane,0))="","",INDEX(RS_Transit,MATCH(B315,RS_Lane,0))))))</f>
        <v/>
      </c>
      <c r="P315" s="140" t="n"/>
      <c r="Q315" s="84">
        <f>IF(P315&lt;&gt;"",P315,IF(O315="","",WORKDAY.INTL(L315,ROUNDUP(O315,0),INDEX(LR_Code,MATCH(B315,LR_Lane,0)),INDEX(DH_Table,0,MATCH(B315&amp;"*",DH_Head,0)))))</f>
        <v/>
      </c>
      <c r="R315" s="100">
        <f>IF(Q315="","",IF(Q315&lt;=N315,"Yes","No"))</f>
        <v/>
      </c>
      <c r="S315" s="52">
        <f>IF(Q315="","",IF(Q315&lt;=N315,0,NETWORKDAYS.INTL(N315,Q315,INDEX(LR_Code,MATCH(B315,LR_Lane,0)),INDEX(DH_Table,0,MATCH(B315&amp;"*",DH_Head,0)))-1))</f>
        <v/>
      </c>
      <c r="T315" s="127" t="n"/>
      <c r="U315" s="112">
        <f>IF(V315&lt;&gt;"",V315,IF(IFERROR(INDEX(RS_Flag,MATCH(B315,RS_Lane,0)),"")="Yes",IF(IFERROR(INDEX(RS_Loc,MATCH(B315,RS_Lane,0)),"")="","Regional stock",IFERROR(INDEX(RS_Loc,MATCH(B315,RS_Lane,0)),"")),"Helmond"))</f>
        <v/>
      </c>
      <c r="V315" s="141" t="n"/>
      <c r="W315" s="142" t="n"/>
      <c r="X315" s="143" t="n"/>
      <c r="Y315" s="116">
        <f>IF(X315&lt;&gt;"",X315,IF(U315="Helmond",IF(COUNTIFS(RC_Lane,B315,RC_Band,E315,RC_CostPS,"&gt;0")=0,"",SUMIFS(RC_CostPS,RC_Lane,B315,RC_Band,E315)*(1-SUMIFS(RC_Disc,RC_Lane,B315,RC_Band,E315))),IF(U315="Other","",IF(INDEX(RS_Rate,MATCH(B315,RS_Lane,0))="","",INDEX(RS_Rate,MATCH(B315,RS_Lane,0))))))</f>
        <v/>
      </c>
    </row>
    <row r="316">
      <c r="A316" s="95" t="inlineStr">
        <is>
          <t>B-312</t>
        </is>
      </c>
      <c r="B316" s="112" t="inlineStr">
        <is>
          <t>L02</t>
        </is>
      </c>
      <c r="C316" s="101" t="inlineStr">
        <is>
          <t>United Arab Emirates</t>
        </is>
      </c>
      <c r="D316" s="101" t="inlineStr">
        <is>
          <t>Dubai</t>
        </is>
      </c>
      <c r="E316" s="101" t="inlineStr">
        <is>
          <t>B1  0 to 30 kg</t>
        </is>
      </c>
      <c r="F316" s="123" t="n">
        <v>2.9</v>
      </c>
      <c r="G316" s="86">
        <f>F316*0.006477</f>
        <v/>
      </c>
      <c r="H316" s="123">
        <f>F316*1.079436</f>
        <v/>
      </c>
      <c r="I316" s="122">
        <f>MAX(1,ROUNDUP(G316/0.096,0))</f>
        <v/>
      </c>
      <c r="J316" s="84" t="n">
        <v>46730</v>
      </c>
      <c r="K316" s="87">
        <f>J316-WEEKDAY(J316,2)+1</f>
        <v/>
      </c>
      <c r="L316" s="84">
        <f>J316</f>
        <v/>
      </c>
      <c r="M316" s="52">
        <f>INDEX(LR_Target,MATCH(B316,LR_Lane,0))</f>
        <v/>
      </c>
      <c r="N316" s="84">
        <f>WORKDAY.INTL(L316,M316,INDEX(LR_Code,MATCH(B316,LR_Lane,0)),INDEX(DH_Table,0,MATCH(B316&amp;"*",DH_Head,0)))</f>
        <v/>
      </c>
      <c r="O316" s="65">
        <f>IF(W316&lt;&gt;"",W316,IF(U316="Helmond",IF(COUNTIFS(RC_Lane,B316,RC_Band,E316,RC_Transit,"&lt;&gt;")=0,"",SUMIFS(RC_Transit,RC_Lane,B316,RC_Band,E316)),IF(U316="Other","",IF(INDEX(RS_Transit,MATCH(B316,RS_Lane,0))="","",INDEX(RS_Transit,MATCH(B316,RS_Lane,0))))))</f>
        <v/>
      </c>
      <c r="P316" s="140" t="n"/>
      <c r="Q316" s="84">
        <f>IF(P316&lt;&gt;"",P316,IF(O316="","",WORKDAY.INTL(L316,ROUNDUP(O316,0),INDEX(LR_Code,MATCH(B316,LR_Lane,0)),INDEX(DH_Table,0,MATCH(B316&amp;"*",DH_Head,0)))))</f>
        <v/>
      </c>
      <c r="R316" s="100">
        <f>IF(Q316="","",IF(Q316&lt;=N316,"Yes","No"))</f>
        <v/>
      </c>
      <c r="S316" s="52">
        <f>IF(Q316="","",IF(Q316&lt;=N316,0,NETWORKDAYS.INTL(N316,Q316,INDEX(LR_Code,MATCH(B316,LR_Lane,0)),INDEX(DH_Table,0,MATCH(B316&amp;"*",DH_Head,0)))-1))</f>
        <v/>
      </c>
      <c r="T316" s="127" t="n"/>
      <c r="U316" s="112">
        <f>IF(V316&lt;&gt;"",V316,IF(IFERROR(INDEX(RS_Flag,MATCH(B316,RS_Lane,0)),"")="Yes",IF(IFERROR(INDEX(RS_Loc,MATCH(B316,RS_Lane,0)),"")="","Regional stock",IFERROR(INDEX(RS_Loc,MATCH(B316,RS_Lane,0)),"")),"Helmond"))</f>
        <v/>
      </c>
      <c r="V316" s="141" t="n"/>
      <c r="W316" s="142" t="n"/>
      <c r="X316" s="143" t="n"/>
      <c r="Y316" s="116">
        <f>IF(X316&lt;&gt;"",X316,IF(U316="Helmond",IF(COUNTIFS(RC_Lane,B316,RC_Band,E316,RC_CostPS,"&gt;0")=0,"",SUMIFS(RC_CostPS,RC_Lane,B316,RC_Band,E316)*(1-SUMIFS(RC_Disc,RC_Lane,B316,RC_Band,E316))),IF(U316="Other","",IF(INDEX(RS_Rate,MATCH(B316,RS_Lane,0))="","",INDEX(RS_Rate,MATCH(B316,RS_Lane,0))))))</f>
        <v/>
      </c>
    </row>
    <row r="317">
      <c r="A317" s="95" t="inlineStr">
        <is>
          <t>B-313</t>
        </is>
      </c>
      <c r="B317" s="112" t="inlineStr">
        <is>
          <t>L04</t>
        </is>
      </c>
      <c r="C317" s="101" t="inlineStr">
        <is>
          <t>Qatar</t>
        </is>
      </c>
      <c r="D317" s="101" t="inlineStr">
        <is>
          <t>Doha</t>
        </is>
      </c>
      <c r="E317" s="101" t="inlineStr">
        <is>
          <t>B2  30 to 100 kg</t>
        </is>
      </c>
      <c r="F317" s="123" t="n">
        <v>45.4</v>
      </c>
      <c r="G317" s="86">
        <f>F317*0.006477</f>
        <v/>
      </c>
      <c r="H317" s="123">
        <f>F317*1.079436</f>
        <v/>
      </c>
      <c r="I317" s="122">
        <f>MAX(1,ROUNDUP(G317/0.096,0))</f>
        <v/>
      </c>
      <c r="J317" s="84" t="n">
        <v>46731</v>
      </c>
      <c r="K317" s="87">
        <f>J317-WEEKDAY(J317,2)+1</f>
        <v/>
      </c>
      <c r="L317" s="84">
        <f>J317</f>
        <v/>
      </c>
      <c r="M317" s="52">
        <f>INDEX(LR_Target,MATCH(B317,LR_Lane,0))</f>
        <v/>
      </c>
      <c r="N317" s="84">
        <f>WORKDAY.INTL(L317,M317,INDEX(LR_Code,MATCH(B317,LR_Lane,0)),INDEX(DH_Table,0,MATCH(B317&amp;"*",DH_Head,0)))</f>
        <v/>
      </c>
      <c r="O317" s="65">
        <f>IF(W317&lt;&gt;"",W317,IF(U317="Helmond",IF(COUNTIFS(RC_Lane,B317,RC_Band,E317,RC_Transit,"&lt;&gt;")=0,"",SUMIFS(RC_Transit,RC_Lane,B317,RC_Band,E317)),IF(U317="Other","",IF(INDEX(RS_Transit,MATCH(B317,RS_Lane,0))="","",INDEX(RS_Transit,MATCH(B317,RS_Lane,0))))))</f>
        <v/>
      </c>
      <c r="P317" s="140" t="n"/>
      <c r="Q317" s="84">
        <f>IF(P317&lt;&gt;"",P317,IF(O317="","",WORKDAY.INTL(L317,ROUNDUP(O317,0),INDEX(LR_Code,MATCH(B317,LR_Lane,0)),INDEX(DH_Table,0,MATCH(B317&amp;"*",DH_Head,0)))))</f>
        <v/>
      </c>
      <c r="R317" s="100">
        <f>IF(Q317="","",IF(Q317&lt;=N317,"Yes","No"))</f>
        <v/>
      </c>
      <c r="S317" s="52">
        <f>IF(Q317="","",IF(Q317&lt;=N317,0,NETWORKDAYS.INTL(N317,Q317,INDEX(LR_Code,MATCH(B317,LR_Lane,0)),INDEX(DH_Table,0,MATCH(B317&amp;"*",DH_Head,0)))-1))</f>
        <v/>
      </c>
      <c r="T317" s="127" t="n"/>
      <c r="U317" s="112">
        <f>IF(V317&lt;&gt;"",V317,IF(IFERROR(INDEX(RS_Flag,MATCH(B317,RS_Lane,0)),"")="Yes",IF(IFERROR(INDEX(RS_Loc,MATCH(B317,RS_Lane,0)),"")="","Regional stock",IFERROR(INDEX(RS_Loc,MATCH(B317,RS_Lane,0)),"")),"Helmond"))</f>
        <v/>
      </c>
      <c r="V317" s="141" t="n"/>
      <c r="W317" s="142" t="n"/>
      <c r="X317" s="143" t="n"/>
      <c r="Y317" s="116">
        <f>IF(X317&lt;&gt;"",X317,IF(U317="Helmond",IF(COUNTIFS(RC_Lane,B317,RC_Band,E317,RC_CostPS,"&gt;0")=0,"",SUMIFS(RC_CostPS,RC_Lane,B317,RC_Band,E317)*(1-SUMIFS(RC_Disc,RC_Lane,B317,RC_Band,E317))),IF(U317="Other","",IF(INDEX(RS_Rate,MATCH(B317,RS_Lane,0))="","",INDEX(RS_Rate,MATCH(B317,RS_Lane,0))))))</f>
        <v/>
      </c>
    </row>
    <row r="318">
      <c r="A318" s="95" t="inlineStr">
        <is>
          <t>B-314</t>
        </is>
      </c>
      <c r="B318" s="112" t="inlineStr">
        <is>
          <t>L03</t>
        </is>
      </c>
      <c r="C318" s="101" t="inlineStr">
        <is>
          <t>Kuwait</t>
        </is>
      </c>
      <c r="D318" s="101" t="inlineStr">
        <is>
          <t>Kuwait City</t>
        </is>
      </c>
      <c r="E318" s="101" t="inlineStr">
        <is>
          <t>B3  100 to 500 kg</t>
        </is>
      </c>
      <c r="F318" s="123" t="n">
        <v>267.6</v>
      </c>
      <c r="G318" s="86">
        <f>F318*0.006477</f>
        <v/>
      </c>
      <c r="H318" s="123">
        <f>F318*1.079436</f>
        <v/>
      </c>
      <c r="I318" s="122">
        <f>MAX(1,ROUNDUP(G318/0.096,0))</f>
        <v/>
      </c>
      <c r="J318" s="84" t="n">
        <v>46736</v>
      </c>
      <c r="K318" s="87">
        <f>J318-WEEKDAY(J318,2)+1</f>
        <v/>
      </c>
      <c r="L318" s="84">
        <f>J318</f>
        <v/>
      </c>
      <c r="M318" s="52">
        <f>INDEX(LR_Target,MATCH(B318,LR_Lane,0))</f>
        <v/>
      </c>
      <c r="N318" s="84">
        <f>WORKDAY.INTL(L318,M318,INDEX(LR_Code,MATCH(B318,LR_Lane,0)),INDEX(DH_Table,0,MATCH(B318&amp;"*",DH_Head,0)))</f>
        <v/>
      </c>
      <c r="O318" s="65">
        <f>IF(W318&lt;&gt;"",W318,IF(U318="Helmond",IF(COUNTIFS(RC_Lane,B318,RC_Band,E318,RC_Transit,"&lt;&gt;")=0,"",SUMIFS(RC_Transit,RC_Lane,B318,RC_Band,E318)),IF(U318="Other","",IF(INDEX(RS_Transit,MATCH(B318,RS_Lane,0))="","",INDEX(RS_Transit,MATCH(B318,RS_Lane,0))))))</f>
        <v/>
      </c>
      <c r="P318" s="140" t="n"/>
      <c r="Q318" s="84">
        <f>IF(P318&lt;&gt;"",P318,IF(O318="","",WORKDAY.INTL(L318,ROUNDUP(O318,0),INDEX(LR_Code,MATCH(B318,LR_Lane,0)),INDEX(DH_Table,0,MATCH(B318&amp;"*",DH_Head,0)))))</f>
        <v/>
      </c>
      <c r="R318" s="100">
        <f>IF(Q318="","",IF(Q318&lt;=N318,"Yes","No"))</f>
        <v/>
      </c>
      <c r="S318" s="52">
        <f>IF(Q318="","",IF(Q318&lt;=N318,0,NETWORKDAYS.INTL(N318,Q318,INDEX(LR_Code,MATCH(B318,LR_Lane,0)),INDEX(DH_Table,0,MATCH(B318&amp;"*",DH_Head,0)))-1))</f>
        <v/>
      </c>
      <c r="T318" s="127" t="n"/>
      <c r="U318" s="112">
        <f>IF(V318&lt;&gt;"",V318,IF(IFERROR(INDEX(RS_Flag,MATCH(B318,RS_Lane,0)),"")="Yes",IF(IFERROR(INDEX(RS_Loc,MATCH(B318,RS_Lane,0)),"")="","Regional stock",IFERROR(INDEX(RS_Loc,MATCH(B318,RS_Lane,0)),"")),"Helmond"))</f>
        <v/>
      </c>
      <c r="V318" s="141" t="n"/>
      <c r="W318" s="142" t="n"/>
      <c r="X318" s="143" t="n"/>
      <c r="Y318" s="116">
        <f>IF(X318&lt;&gt;"",X318,IF(U318="Helmond",IF(COUNTIFS(RC_Lane,B318,RC_Band,E318,RC_CostPS,"&gt;0")=0,"",SUMIFS(RC_CostPS,RC_Lane,B318,RC_Band,E318)*(1-SUMIFS(RC_Disc,RC_Lane,B318,RC_Band,E318))),IF(U318="Other","",IF(INDEX(RS_Rate,MATCH(B318,RS_Lane,0))="","",INDEX(RS_Rate,MATCH(B318,RS_Lane,0))))))</f>
        <v/>
      </c>
    </row>
    <row r="319">
      <c r="A319" s="95" t="inlineStr">
        <is>
          <t>B-315</t>
        </is>
      </c>
      <c r="B319" s="112" t="inlineStr">
        <is>
          <t>L01</t>
        </is>
      </c>
      <c r="C319" s="101" t="inlineStr">
        <is>
          <t>Saudi Arabia</t>
        </is>
      </c>
      <c r="D319" s="101" t="inlineStr">
        <is>
          <t>Jeddah</t>
        </is>
      </c>
      <c r="E319" s="101" t="inlineStr">
        <is>
          <t>B5  over 2,000 kg</t>
        </is>
      </c>
      <c r="F319" s="123" t="n">
        <v>2367.6</v>
      </c>
      <c r="G319" s="86">
        <f>F319*0.006477</f>
        <v/>
      </c>
      <c r="H319" s="123">
        <f>F319*1.079436</f>
        <v/>
      </c>
      <c r="I319" s="122">
        <f>MAX(1,ROUNDUP(G319/0.096,0))</f>
        <v/>
      </c>
      <c r="J319" s="84" t="n">
        <v>46738</v>
      </c>
      <c r="K319" s="87">
        <f>J319-WEEKDAY(J319,2)+1</f>
        <v/>
      </c>
      <c r="L319" s="84">
        <f>J319</f>
        <v/>
      </c>
      <c r="M319" s="52">
        <f>INDEX(LR_Target,MATCH(B319,LR_Lane,0))</f>
        <v/>
      </c>
      <c r="N319" s="84">
        <f>WORKDAY.INTL(L319,M319,INDEX(LR_Code,MATCH(B319,LR_Lane,0)),INDEX(DH_Table,0,MATCH(B319&amp;"*",DH_Head,0)))</f>
        <v/>
      </c>
      <c r="O319" s="65">
        <f>IF(W319&lt;&gt;"",W319,IF(U319="Helmond",IF(COUNTIFS(RC_Lane,B319,RC_Band,E319,RC_Transit,"&lt;&gt;")=0,"",SUMIFS(RC_Transit,RC_Lane,B319,RC_Band,E319)),IF(U319="Other","",IF(INDEX(RS_Transit,MATCH(B319,RS_Lane,0))="","",INDEX(RS_Transit,MATCH(B319,RS_Lane,0))))))</f>
        <v/>
      </c>
      <c r="P319" s="140" t="n"/>
      <c r="Q319" s="84">
        <f>IF(P319&lt;&gt;"",P319,IF(O319="","",WORKDAY.INTL(L319,ROUNDUP(O319,0),INDEX(LR_Code,MATCH(B319,LR_Lane,0)),INDEX(DH_Table,0,MATCH(B319&amp;"*",DH_Head,0)))))</f>
        <v/>
      </c>
      <c r="R319" s="100">
        <f>IF(Q319="","",IF(Q319&lt;=N319,"Yes","No"))</f>
        <v/>
      </c>
      <c r="S319" s="52">
        <f>IF(Q319="","",IF(Q319&lt;=N319,0,NETWORKDAYS.INTL(N319,Q319,INDEX(LR_Code,MATCH(B319,LR_Lane,0)),INDEX(DH_Table,0,MATCH(B319&amp;"*",DH_Head,0)))-1))</f>
        <v/>
      </c>
      <c r="T319" s="127" t="n"/>
      <c r="U319" s="112">
        <f>IF(V319&lt;&gt;"",V319,IF(IFERROR(INDEX(RS_Flag,MATCH(B319,RS_Lane,0)),"")="Yes",IF(IFERROR(INDEX(RS_Loc,MATCH(B319,RS_Lane,0)),"")="","Regional stock",IFERROR(INDEX(RS_Loc,MATCH(B319,RS_Lane,0)),"")),"Helmond"))</f>
        <v/>
      </c>
      <c r="V319" s="141" t="n"/>
      <c r="W319" s="142" t="n"/>
      <c r="X319" s="143" t="n"/>
      <c r="Y319" s="116">
        <f>IF(X319&lt;&gt;"",X319,IF(U319="Helmond",IF(COUNTIFS(RC_Lane,B319,RC_Band,E319,RC_CostPS,"&gt;0")=0,"",SUMIFS(RC_CostPS,RC_Lane,B319,RC_Band,E319)*(1-SUMIFS(RC_Disc,RC_Lane,B319,RC_Band,E319))),IF(U319="Other","",IF(INDEX(RS_Rate,MATCH(B319,RS_Lane,0))="","",INDEX(RS_Rate,MATCH(B319,RS_Lane,0))))))</f>
        <v/>
      </c>
    </row>
    <row r="320">
      <c r="A320" s="95" t="inlineStr">
        <is>
          <t>B-316</t>
        </is>
      </c>
      <c r="B320" s="112" t="inlineStr">
        <is>
          <t>L03</t>
        </is>
      </c>
      <c r="C320" s="101" t="inlineStr">
        <is>
          <t>Kuwait</t>
        </is>
      </c>
      <c r="D320" s="101" t="inlineStr">
        <is>
          <t>Kuwait City</t>
        </is>
      </c>
      <c r="E320" s="101" t="inlineStr">
        <is>
          <t>B3  100 to 500 kg</t>
        </is>
      </c>
      <c r="F320" s="123" t="n">
        <v>238.3</v>
      </c>
      <c r="G320" s="86">
        <f>F320*0.006477</f>
        <v/>
      </c>
      <c r="H320" s="123">
        <f>F320*1.079436</f>
        <v/>
      </c>
      <c r="I320" s="122">
        <f>MAX(1,ROUNDUP(G320/0.096,0))</f>
        <v/>
      </c>
      <c r="J320" s="84" t="n">
        <v>46738</v>
      </c>
      <c r="K320" s="87">
        <f>J320-WEEKDAY(J320,2)+1</f>
        <v/>
      </c>
      <c r="L320" s="84">
        <f>J320</f>
        <v/>
      </c>
      <c r="M320" s="52">
        <f>INDEX(LR_Target,MATCH(B320,LR_Lane,0))</f>
        <v/>
      </c>
      <c r="N320" s="84">
        <f>WORKDAY.INTL(L320,M320,INDEX(LR_Code,MATCH(B320,LR_Lane,0)),INDEX(DH_Table,0,MATCH(B320&amp;"*",DH_Head,0)))</f>
        <v/>
      </c>
      <c r="O320" s="65">
        <f>IF(W320&lt;&gt;"",W320,IF(U320="Helmond",IF(COUNTIFS(RC_Lane,B320,RC_Band,E320,RC_Transit,"&lt;&gt;")=0,"",SUMIFS(RC_Transit,RC_Lane,B320,RC_Band,E320)),IF(U320="Other","",IF(INDEX(RS_Transit,MATCH(B320,RS_Lane,0))="","",INDEX(RS_Transit,MATCH(B320,RS_Lane,0))))))</f>
        <v/>
      </c>
      <c r="P320" s="140" t="n"/>
      <c r="Q320" s="84">
        <f>IF(P320&lt;&gt;"",P320,IF(O320="","",WORKDAY.INTL(L320,ROUNDUP(O320,0),INDEX(LR_Code,MATCH(B320,LR_Lane,0)),INDEX(DH_Table,0,MATCH(B320&amp;"*",DH_Head,0)))))</f>
        <v/>
      </c>
      <c r="R320" s="100">
        <f>IF(Q320="","",IF(Q320&lt;=N320,"Yes","No"))</f>
        <v/>
      </c>
      <c r="S320" s="52">
        <f>IF(Q320="","",IF(Q320&lt;=N320,0,NETWORKDAYS.INTL(N320,Q320,INDEX(LR_Code,MATCH(B320,LR_Lane,0)),INDEX(DH_Table,0,MATCH(B320&amp;"*",DH_Head,0)))-1))</f>
        <v/>
      </c>
      <c r="T320" s="127" t="n"/>
      <c r="U320" s="112">
        <f>IF(V320&lt;&gt;"",V320,IF(IFERROR(INDEX(RS_Flag,MATCH(B320,RS_Lane,0)),"")="Yes",IF(IFERROR(INDEX(RS_Loc,MATCH(B320,RS_Lane,0)),"")="","Regional stock",IFERROR(INDEX(RS_Loc,MATCH(B320,RS_Lane,0)),"")),"Helmond"))</f>
        <v/>
      </c>
      <c r="V320" s="141" t="n"/>
      <c r="W320" s="142" t="n"/>
      <c r="X320" s="143" t="n"/>
      <c r="Y320" s="116">
        <f>IF(X320&lt;&gt;"",X320,IF(U320="Helmond",IF(COUNTIFS(RC_Lane,B320,RC_Band,E320,RC_CostPS,"&gt;0")=0,"",SUMIFS(RC_CostPS,RC_Lane,B320,RC_Band,E320)*(1-SUMIFS(RC_Disc,RC_Lane,B320,RC_Band,E320))),IF(U320="Other","",IF(INDEX(RS_Rate,MATCH(B320,RS_Lane,0))="","",INDEX(RS_Rate,MATCH(B320,RS_Lane,0))))))</f>
        <v/>
      </c>
    </row>
    <row r="321">
      <c r="A321" s="95" t="inlineStr">
        <is>
          <t>B-317</t>
        </is>
      </c>
      <c r="B321" s="112" t="inlineStr">
        <is>
          <t>L04</t>
        </is>
      </c>
      <c r="C321" s="101" t="inlineStr">
        <is>
          <t>Qatar</t>
        </is>
      </c>
      <c r="D321" s="101" t="inlineStr">
        <is>
          <t>Doha</t>
        </is>
      </c>
      <c r="E321" s="101" t="inlineStr">
        <is>
          <t>B1  0 to 30 kg</t>
        </is>
      </c>
      <c r="F321" s="123" t="n">
        <v>5.1</v>
      </c>
      <c r="G321" s="86">
        <f>F321*0.006477</f>
        <v/>
      </c>
      <c r="H321" s="123">
        <f>F321*1.079436</f>
        <v/>
      </c>
      <c r="I321" s="122">
        <f>MAX(1,ROUNDUP(G321/0.096,0))</f>
        <v/>
      </c>
      <c r="J321" s="84" t="n">
        <v>46738</v>
      </c>
      <c r="K321" s="87">
        <f>J321-WEEKDAY(J321,2)+1</f>
        <v/>
      </c>
      <c r="L321" s="84">
        <f>J321</f>
        <v/>
      </c>
      <c r="M321" s="52">
        <f>INDEX(LR_Target,MATCH(B321,LR_Lane,0))</f>
        <v/>
      </c>
      <c r="N321" s="84">
        <f>WORKDAY.INTL(L321,M321,INDEX(LR_Code,MATCH(B321,LR_Lane,0)),INDEX(DH_Table,0,MATCH(B321&amp;"*",DH_Head,0)))</f>
        <v/>
      </c>
      <c r="O321" s="65">
        <f>IF(W321&lt;&gt;"",W321,IF(U321="Helmond",IF(COUNTIFS(RC_Lane,B321,RC_Band,E321,RC_Transit,"&lt;&gt;")=0,"",SUMIFS(RC_Transit,RC_Lane,B321,RC_Band,E321)),IF(U321="Other","",IF(INDEX(RS_Transit,MATCH(B321,RS_Lane,0))="","",INDEX(RS_Transit,MATCH(B321,RS_Lane,0))))))</f>
        <v/>
      </c>
      <c r="P321" s="140" t="n"/>
      <c r="Q321" s="84">
        <f>IF(P321&lt;&gt;"",P321,IF(O321="","",WORKDAY.INTL(L321,ROUNDUP(O321,0),INDEX(LR_Code,MATCH(B321,LR_Lane,0)),INDEX(DH_Table,0,MATCH(B321&amp;"*",DH_Head,0)))))</f>
        <v/>
      </c>
      <c r="R321" s="100">
        <f>IF(Q321="","",IF(Q321&lt;=N321,"Yes","No"))</f>
        <v/>
      </c>
      <c r="S321" s="52">
        <f>IF(Q321="","",IF(Q321&lt;=N321,0,NETWORKDAYS.INTL(N321,Q321,INDEX(LR_Code,MATCH(B321,LR_Lane,0)),INDEX(DH_Table,0,MATCH(B321&amp;"*",DH_Head,0)))-1))</f>
        <v/>
      </c>
      <c r="T321" s="127" t="n"/>
      <c r="U321" s="112">
        <f>IF(V321&lt;&gt;"",V321,IF(IFERROR(INDEX(RS_Flag,MATCH(B321,RS_Lane,0)),"")="Yes",IF(IFERROR(INDEX(RS_Loc,MATCH(B321,RS_Lane,0)),"")="","Regional stock",IFERROR(INDEX(RS_Loc,MATCH(B321,RS_Lane,0)),"")),"Helmond"))</f>
        <v/>
      </c>
      <c r="V321" s="141" t="n"/>
      <c r="W321" s="142" t="n"/>
      <c r="X321" s="143" t="n"/>
      <c r="Y321" s="116">
        <f>IF(X321&lt;&gt;"",X321,IF(U321="Helmond",IF(COUNTIFS(RC_Lane,B321,RC_Band,E321,RC_CostPS,"&gt;0")=0,"",SUMIFS(RC_CostPS,RC_Lane,B321,RC_Band,E321)*(1-SUMIFS(RC_Disc,RC_Lane,B321,RC_Band,E321))),IF(U321="Other","",IF(INDEX(RS_Rate,MATCH(B321,RS_Lane,0))="","",INDEX(RS_Rate,MATCH(B321,RS_Lane,0))))))</f>
        <v/>
      </c>
    </row>
    <row r="322">
      <c r="A322" s="95" t="inlineStr">
        <is>
          <t>B-318</t>
        </is>
      </c>
      <c r="B322" s="112" t="inlineStr">
        <is>
          <t>L01</t>
        </is>
      </c>
      <c r="C322" s="101" t="inlineStr">
        <is>
          <t>Saudi Arabia</t>
        </is>
      </c>
      <c r="D322" s="101" t="inlineStr">
        <is>
          <t>Jeddah</t>
        </is>
      </c>
      <c r="E322" s="101" t="inlineStr">
        <is>
          <t>B1  0 to 30 kg</t>
        </is>
      </c>
      <c r="F322" s="123" t="n">
        <v>5.7</v>
      </c>
      <c r="G322" s="86">
        <f>F322*0.006477</f>
        <v/>
      </c>
      <c r="H322" s="123">
        <f>F322*1.079436</f>
        <v/>
      </c>
      <c r="I322" s="122">
        <f>MAX(1,ROUNDUP(G322/0.096,0))</f>
        <v/>
      </c>
      <c r="J322" s="84" t="n">
        <v>46741</v>
      </c>
      <c r="K322" s="87">
        <f>J322-WEEKDAY(J322,2)+1</f>
        <v/>
      </c>
      <c r="L322" s="84">
        <f>J322</f>
        <v/>
      </c>
      <c r="M322" s="52">
        <f>INDEX(LR_Target,MATCH(B322,LR_Lane,0))</f>
        <v/>
      </c>
      <c r="N322" s="84">
        <f>WORKDAY.INTL(L322,M322,INDEX(LR_Code,MATCH(B322,LR_Lane,0)),INDEX(DH_Table,0,MATCH(B322&amp;"*",DH_Head,0)))</f>
        <v/>
      </c>
      <c r="O322" s="65">
        <f>IF(W322&lt;&gt;"",W322,IF(U322="Helmond",IF(COUNTIFS(RC_Lane,B322,RC_Band,E322,RC_Transit,"&lt;&gt;")=0,"",SUMIFS(RC_Transit,RC_Lane,B322,RC_Band,E322)),IF(U322="Other","",IF(INDEX(RS_Transit,MATCH(B322,RS_Lane,0))="","",INDEX(RS_Transit,MATCH(B322,RS_Lane,0))))))</f>
        <v/>
      </c>
      <c r="P322" s="140" t="n"/>
      <c r="Q322" s="84">
        <f>IF(P322&lt;&gt;"",P322,IF(O322="","",WORKDAY.INTL(L322,ROUNDUP(O322,0),INDEX(LR_Code,MATCH(B322,LR_Lane,0)),INDEX(DH_Table,0,MATCH(B322&amp;"*",DH_Head,0)))))</f>
        <v/>
      </c>
      <c r="R322" s="100">
        <f>IF(Q322="","",IF(Q322&lt;=N322,"Yes","No"))</f>
        <v/>
      </c>
      <c r="S322" s="52">
        <f>IF(Q322="","",IF(Q322&lt;=N322,0,NETWORKDAYS.INTL(N322,Q322,INDEX(LR_Code,MATCH(B322,LR_Lane,0)),INDEX(DH_Table,0,MATCH(B322&amp;"*",DH_Head,0)))-1))</f>
        <v/>
      </c>
      <c r="T322" s="127" t="n"/>
      <c r="U322" s="112">
        <f>IF(V322&lt;&gt;"",V322,IF(IFERROR(INDEX(RS_Flag,MATCH(B322,RS_Lane,0)),"")="Yes",IF(IFERROR(INDEX(RS_Loc,MATCH(B322,RS_Lane,0)),"")="","Regional stock",IFERROR(INDEX(RS_Loc,MATCH(B322,RS_Lane,0)),"")),"Helmond"))</f>
        <v/>
      </c>
      <c r="V322" s="141" t="n"/>
      <c r="W322" s="142" t="n"/>
      <c r="X322" s="143" t="n"/>
      <c r="Y322" s="116">
        <f>IF(X322&lt;&gt;"",X322,IF(U322="Helmond",IF(COUNTIFS(RC_Lane,B322,RC_Band,E322,RC_CostPS,"&gt;0")=0,"",SUMIFS(RC_CostPS,RC_Lane,B322,RC_Band,E322)*(1-SUMIFS(RC_Disc,RC_Lane,B322,RC_Band,E322))),IF(U322="Other","",IF(INDEX(RS_Rate,MATCH(B322,RS_Lane,0))="","",INDEX(RS_Rate,MATCH(B322,RS_Lane,0))))))</f>
        <v/>
      </c>
    </row>
    <row r="323">
      <c r="A323" s="95" t="inlineStr">
        <is>
          <t>B-319</t>
        </is>
      </c>
      <c r="B323" s="112" t="inlineStr">
        <is>
          <t>L01</t>
        </is>
      </c>
      <c r="C323" s="101" t="inlineStr">
        <is>
          <t>Saudi Arabia</t>
        </is>
      </c>
      <c r="D323" s="101" t="inlineStr">
        <is>
          <t>Riyadh</t>
        </is>
      </c>
      <c r="E323" s="101" t="inlineStr">
        <is>
          <t>B3  100 to 500 kg</t>
        </is>
      </c>
      <c r="F323" s="123" t="n">
        <v>353.9</v>
      </c>
      <c r="G323" s="86">
        <f>F323*0.006477</f>
        <v/>
      </c>
      <c r="H323" s="123">
        <f>F323*1.079436</f>
        <v/>
      </c>
      <c r="I323" s="122">
        <f>MAX(1,ROUNDUP(G323/0.096,0))</f>
        <v/>
      </c>
      <c r="J323" s="84" t="n">
        <v>46743</v>
      </c>
      <c r="K323" s="87">
        <f>J323-WEEKDAY(J323,2)+1</f>
        <v/>
      </c>
      <c r="L323" s="84">
        <f>J323</f>
        <v/>
      </c>
      <c r="M323" s="52">
        <f>INDEX(LR_Target,MATCH(B323,LR_Lane,0))</f>
        <v/>
      </c>
      <c r="N323" s="84">
        <f>WORKDAY.INTL(L323,M323,INDEX(LR_Code,MATCH(B323,LR_Lane,0)),INDEX(DH_Table,0,MATCH(B323&amp;"*",DH_Head,0)))</f>
        <v/>
      </c>
      <c r="O323" s="65">
        <f>IF(W323&lt;&gt;"",W323,IF(U323="Helmond",IF(COUNTIFS(RC_Lane,B323,RC_Band,E323,RC_Transit,"&lt;&gt;")=0,"",SUMIFS(RC_Transit,RC_Lane,B323,RC_Band,E323)),IF(U323="Other","",IF(INDEX(RS_Transit,MATCH(B323,RS_Lane,0))="","",INDEX(RS_Transit,MATCH(B323,RS_Lane,0))))))</f>
        <v/>
      </c>
      <c r="P323" s="140" t="n"/>
      <c r="Q323" s="84">
        <f>IF(P323&lt;&gt;"",P323,IF(O323="","",WORKDAY.INTL(L323,ROUNDUP(O323,0),INDEX(LR_Code,MATCH(B323,LR_Lane,0)),INDEX(DH_Table,0,MATCH(B323&amp;"*",DH_Head,0)))))</f>
        <v/>
      </c>
      <c r="R323" s="100">
        <f>IF(Q323="","",IF(Q323&lt;=N323,"Yes","No"))</f>
        <v/>
      </c>
      <c r="S323" s="52">
        <f>IF(Q323="","",IF(Q323&lt;=N323,0,NETWORKDAYS.INTL(N323,Q323,INDEX(LR_Code,MATCH(B323,LR_Lane,0)),INDEX(DH_Table,0,MATCH(B323&amp;"*",DH_Head,0)))-1))</f>
        <v/>
      </c>
      <c r="T323" s="127" t="n"/>
      <c r="U323" s="112">
        <f>IF(V323&lt;&gt;"",V323,IF(IFERROR(INDEX(RS_Flag,MATCH(B323,RS_Lane,0)),"")="Yes",IF(IFERROR(INDEX(RS_Loc,MATCH(B323,RS_Lane,0)),"")="","Regional stock",IFERROR(INDEX(RS_Loc,MATCH(B323,RS_Lane,0)),"")),"Helmond"))</f>
        <v/>
      </c>
      <c r="V323" s="141" t="n"/>
      <c r="W323" s="142" t="n"/>
      <c r="X323" s="143" t="n"/>
      <c r="Y323" s="116">
        <f>IF(X323&lt;&gt;"",X323,IF(U323="Helmond",IF(COUNTIFS(RC_Lane,B323,RC_Band,E323,RC_CostPS,"&gt;0")=0,"",SUMIFS(RC_CostPS,RC_Lane,B323,RC_Band,E323)*(1-SUMIFS(RC_Disc,RC_Lane,B323,RC_Band,E323))),IF(U323="Other","",IF(INDEX(RS_Rate,MATCH(B323,RS_Lane,0))="","",INDEX(RS_Rate,MATCH(B323,RS_Lane,0))))))</f>
        <v/>
      </c>
    </row>
    <row r="324">
      <c r="A324" s="95" t="inlineStr">
        <is>
          <t>B-320</t>
        </is>
      </c>
      <c r="B324" s="112" t="inlineStr">
        <is>
          <t>L01</t>
        </is>
      </c>
      <c r="C324" s="101" t="inlineStr">
        <is>
          <t>Saudi Arabia</t>
        </is>
      </c>
      <c r="D324" s="101" t="inlineStr">
        <is>
          <t>Jeddah</t>
        </is>
      </c>
      <c r="E324" s="101" t="inlineStr">
        <is>
          <t>B1  0 to 30 kg</t>
        </is>
      </c>
      <c r="F324" s="123" t="n">
        <v>7.8</v>
      </c>
      <c r="G324" s="86">
        <f>F324*0.006477</f>
        <v/>
      </c>
      <c r="H324" s="123">
        <f>F324*1.079436</f>
        <v/>
      </c>
      <c r="I324" s="122">
        <f>MAX(1,ROUNDUP(G324/0.096,0))</f>
        <v/>
      </c>
      <c r="J324" s="84" t="n">
        <v>46743</v>
      </c>
      <c r="K324" s="87">
        <f>J324-WEEKDAY(J324,2)+1</f>
        <v/>
      </c>
      <c r="L324" s="84">
        <f>J324</f>
        <v/>
      </c>
      <c r="M324" s="52">
        <f>INDEX(LR_Target,MATCH(B324,LR_Lane,0))</f>
        <v/>
      </c>
      <c r="N324" s="84">
        <f>WORKDAY.INTL(L324,M324,INDEX(LR_Code,MATCH(B324,LR_Lane,0)),INDEX(DH_Table,0,MATCH(B324&amp;"*",DH_Head,0)))</f>
        <v/>
      </c>
      <c r="O324" s="65">
        <f>IF(W324&lt;&gt;"",W324,IF(U324="Helmond",IF(COUNTIFS(RC_Lane,B324,RC_Band,E324,RC_Transit,"&lt;&gt;")=0,"",SUMIFS(RC_Transit,RC_Lane,B324,RC_Band,E324)),IF(U324="Other","",IF(INDEX(RS_Transit,MATCH(B324,RS_Lane,0))="","",INDEX(RS_Transit,MATCH(B324,RS_Lane,0))))))</f>
        <v/>
      </c>
      <c r="P324" s="140" t="n"/>
      <c r="Q324" s="84">
        <f>IF(P324&lt;&gt;"",P324,IF(O324="","",WORKDAY.INTL(L324,ROUNDUP(O324,0),INDEX(LR_Code,MATCH(B324,LR_Lane,0)),INDEX(DH_Table,0,MATCH(B324&amp;"*",DH_Head,0)))))</f>
        <v/>
      </c>
      <c r="R324" s="100">
        <f>IF(Q324="","",IF(Q324&lt;=N324,"Yes","No"))</f>
        <v/>
      </c>
      <c r="S324" s="52">
        <f>IF(Q324="","",IF(Q324&lt;=N324,0,NETWORKDAYS.INTL(N324,Q324,INDEX(LR_Code,MATCH(B324,LR_Lane,0)),INDEX(DH_Table,0,MATCH(B324&amp;"*",DH_Head,0)))-1))</f>
        <v/>
      </c>
      <c r="T324" s="127" t="n"/>
      <c r="U324" s="112">
        <f>IF(V324&lt;&gt;"",V324,IF(IFERROR(INDEX(RS_Flag,MATCH(B324,RS_Lane,0)),"")="Yes",IF(IFERROR(INDEX(RS_Loc,MATCH(B324,RS_Lane,0)),"")="","Regional stock",IFERROR(INDEX(RS_Loc,MATCH(B324,RS_Lane,0)),"")),"Helmond"))</f>
        <v/>
      </c>
      <c r="V324" s="141" t="n"/>
      <c r="W324" s="142" t="n"/>
      <c r="X324" s="143" t="n"/>
      <c r="Y324" s="116">
        <f>IF(X324&lt;&gt;"",X324,IF(U324="Helmond",IF(COUNTIFS(RC_Lane,B324,RC_Band,E324,RC_CostPS,"&gt;0")=0,"",SUMIFS(RC_CostPS,RC_Lane,B324,RC_Band,E324)*(1-SUMIFS(RC_Disc,RC_Lane,B324,RC_Band,E324))),IF(U324="Other","",IF(INDEX(RS_Rate,MATCH(B324,RS_Lane,0))="","",INDEX(RS_Rate,MATCH(B324,RS_Lane,0))))))</f>
        <v/>
      </c>
    </row>
    <row r="325">
      <c r="A325" s="95" t="inlineStr">
        <is>
          <t>B-321</t>
        </is>
      </c>
      <c r="B325" s="112" t="inlineStr">
        <is>
          <t>L05</t>
        </is>
      </c>
      <c r="C325" s="101" t="inlineStr">
        <is>
          <t>Türkiye</t>
        </is>
      </c>
      <c r="D325" s="101" t="inlineStr">
        <is>
          <t>Istanbul</t>
        </is>
      </c>
      <c r="E325" s="101" t="inlineStr">
        <is>
          <t>B2  30 to 100 kg</t>
        </is>
      </c>
      <c r="F325" s="123" t="n">
        <v>42.3</v>
      </c>
      <c r="G325" s="86">
        <f>F325*0.006477</f>
        <v/>
      </c>
      <c r="H325" s="123">
        <f>F325*1.079436</f>
        <v/>
      </c>
      <c r="I325" s="122">
        <f>MAX(1,ROUNDUP(G325/0.096,0))</f>
        <v/>
      </c>
      <c r="J325" s="84" t="n">
        <v>46743</v>
      </c>
      <c r="K325" s="87">
        <f>J325-WEEKDAY(J325,2)+1</f>
        <v/>
      </c>
      <c r="L325" s="84">
        <f>J325</f>
        <v/>
      </c>
      <c r="M325" s="52">
        <f>INDEX(LR_Target,MATCH(B325,LR_Lane,0))</f>
        <v/>
      </c>
      <c r="N325" s="84">
        <f>WORKDAY.INTL(L325,M325,INDEX(LR_Code,MATCH(B325,LR_Lane,0)),INDEX(DH_Table,0,MATCH(B325&amp;"*",DH_Head,0)))</f>
        <v/>
      </c>
      <c r="O325" s="65">
        <f>IF(W325&lt;&gt;"",W325,IF(U325="Helmond",IF(COUNTIFS(RC_Lane,B325,RC_Band,E325,RC_Transit,"&lt;&gt;")=0,"",SUMIFS(RC_Transit,RC_Lane,B325,RC_Band,E325)),IF(U325="Other","",IF(INDEX(RS_Transit,MATCH(B325,RS_Lane,0))="","",INDEX(RS_Transit,MATCH(B325,RS_Lane,0))))))</f>
        <v/>
      </c>
      <c r="P325" s="140" t="n"/>
      <c r="Q325" s="84">
        <f>IF(P325&lt;&gt;"",P325,IF(O325="","",WORKDAY.INTL(L325,ROUNDUP(O325,0),INDEX(LR_Code,MATCH(B325,LR_Lane,0)),INDEX(DH_Table,0,MATCH(B325&amp;"*",DH_Head,0)))))</f>
        <v/>
      </c>
      <c r="R325" s="100">
        <f>IF(Q325="","",IF(Q325&lt;=N325,"Yes","No"))</f>
        <v/>
      </c>
      <c r="S325" s="52">
        <f>IF(Q325="","",IF(Q325&lt;=N325,0,NETWORKDAYS.INTL(N325,Q325,INDEX(LR_Code,MATCH(B325,LR_Lane,0)),INDEX(DH_Table,0,MATCH(B325&amp;"*",DH_Head,0)))-1))</f>
        <v/>
      </c>
      <c r="T325" s="127" t="n"/>
      <c r="U325" s="112">
        <f>IF(V325&lt;&gt;"",V325,IF(IFERROR(INDEX(RS_Flag,MATCH(B325,RS_Lane,0)),"")="Yes",IF(IFERROR(INDEX(RS_Loc,MATCH(B325,RS_Lane,0)),"")="","Regional stock",IFERROR(INDEX(RS_Loc,MATCH(B325,RS_Lane,0)),"")),"Helmond"))</f>
        <v/>
      </c>
      <c r="V325" s="141" t="n"/>
      <c r="W325" s="142" t="n"/>
      <c r="X325" s="143" t="n"/>
      <c r="Y325" s="116">
        <f>IF(X325&lt;&gt;"",X325,IF(U325="Helmond",IF(COUNTIFS(RC_Lane,B325,RC_Band,E325,RC_CostPS,"&gt;0")=0,"",SUMIFS(RC_CostPS,RC_Lane,B325,RC_Band,E325)*(1-SUMIFS(RC_Disc,RC_Lane,B325,RC_Band,E325))),IF(U325="Other","",IF(INDEX(RS_Rate,MATCH(B325,RS_Lane,0))="","",INDEX(RS_Rate,MATCH(B325,RS_Lane,0))))))</f>
        <v/>
      </c>
    </row>
    <row r="326">
      <c r="A326" s="95" t="inlineStr">
        <is>
          <t>B-322</t>
        </is>
      </c>
      <c r="B326" s="112" t="inlineStr">
        <is>
          <t>L05</t>
        </is>
      </c>
      <c r="C326" s="101" t="inlineStr">
        <is>
          <t>Türkiye</t>
        </is>
      </c>
      <c r="D326" s="101" t="inlineStr">
        <is>
          <t>Istanbul</t>
        </is>
      </c>
      <c r="E326" s="101" t="inlineStr">
        <is>
          <t>B2  30 to 100 kg</t>
        </is>
      </c>
      <c r="F326" s="123" t="n">
        <v>46.3</v>
      </c>
      <c r="G326" s="86">
        <f>F326*0.006477</f>
        <v/>
      </c>
      <c r="H326" s="123">
        <f>F326*1.079436</f>
        <v/>
      </c>
      <c r="I326" s="122">
        <f>MAX(1,ROUNDUP(G326/0.096,0))</f>
        <v/>
      </c>
      <c r="J326" s="84" t="n">
        <v>46744</v>
      </c>
      <c r="K326" s="87">
        <f>J326-WEEKDAY(J326,2)+1</f>
        <v/>
      </c>
      <c r="L326" s="84">
        <f>J326</f>
        <v/>
      </c>
      <c r="M326" s="52">
        <f>INDEX(LR_Target,MATCH(B326,LR_Lane,0))</f>
        <v/>
      </c>
      <c r="N326" s="84">
        <f>WORKDAY.INTL(L326,M326,INDEX(LR_Code,MATCH(B326,LR_Lane,0)),INDEX(DH_Table,0,MATCH(B326&amp;"*",DH_Head,0)))</f>
        <v/>
      </c>
      <c r="O326" s="65">
        <f>IF(W326&lt;&gt;"",W326,IF(U326="Helmond",IF(COUNTIFS(RC_Lane,B326,RC_Band,E326,RC_Transit,"&lt;&gt;")=0,"",SUMIFS(RC_Transit,RC_Lane,B326,RC_Band,E326)),IF(U326="Other","",IF(INDEX(RS_Transit,MATCH(B326,RS_Lane,0))="","",INDEX(RS_Transit,MATCH(B326,RS_Lane,0))))))</f>
        <v/>
      </c>
      <c r="P326" s="140" t="n"/>
      <c r="Q326" s="84">
        <f>IF(P326&lt;&gt;"",P326,IF(O326="","",WORKDAY.INTL(L326,ROUNDUP(O326,0),INDEX(LR_Code,MATCH(B326,LR_Lane,0)),INDEX(DH_Table,0,MATCH(B326&amp;"*",DH_Head,0)))))</f>
        <v/>
      </c>
      <c r="R326" s="100">
        <f>IF(Q326="","",IF(Q326&lt;=N326,"Yes","No"))</f>
        <v/>
      </c>
      <c r="S326" s="52">
        <f>IF(Q326="","",IF(Q326&lt;=N326,0,NETWORKDAYS.INTL(N326,Q326,INDEX(LR_Code,MATCH(B326,LR_Lane,0)),INDEX(DH_Table,0,MATCH(B326&amp;"*",DH_Head,0)))-1))</f>
        <v/>
      </c>
      <c r="T326" s="127" t="n"/>
      <c r="U326" s="112">
        <f>IF(V326&lt;&gt;"",V326,IF(IFERROR(INDEX(RS_Flag,MATCH(B326,RS_Lane,0)),"")="Yes",IF(IFERROR(INDEX(RS_Loc,MATCH(B326,RS_Lane,0)),"")="","Regional stock",IFERROR(INDEX(RS_Loc,MATCH(B326,RS_Lane,0)),"")),"Helmond"))</f>
        <v/>
      </c>
      <c r="V326" s="141" t="n"/>
      <c r="W326" s="142" t="n"/>
      <c r="X326" s="143" t="n"/>
      <c r="Y326" s="116">
        <f>IF(X326&lt;&gt;"",X326,IF(U326="Helmond",IF(COUNTIFS(RC_Lane,B326,RC_Band,E326,RC_CostPS,"&gt;0")=0,"",SUMIFS(RC_CostPS,RC_Lane,B326,RC_Band,E326)*(1-SUMIFS(RC_Disc,RC_Lane,B326,RC_Band,E326))),IF(U326="Other","",IF(INDEX(RS_Rate,MATCH(B326,RS_Lane,0))="","",INDEX(RS_Rate,MATCH(B326,RS_Lane,0))))))</f>
        <v/>
      </c>
    </row>
    <row r="327">
      <c r="A327" s="95" t="inlineStr">
        <is>
          <t>B-323</t>
        </is>
      </c>
      <c r="B327" s="112" t="inlineStr">
        <is>
          <t>L02</t>
        </is>
      </c>
      <c r="C327" s="101" t="inlineStr">
        <is>
          <t>United Arab Emirates</t>
        </is>
      </c>
      <c r="D327" s="101" t="inlineStr">
        <is>
          <t>Dubai</t>
        </is>
      </c>
      <c r="E327" s="101" t="inlineStr">
        <is>
          <t>B1  0 to 30 kg</t>
        </is>
      </c>
      <c r="F327" s="123" t="n">
        <v>12.9</v>
      </c>
      <c r="G327" s="86">
        <f>F327*0.006477</f>
        <v/>
      </c>
      <c r="H327" s="123">
        <f>F327*1.079436</f>
        <v/>
      </c>
      <c r="I327" s="122">
        <f>MAX(1,ROUNDUP(G327/0.096,0))</f>
        <v/>
      </c>
      <c r="J327" s="84" t="n">
        <v>46745</v>
      </c>
      <c r="K327" s="87">
        <f>J327-WEEKDAY(J327,2)+1</f>
        <v/>
      </c>
      <c r="L327" s="84">
        <f>J327</f>
        <v/>
      </c>
      <c r="M327" s="52">
        <f>INDEX(LR_Target,MATCH(B327,LR_Lane,0))</f>
        <v/>
      </c>
      <c r="N327" s="84">
        <f>WORKDAY.INTL(L327,M327,INDEX(LR_Code,MATCH(B327,LR_Lane,0)),INDEX(DH_Table,0,MATCH(B327&amp;"*",DH_Head,0)))</f>
        <v/>
      </c>
      <c r="O327" s="65">
        <f>IF(W327&lt;&gt;"",W327,IF(U327="Helmond",IF(COUNTIFS(RC_Lane,B327,RC_Band,E327,RC_Transit,"&lt;&gt;")=0,"",SUMIFS(RC_Transit,RC_Lane,B327,RC_Band,E327)),IF(U327="Other","",IF(INDEX(RS_Transit,MATCH(B327,RS_Lane,0))="","",INDEX(RS_Transit,MATCH(B327,RS_Lane,0))))))</f>
        <v/>
      </c>
      <c r="P327" s="140" t="n"/>
      <c r="Q327" s="84">
        <f>IF(P327&lt;&gt;"",P327,IF(O327="","",WORKDAY.INTL(L327,ROUNDUP(O327,0),INDEX(LR_Code,MATCH(B327,LR_Lane,0)),INDEX(DH_Table,0,MATCH(B327&amp;"*",DH_Head,0)))))</f>
        <v/>
      </c>
      <c r="R327" s="100">
        <f>IF(Q327="","",IF(Q327&lt;=N327,"Yes","No"))</f>
        <v/>
      </c>
      <c r="S327" s="52">
        <f>IF(Q327="","",IF(Q327&lt;=N327,0,NETWORKDAYS.INTL(N327,Q327,INDEX(LR_Code,MATCH(B327,LR_Lane,0)),INDEX(DH_Table,0,MATCH(B327&amp;"*",DH_Head,0)))-1))</f>
        <v/>
      </c>
      <c r="T327" s="127" t="n"/>
      <c r="U327" s="112">
        <f>IF(V327&lt;&gt;"",V327,IF(IFERROR(INDEX(RS_Flag,MATCH(B327,RS_Lane,0)),"")="Yes",IF(IFERROR(INDEX(RS_Loc,MATCH(B327,RS_Lane,0)),"")="","Regional stock",IFERROR(INDEX(RS_Loc,MATCH(B327,RS_Lane,0)),"")),"Helmond"))</f>
        <v/>
      </c>
      <c r="V327" s="141" t="n"/>
      <c r="W327" s="142" t="n"/>
      <c r="X327" s="143" t="n"/>
      <c r="Y327" s="116">
        <f>IF(X327&lt;&gt;"",X327,IF(U327="Helmond",IF(COUNTIFS(RC_Lane,B327,RC_Band,E327,RC_CostPS,"&gt;0")=0,"",SUMIFS(RC_CostPS,RC_Lane,B327,RC_Band,E327)*(1-SUMIFS(RC_Disc,RC_Lane,B327,RC_Band,E327))),IF(U327="Other","",IF(INDEX(RS_Rate,MATCH(B327,RS_Lane,0))="","",INDEX(RS_Rate,MATCH(B327,RS_Lane,0))))))</f>
        <v/>
      </c>
    </row>
    <row r="328">
      <c r="A328" s="95" t="inlineStr">
        <is>
          <t>B-324</t>
        </is>
      </c>
      <c r="B328" s="112" t="inlineStr">
        <is>
          <t>L05</t>
        </is>
      </c>
      <c r="C328" s="101" t="inlineStr">
        <is>
          <t>Türkiye</t>
        </is>
      </c>
      <c r="D328" s="101" t="inlineStr">
        <is>
          <t>Istanbul</t>
        </is>
      </c>
      <c r="E328" s="101" t="inlineStr">
        <is>
          <t>B1  0 to 30 kg</t>
        </is>
      </c>
      <c r="F328" s="123" t="n">
        <v>8.5</v>
      </c>
      <c r="G328" s="86">
        <f>F328*0.006477</f>
        <v/>
      </c>
      <c r="H328" s="123">
        <f>F328*1.079436</f>
        <v/>
      </c>
      <c r="I328" s="122">
        <f>MAX(1,ROUNDUP(G328/0.096,0))</f>
        <v/>
      </c>
      <c r="J328" s="84" t="n">
        <v>46748</v>
      </c>
      <c r="K328" s="87">
        <f>J328-WEEKDAY(J328,2)+1</f>
        <v/>
      </c>
      <c r="L328" s="84">
        <f>J328</f>
        <v/>
      </c>
      <c r="M328" s="52">
        <f>INDEX(LR_Target,MATCH(B328,LR_Lane,0))</f>
        <v/>
      </c>
      <c r="N328" s="84">
        <f>WORKDAY.INTL(L328,M328,INDEX(LR_Code,MATCH(B328,LR_Lane,0)),INDEX(DH_Table,0,MATCH(B328&amp;"*",DH_Head,0)))</f>
        <v/>
      </c>
      <c r="O328" s="65">
        <f>IF(W328&lt;&gt;"",W328,IF(U328="Helmond",IF(COUNTIFS(RC_Lane,B328,RC_Band,E328,RC_Transit,"&lt;&gt;")=0,"",SUMIFS(RC_Transit,RC_Lane,B328,RC_Band,E328)),IF(U328="Other","",IF(INDEX(RS_Transit,MATCH(B328,RS_Lane,0))="","",INDEX(RS_Transit,MATCH(B328,RS_Lane,0))))))</f>
        <v/>
      </c>
      <c r="P328" s="140" t="n"/>
      <c r="Q328" s="84">
        <f>IF(P328&lt;&gt;"",P328,IF(O328="","",WORKDAY.INTL(L328,ROUNDUP(O328,0),INDEX(LR_Code,MATCH(B328,LR_Lane,0)),INDEX(DH_Table,0,MATCH(B328&amp;"*",DH_Head,0)))))</f>
        <v/>
      </c>
      <c r="R328" s="100">
        <f>IF(Q328="","",IF(Q328&lt;=N328,"Yes","No"))</f>
        <v/>
      </c>
      <c r="S328" s="52">
        <f>IF(Q328="","",IF(Q328&lt;=N328,0,NETWORKDAYS.INTL(N328,Q328,INDEX(LR_Code,MATCH(B328,LR_Lane,0)),INDEX(DH_Table,0,MATCH(B328&amp;"*",DH_Head,0)))-1))</f>
        <v/>
      </c>
      <c r="T328" s="127" t="n"/>
      <c r="U328" s="112">
        <f>IF(V328&lt;&gt;"",V328,IF(IFERROR(INDEX(RS_Flag,MATCH(B328,RS_Lane,0)),"")="Yes",IF(IFERROR(INDEX(RS_Loc,MATCH(B328,RS_Lane,0)),"")="","Regional stock",IFERROR(INDEX(RS_Loc,MATCH(B328,RS_Lane,0)),"")),"Helmond"))</f>
        <v/>
      </c>
      <c r="V328" s="141" t="n"/>
      <c r="W328" s="142" t="n"/>
      <c r="X328" s="143" t="n"/>
      <c r="Y328" s="116">
        <f>IF(X328&lt;&gt;"",X328,IF(U328="Helmond",IF(COUNTIFS(RC_Lane,B328,RC_Band,E328,RC_CostPS,"&gt;0")=0,"",SUMIFS(RC_CostPS,RC_Lane,B328,RC_Band,E328)*(1-SUMIFS(RC_Disc,RC_Lane,B328,RC_Band,E328))),IF(U328="Other","",IF(INDEX(RS_Rate,MATCH(B328,RS_Lane,0))="","",INDEX(RS_Rate,MATCH(B328,RS_Lane,0))))))</f>
        <v/>
      </c>
    </row>
    <row r="329">
      <c r="A329" s="95" t="inlineStr">
        <is>
          <t>B-325</t>
        </is>
      </c>
      <c r="B329" s="112" t="inlineStr">
        <is>
          <t>L08</t>
        </is>
      </c>
      <c r="C329" s="101" t="inlineStr">
        <is>
          <t>Egypt</t>
        </is>
      </c>
      <c r="D329" s="101" t="inlineStr">
        <is>
          <t>Cairo area</t>
        </is>
      </c>
      <c r="E329" s="101" t="inlineStr">
        <is>
          <t>B1  0 to 30 kg</t>
        </is>
      </c>
      <c r="F329" s="123" t="n">
        <v>2.5</v>
      </c>
      <c r="G329" s="86">
        <f>F329*0.006477</f>
        <v/>
      </c>
      <c r="H329" s="123">
        <f>F329*1.079436</f>
        <v/>
      </c>
      <c r="I329" s="122">
        <f>MAX(1,ROUNDUP(G329/0.096,0))</f>
        <v/>
      </c>
      <c r="J329" s="84" t="n">
        <v>46749</v>
      </c>
      <c r="K329" s="87">
        <f>J329-WEEKDAY(J329,2)+1</f>
        <v/>
      </c>
      <c r="L329" s="84">
        <f>J329</f>
        <v/>
      </c>
      <c r="M329" s="52">
        <f>INDEX(LR_Target,MATCH(B329,LR_Lane,0))</f>
        <v/>
      </c>
      <c r="N329" s="84">
        <f>WORKDAY.INTL(L329,M329,INDEX(LR_Code,MATCH(B329,LR_Lane,0)),INDEX(DH_Table,0,MATCH(B329&amp;"*",DH_Head,0)))</f>
        <v/>
      </c>
      <c r="O329" s="65">
        <f>IF(W329&lt;&gt;"",W329,IF(U329="Helmond",IF(COUNTIFS(RC_Lane,B329,RC_Band,E329,RC_Transit,"&lt;&gt;")=0,"",SUMIFS(RC_Transit,RC_Lane,B329,RC_Band,E329)),IF(U329="Other","",IF(INDEX(RS_Transit,MATCH(B329,RS_Lane,0))="","",INDEX(RS_Transit,MATCH(B329,RS_Lane,0))))))</f>
        <v/>
      </c>
      <c r="P329" s="140" t="n"/>
      <c r="Q329" s="84">
        <f>IF(P329&lt;&gt;"",P329,IF(O329="","",WORKDAY.INTL(L329,ROUNDUP(O329,0),INDEX(LR_Code,MATCH(B329,LR_Lane,0)),INDEX(DH_Table,0,MATCH(B329&amp;"*",DH_Head,0)))))</f>
        <v/>
      </c>
      <c r="R329" s="100">
        <f>IF(Q329="","",IF(Q329&lt;=N329,"Yes","No"))</f>
        <v/>
      </c>
      <c r="S329" s="52">
        <f>IF(Q329="","",IF(Q329&lt;=N329,0,NETWORKDAYS.INTL(N329,Q329,INDEX(LR_Code,MATCH(B329,LR_Lane,0)),INDEX(DH_Table,0,MATCH(B329&amp;"*",DH_Head,0)))-1))</f>
        <v/>
      </c>
      <c r="T329" s="127" t="n"/>
      <c r="U329" s="112">
        <f>IF(V329&lt;&gt;"",V329,IF(IFERROR(INDEX(RS_Flag,MATCH(B329,RS_Lane,0)),"")="Yes",IF(IFERROR(INDEX(RS_Loc,MATCH(B329,RS_Lane,0)),"")="","Regional stock",IFERROR(INDEX(RS_Loc,MATCH(B329,RS_Lane,0)),"")),"Helmond"))</f>
        <v/>
      </c>
      <c r="V329" s="141" t="n"/>
      <c r="W329" s="142" t="n"/>
      <c r="X329" s="143" t="n"/>
      <c r="Y329" s="116">
        <f>IF(X329&lt;&gt;"",X329,IF(U329="Helmond",IF(COUNTIFS(RC_Lane,B329,RC_Band,E329,RC_CostPS,"&gt;0")=0,"",SUMIFS(RC_CostPS,RC_Lane,B329,RC_Band,E329)*(1-SUMIFS(RC_Disc,RC_Lane,B329,RC_Band,E329))),IF(U329="Other","",IF(INDEX(RS_Rate,MATCH(B329,RS_Lane,0))="","",INDEX(RS_Rate,MATCH(B329,RS_Lane,0))))))</f>
        <v/>
      </c>
    </row>
    <row r="330">
      <c r="A330" s="95" t="inlineStr">
        <is>
          <t>B-326</t>
        </is>
      </c>
      <c r="B330" s="112" t="inlineStr">
        <is>
          <t>L01</t>
        </is>
      </c>
      <c r="C330" s="101" t="inlineStr">
        <is>
          <t>Saudi Arabia</t>
        </is>
      </c>
      <c r="D330" s="101" t="inlineStr">
        <is>
          <t>Riyadh</t>
        </is>
      </c>
      <c r="E330" s="101" t="inlineStr">
        <is>
          <t>B1  0 to 30 kg</t>
        </is>
      </c>
      <c r="F330" s="123" t="n">
        <v>7.1</v>
      </c>
      <c r="G330" s="86">
        <f>F330*0.006477</f>
        <v/>
      </c>
      <c r="H330" s="123">
        <f>F330*1.079436</f>
        <v/>
      </c>
      <c r="I330" s="122">
        <f>MAX(1,ROUNDUP(G330/0.096,0))</f>
        <v/>
      </c>
      <c r="J330" s="84" t="n">
        <v>46750</v>
      </c>
      <c r="K330" s="87">
        <f>J330-WEEKDAY(J330,2)+1</f>
        <v/>
      </c>
      <c r="L330" s="84">
        <f>J330</f>
        <v/>
      </c>
      <c r="M330" s="52">
        <f>INDEX(LR_Target,MATCH(B330,LR_Lane,0))</f>
        <v/>
      </c>
      <c r="N330" s="84">
        <f>WORKDAY.INTL(L330,M330,INDEX(LR_Code,MATCH(B330,LR_Lane,0)),INDEX(DH_Table,0,MATCH(B330&amp;"*",DH_Head,0)))</f>
        <v/>
      </c>
      <c r="O330" s="65">
        <f>IF(W330&lt;&gt;"",W330,IF(U330="Helmond",IF(COUNTIFS(RC_Lane,B330,RC_Band,E330,RC_Transit,"&lt;&gt;")=0,"",SUMIFS(RC_Transit,RC_Lane,B330,RC_Band,E330)),IF(U330="Other","",IF(INDEX(RS_Transit,MATCH(B330,RS_Lane,0))="","",INDEX(RS_Transit,MATCH(B330,RS_Lane,0))))))</f>
        <v/>
      </c>
      <c r="P330" s="140" t="n"/>
      <c r="Q330" s="84">
        <f>IF(P330&lt;&gt;"",P330,IF(O330="","",WORKDAY.INTL(L330,ROUNDUP(O330,0),INDEX(LR_Code,MATCH(B330,LR_Lane,0)),INDEX(DH_Table,0,MATCH(B330&amp;"*",DH_Head,0)))))</f>
        <v/>
      </c>
      <c r="R330" s="100">
        <f>IF(Q330="","",IF(Q330&lt;=N330,"Yes","No"))</f>
        <v/>
      </c>
      <c r="S330" s="52">
        <f>IF(Q330="","",IF(Q330&lt;=N330,0,NETWORKDAYS.INTL(N330,Q330,INDEX(LR_Code,MATCH(B330,LR_Lane,0)),INDEX(DH_Table,0,MATCH(B330&amp;"*",DH_Head,0)))-1))</f>
        <v/>
      </c>
      <c r="T330" s="127" t="n"/>
      <c r="U330" s="112">
        <f>IF(V330&lt;&gt;"",V330,IF(IFERROR(INDEX(RS_Flag,MATCH(B330,RS_Lane,0)),"")="Yes",IF(IFERROR(INDEX(RS_Loc,MATCH(B330,RS_Lane,0)),"")="","Regional stock",IFERROR(INDEX(RS_Loc,MATCH(B330,RS_Lane,0)),"")),"Helmond"))</f>
        <v/>
      </c>
      <c r="V330" s="141" t="n"/>
      <c r="W330" s="142" t="n"/>
      <c r="X330" s="143" t="n"/>
      <c r="Y330" s="116">
        <f>IF(X330&lt;&gt;"",X330,IF(U330="Helmond",IF(COUNTIFS(RC_Lane,B330,RC_Band,E330,RC_CostPS,"&gt;0")=0,"",SUMIFS(RC_CostPS,RC_Lane,B330,RC_Band,E330)*(1-SUMIFS(RC_Disc,RC_Lane,B330,RC_Band,E330))),IF(U330="Other","",IF(INDEX(RS_Rate,MATCH(B330,RS_Lane,0))="","",INDEX(RS_Rate,MATCH(B330,RS_Lane,0))))))</f>
        <v/>
      </c>
    </row>
    <row r="331">
      <c r="A331" s="95" t="inlineStr">
        <is>
          <t>B-327</t>
        </is>
      </c>
      <c r="B331" s="112" t="inlineStr">
        <is>
          <t>L01</t>
        </is>
      </c>
      <c r="C331" s="101" t="inlineStr">
        <is>
          <t>Saudi Arabia</t>
        </is>
      </c>
      <c r="D331" s="101" t="inlineStr">
        <is>
          <t>Jeddah</t>
        </is>
      </c>
      <c r="E331" s="101" t="inlineStr">
        <is>
          <t>B2  30 to 100 kg</t>
        </is>
      </c>
      <c r="F331" s="123" t="n">
        <v>51.2</v>
      </c>
      <c r="G331" s="86">
        <f>F331*0.006477</f>
        <v/>
      </c>
      <c r="H331" s="123">
        <f>F331*1.079436</f>
        <v/>
      </c>
      <c r="I331" s="122">
        <f>MAX(1,ROUNDUP(G331/0.096,0))</f>
        <v/>
      </c>
      <c r="J331" s="84" t="n">
        <v>46751</v>
      </c>
      <c r="K331" s="87">
        <f>J331-WEEKDAY(J331,2)+1</f>
        <v/>
      </c>
      <c r="L331" s="84">
        <f>J331</f>
        <v/>
      </c>
      <c r="M331" s="52">
        <f>INDEX(LR_Target,MATCH(B331,LR_Lane,0))</f>
        <v/>
      </c>
      <c r="N331" s="84">
        <f>WORKDAY.INTL(L331,M331,INDEX(LR_Code,MATCH(B331,LR_Lane,0)),INDEX(DH_Table,0,MATCH(B331&amp;"*",DH_Head,0)))</f>
        <v/>
      </c>
      <c r="O331" s="65">
        <f>IF(W331&lt;&gt;"",W331,IF(U331="Helmond",IF(COUNTIFS(RC_Lane,B331,RC_Band,E331,RC_Transit,"&lt;&gt;")=0,"",SUMIFS(RC_Transit,RC_Lane,B331,RC_Band,E331)),IF(U331="Other","",IF(INDEX(RS_Transit,MATCH(B331,RS_Lane,0))="","",INDEX(RS_Transit,MATCH(B331,RS_Lane,0))))))</f>
        <v/>
      </c>
      <c r="P331" s="140" t="n"/>
      <c r="Q331" s="84">
        <f>IF(P331&lt;&gt;"",P331,IF(O331="","",WORKDAY.INTL(L331,ROUNDUP(O331,0),INDEX(LR_Code,MATCH(B331,LR_Lane,0)),INDEX(DH_Table,0,MATCH(B331&amp;"*",DH_Head,0)))))</f>
        <v/>
      </c>
      <c r="R331" s="100">
        <f>IF(Q331="","",IF(Q331&lt;=N331,"Yes","No"))</f>
        <v/>
      </c>
      <c r="S331" s="52">
        <f>IF(Q331="","",IF(Q331&lt;=N331,0,NETWORKDAYS.INTL(N331,Q331,INDEX(LR_Code,MATCH(B331,LR_Lane,0)),INDEX(DH_Table,0,MATCH(B331&amp;"*",DH_Head,0)))-1))</f>
        <v/>
      </c>
      <c r="T331" s="127" t="n"/>
      <c r="U331" s="112">
        <f>IF(V331&lt;&gt;"",V331,IF(IFERROR(INDEX(RS_Flag,MATCH(B331,RS_Lane,0)),"")="Yes",IF(IFERROR(INDEX(RS_Loc,MATCH(B331,RS_Lane,0)),"")="","Regional stock",IFERROR(INDEX(RS_Loc,MATCH(B331,RS_Lane,0)),"")),"Helmond"))</f>
        <v/>
      </c>
      <c r="V331" s="141" t="n"/>
      <c r="W331" s="142" t="n"/>
      <c r="X331" s="143" t="n"/>
      <c r="Y331" s="116">
        <f>IF(X331&lt;&gt;"",X331,IF(U331="Helmond",IF(COUNTIFS(RC_Lane,B331,RC_Band,E331,RC_CostPS,"&gt;0")=0,"",SUMIFS(RC_CostPS,RC_Lane,B331,RC_Band,E331)*(1-SUMIFS(RC_Disc,RC_Lane,B331,RC_Band,E331))),IF(U331="Other","",IF(INDEX(RS_Rate,MATCH(B331,RS_Lane,0))="","",INDEX(RS_Rate,MATCH(B331,RS_Lane,0))))))</f>
        <v/>
      </c>
    </row>
    <row r="332">
      <c r="A332" s="95" t="inlineStr">
        <is>
          <t>B-328</t>
        </is>
      </c>
      <c r="B332" s="112" t="inlineStr">
        <is>
          <t>L02</t>
        </is>
      </c>
      <c r="C332" s="101" t="inlineStr">
        <is>
          <t>United Arab Emirates</t>
        </is>
      </c>
      <c r="D332" s="101" t="inlineStr">
        <is>
          <t>Dubai</t>
        </is>
      </c>
      <c r="E332" s="101" t="inlineStr">
        <is>
          <t>B1  0 to 30 kg</t>
        </is>
      </c>
      <c r="F332" s="123" t="n">
        <v>6.4</v>
      </c>
      <c r="G332" s="86">
        <f>F332*0.006477</f>
        <v/>
      </c>
      <c r="H332" s="123">
        <f>F332*1.079436</f>
        <v/>
      </c>
      <c r="I332" s="122">
        <f>MAX(1,ROUNDUP(G332/0.096,0))</f>
        <v/>
      </c>
      <c r="J332" s="84" t="n">
        <v>46751</v>
      </c>
      <c r="K332" s="87">
        <f>J332-WEEKDAY(J332,2)+1</f>
        <v/>
      </c>
      <c r="L332" s="84">
        <f>J332</f>
        <v/>
      </c>
      <c r="M332" s="52">
        <f>INDEX(LR_Target,MATCH(B332,LR_Lane,0))</f>
        <v/>
      </c>
      <c r="N332" s="84">
        <f>WORKDAY.INTL(L332,M332,INDEX(LR_Code,MATCH(B332,LR_Lane,0)),INDEX(DH_Table,0,MATCH(B332&amp;"*",DH_Head,0)))</f>
        <v/>
      </c>
      <c r="O332" s="65">
        <f>IF(W332&lt;&gt;"",W332,IF(U332="Helmond",IF(COUNTIFS(RC_Lane,B332,RC_Band,E332,RC_Transit,"&lt;&gt;")=0,"",SUMIFS(RC_Transit,RC_Lane,B332,RC_Band,E332)),IF(U332="Other","",IF(INDEX(RS_Transit,MATCH(B332,RS_Lane,0))="","",INDEX(RS_Transit,MATCH(B332,RS_Lane,0))))))</f>
        <v/>
      </c>
      <c r="P332" s="140" t="n"/>
      <c r="Q332" s="84">
        <f>IF(P332&lt;&gt;"",P332,IF(O332="","",WORKDAY.INTL(L332,ROUNDUP(O332,0),INDEX(LR_Code,MATCH(B332,LR_Lane,0)),INDEX(DH_Table,0,MATCH(B332&amp;"*",DH_Head,0)))))</f>
        <v/>
      </c>
      <c r="R332" s="100">
        <f>IF(Q332="","",IF(Q332&lt;=N332,"Yes","No"))</f>
        <v/>
      </c>
      <c r="S332" s="52">
        <f>IF(Q332="","",IF(Q332&lt;=N332,0,NETWORKDAYS.INTL(N332,Q332,INDEX(LR_Code,MATCH(B332,LR_Lane,0)),INDEX(DH_Table,0,MATCH(B332&amp;"*",DH_Head,0)))-1))</f>
        <v/>
      </c>
      <c r="T332" s="127" t="n"/>
      <c r="U332" s="112">
        <f>IF(V332&lt;&gt;"",V332,IF(IFERROR(INDEX(RS_Flag,MATCH(B332,RS_Lane,0)),"")="Yes",IF(IFERROR(INDEX(RS_Loc,MATCH(B332,RS_Lane,0)),"")="","Regional stock",IFERROR(INDEX(RS_Loc,MATCH(B332,RS_Lane,0)),"")),"Helmond"))</f>
        <v/>
      </c>
      <c r="V332" s="141" t="n"/>
      <c r="W332" s="142" t="n"/>
      <c r="X332" s="143" t="n"/>
      <c r="Y332" s="116">
        <f>IF(X332&lt;&gt;"",X332,IF(U332="Helmond",IF(COUNTIFS(RC_Lane,B332,RC_Band,E332,RC_CostPS,"&gt;0")=0,"",SUMIFS(RC_CostPS,RC_Lane,B332,RC_Band,E332)*(1-SUMIFS(RC_Disc,RC_Lane,B332,RC_Band,E332))),IF(U332="Other","",IF(INDEX(RS_Rate,MATCH(B332,RS_Lane,0))="","",INDEX(RS_Rate,MATCH(B332,RS_Lane,0))))))</f>
        <v/>
      </c>
    </row>
    <row r="333">
      <c r="A333" s="95" t="inlineStr">
        <is>
          <t>B-329</t>
        </is>
      </c>
      <c r="B333" s="112" t="inlineStr">
        <is>
          <t>L06</t>
        </is>
      </c>
      <c r="C333" s="101" t="inlineStr">
        <is>
          <t>Morocco</t>
        </is>
      </c>
      <c r="D333" s="101" t="inlineStr">
        <is>
          <t>Casablanca area</t>
        </is>
      </c>
      <c r="E333" s="101" t="inlineStr">
        <is>
          <t>B4  500 to 2,000 kg</t>
        </is>
      </c>
      <c r="F333" s="123" t="n">
        <v>941.5</v>
      </c>
      <c r="G333" s="86">
        <f>F333*0.006477</f>
        <v/>
      </c>
      <c r="H333" s="123">
        <f>F333*1.079436</f>
        <v/>
      </c>
      <c r="I333" s="122">
        <f>MAX(1,ROUNDUP(G333/0.096,0))</f>
        <v/>
      </c>
      <c r="J333" s="84" t="n">
        <v>46752</v>
      </c>
      <c r="K333" s="87">
        <f>J333-WEEKDAY(J333,2)+1</f>
        <v/>
      </c>
      <c r="L333" s="84">
        <f>J333</f>
        <v/>
      </c>
      <c r="M333" s="52">
        <f>INDEX(LR_Target,MATCH(B333,LR_Lane,0))</f>
        <v/>
      </c>
      <c r="N333" s="84">
        <f>WORKDAY.INTL(L333,M333,INDEX(LR_Code,MATCH(B333,LR_Lane,0)),INDEX(DH_Table,0,MATCH(B333&amp;"*",DH_Head,0)))</f>
        <v/>
      </c>
      <c r="O333" s="65">
        <f>IF(W333&lt;&gt;"",W333,IF(U333="Helmond",IF(COUNTIFS(RC_Lane,B333,RC_Band,E333,RC_Transit,"&lt;&gt;")=0,"",SUMIFS(RC_Transit,RC_Lane,B333,RC_Band,E333)),IF(U333="Other","",IF(INDEX(RS_Transit,MATCH(B333,RS_Lane,0))="","",INDEX(RS_Transit,MATCH(B333,RS_Lane,0))))))</f>
        <v/>
      </c>
      <c r="P333" s="140" t="n"/>
      <c r="Q333" s="84">
        <f>IF(P333&lt;&gt;"",P333,IF(O333="","",WORKDAY.INTL(L333,ROUNDUP(O333,0),INDEX(LR_Code,MATCH(B333,LR_Lane,0)),INDEX(DH_Table,0,MATCH(B333&amp;"*",DH_Head,0)))))</f>
        <v/>
      </c>
      <c r="R333" s="100">
        <f>IF(Q333="","",IF(Q333&lt;=N333,"Yes","No"))</f>
        <v/>
      </c>
      <c r="S333" s="52">
        <f>IF(Q333="","",IF(Q333&lt;=N333,0,NETWORKDAYS.INTL(N333,Q333,INDEX(LR_Code,MATCH(B333,LR_Lane,0)),INDEX(DH_Table,0,MATCH(B333&amp;"*",DH_Head,0)))-1))</f>
        <v/>
      </c>
      <c r="T333" s="127" t="n"/>
      <c r="U333" s="112">
        <f>IF(V333&lt;&gt;"",V333,IF(IFERROR(INDEX(RS_Flag,MATCH(B333,RS_Lane,0)),"")="Yes",IF(IFERROR(INDEX(RS_Loc,MATCH(B333,RS_Lane,0)),"")="","Regional stock",IFERROR(INDEX(RS_Loc,MATCH(B333,RS_Lane,0)),"")),"Helmond"))</f>
        <v/>
      </c>
      <c r="V333" s="141" t="n"/>
      <c r="W333" s="142" t="n"/>
      <c r="X333" s="143" t="n"/>
      <c r="Y333" s="116">
        <f>IF(X333&lt;&gt;"",X333,IF(U333="Helmond",IF(COUNTIFS(RC_Lane,B333,RC_Band,E333,RC_CostPS,"&gt;0")=0,"",SUMIFS(RC_CostPS,RC_Lane,B333,RC_Band,E333)*(1-SUMIFS(RC_Disc,RC_Lane,B333,RC_Band,E333))),IF(U333="Other","",IF(INDEX(RS_Rate,MATCH(B333,RS_Lane,0))="","",INDEX(RS_Rate,MATCH(B333,RS_Lane,0))))))</f>
        <v/>
      </c>
    </row>
    <row r="334">
      <c r="A334" s="96">
        <f>COUNTA(A5:A333)&amp;" shipments"</f>
        <v/>
      </c>
      <c r="B334" s="118" t="inlineStr"/>
      <c r="C334" s="118" t="inlineStr"/>
      <c r="D334" s="118" t="inlineStr"/>
      <c r="E334" s="118" t="inlineStr"/>
      <c r="F334" s="124">
        <f>SUM(F5:F333)</f>
        <v/>
      </c>
      <c r="G334" s="125">
        <f>SUM(G5:G333)</f>
        <v/>
      </c>
      <c r="H334" s="124">
        <f>SUM(H5:H333)</f>
        <v/>
      </c>
      <c r="I334" s="124">
        <f>SUM(I5:I333)</f>
        <v/>
      </c>
      <c r="J334" s="118" t="inlineStr"/>
      <c r="K334" s="118" t="inlineStr"/>
      <c r="L334" s="118" t="inlineStr"/>
      <c r="M334" s="118" t="inlineStr"/>
      <c r="N334" s="118" t="inlineStr"/>
      <c r="O334" s="118" t="inlineStr"/>
      <c r="P334" s="118" t="inlineStr"/>
      <c r="Q334" s="118" t="inlineStr"/>
      <c r="R334" s="118" t="inlineStr"/>
      <c r="S334" s="118" t="inlineStr"/>
      <c r="T334" s="118" t="inlineStr"/>
      <c r="U334" s="117">
        <f>COUNTIF(U5:U333,"&lt;&gt;Helmond")&amp;" not from Helmond"</f>
        <v/>
      </c>
      <c r="V334" s="118" t="inlineStr"/>
      <c r="W334" s="118" t="inlineStr"/>
      <c r="X334" s="118" t="inlineStr"/>
      <c r="Y334" s="119">
        <f>SUM(Y5:Y333)</f>
        <v/>
      </c>
    </row>
  </sheetData>
  <sheetProtection selectLockedCells="0" selectUnlockedCells="0" sheet="1" objects="0" insertRows="1" insertHyperlinks="1" autoFilter="0" scenarios="0" formatColumns="0" deleteColumns="1" insertColumns="1" pivotTables="1" deleteRows="1" formatCells="1" formatRows="0" sort="0"/>
  <autoFilter ref="A4:Y333"/>
  <conditionalFormatting sqref="R5:R333">
    <cfRule type="expression" priority="1" dxfId="1">
      <formula>R5="Yes"</formula>
    </cfRule>
    <cfRule type="expression" priority="2" dxfId="2">
      <formula>R5="No"</formula>
    </cfRule>
  </conditionalFormatting>
  <dataValidations count="2">
    <dataValidation sqref="P5:P333" showDropDown="0" showInputMessage="0" showErrorMessage="0" allowBlank="1" type="date" operator="between">
      <formula1>DATE(2027,1,1)</formula1>
      <formula2>DATE(2028,3,31)</formula2>
    </dataValidation>
    <dataValidation sqref="V5:V333" showDropDown="0" showInputMessage="0" showErrorMessage="0" allowBlank="1" type="list">
      <formula1>"Helmond,W1,W2,W3,Other"</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2E75B6"/>
    <outlinePr summaryBelow="1" summaryRight="1"/>
    <pageSetUpPr fitToPage="1"/>
  </sheetPr>
  <dimension ref="A1:P102"/>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0" customWidth="1" min="2" max="2"/>
    <col width="14"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10" customWidth="1" min="16" max="16"/>
  </cols>
  <sheetData>
    <row r="1">
      <c r="A1" s="99" t="inlineStr">
        <is>
          <t>Timeline summary: shipments per month and week, and on-time check</t>
        </is>
      </c>
    </row>
    <row r="2">
      <c r="A2" s="98" t="inlineStr">
        <is>
          <t>Counts come from the two schedule sheets. The on-time check fills in once transit days are on the Rate Card.</t>
        </is>
      </c>
    </row>
    <row r="3"/>
    <row r="4">
      <c r="A4" s="93" t="inlineStr">
        <is>
          <t>Scenario A: shipments per month</t>
        </is>
      </c>
    </row>
    <row r="5" ht="30" customHeight="1">
      <c r="A5" s="10" t="inlineStr">
        <is>
          <t>Lane</t>
        </is>
      </c>
      <c r="B5" s="10" t="inlineStr">
        <is>
          <t>Destination</t>
        </is>
      </c>
      <c r="C5" s="10" t="inlineStr">
        <is>
          <t>Jan</t>
        </is>
      </c>
      <c r="D5" s="10" t="inlineStr">
        <is>
          <t>Feb</t>
        </is>
      </c>
      <c r="E5" s="10" t="inlineStr">
        <is>
          <t>Mar</t>
        </is>
      </c>
      <c r="F5" s="10" t="inlineStr">
        <is>
          <t>Apr</t>
        </is>
      </c>
      <c r="G5" s="10" t="inlineStr">
        <is>
          <t>May</t>
        </is>
      </c>
      <c r="H5" s="10" t="inlineStr">
        <is>
          <t>Jun</t>
        </is>
      </c>
      <c r="I5" s="10" t="inlineStr">
        <is>
          <t>Jul</t>
        </is>
      </c>
      <c r="J5" s="10" t="inlineStr">
        <is>
          <t>Aug</t>
        </is>
      </c>
      <c r="K5" s="10" t="inlineStr">
        <is>
          <t>Sep</t>
        </is>
      </c>
      <c r="L5" s="10" t="inlineStr">
        <is>
          <t>Oct</t>
        </is>
      </c>
      <c r="M5" s="10" t="inlineStr">
        <is>
          <t>Nov</t>
        </is>
      </c>
      <c r="N5" s="10" t="inlineStr">
        <is>
          <t>Dec</t>
        </is>
      </c>
      <c r="O5" s="10" t="inlineStr">
        <is>
          <t>Year</t>
        </is>
      </c>
      <c r="P5" s="10" t="inlineStr">
        <is>
          <t>Peak month</t>
        </is>
      </c>
    </row>
    <row r="6">
      <c r="A6" s="95" t="inlineStr">
        <is>
          <t>L01</t>
        </is>
      </c>
      <c r="B6" s="101" t="inlineStr">
        <is>
          <t>Saudi Arabia</t>
        </is>
      </c>
      <c r="C6" s="91">
        <f>COUNTIFS(SA_Lane,$A6,SA_Date,"&gt;="&amp;DATE(2027,1,1),SA_Date,"&lt;"&amp;DATE(2027,2,1))</f>
        <v/>
      </c>
      <c r="D6" s="91">
        <f>COUNTIFS(SA_Lane,$A6,SA_Date,"&gt;="&amp;DATE(2027,2,1),SA_Date,"&lt;"&amp;DATE(2027,3,1))</f>
        <v/>
      </c>
      <c r="E6" s="91">
        <f>COUNTIFS(SA_Lane,$A6,SA_Date,"&gt;="&amp;DATE(2027,3,1),SA_Date,"&lt;"&amp;DATE(2027,4,1))</f>
        <v/>
      </c>
      <c r="F6" s="91">
        <f>COUNTIFS(SA_Lane,$A6,SA_Date,"&gt;="&amp;DATE(2027,4,1),SA_Date,"&lt;"&amp;DATE(2027,5,1))</f>
        <v/>
      </c>
      <c r="G6" s="91">
        <f>COUNTIFS(SA_Lane,$A6,SA_Date,"&gt;="&amp;DATE(2027,5,1),SA_Date,"&lt;"&amp;DATE(2027,6,1))</f>
        <v/>
      </c>
      <c r="H6" s="91">
        <f>COUNTIFS(SA_Lane,$A6,SA_Date,"&gt;="&amp;DATE(2027,6,1),SA_Date,"&lt;"&amp;DATE(2027,7,1))</f>
        <v/>
      </c>
      <c r="I6" s="91">
        <f>COUNTIFS(SA_Lane,$A6,SA_Date,"&gt;="&amp;DATE(2027,7,1),SA_Date,"&lt;"&amp;DATE(2027,8,1))</f>
        <v/>
      </c>
      <c r="J6" s="91">
        <f>COUNTIFS(SA_Lane,$A6,SA_Date,"&gt;="&amp;DATE(2027,8,1),SA_Date,"&lt;"&amp;DATE(2027,9,1))</f>
        <v/>
      </c>
      <c r="K6" s="91">
        <f>COUNTIFS(SA_Lane,$A6,SA_Date,"&gt;="&amp;DATE(2027,9,1),SA_Date,"&lt;"&amp;DATE(2027,10,1))</f>
        <v/>
      </c>
      <c r="L6" s="91">
        <f>COUNTIFS(SA_Lane,$A6,SA_Date,"&gt;="&amp;DATE(2027,10,1),SA_Date,"&lt;"&amp;DATE(2027,11,1))</f>
        <v/>
      </c>
      <c r="M6" s="91">
        <f>COUNTIFS(SA_Lane,$A6,SA_Date,"&gt;="&amp;DATE(2027,11,1),SA_Date,"&lt;"&amp;DATE(2027,12,1))</f>
        <v/>
      </c>
      <c r="N6" s="91">
        <f>COUNTIFS(SA_Lane,$A6,SA_Date,"&gt;="&amp;DATE(2027,12,1),SA_Date,"&lt;"&amp;DATE(2028,1,1))</f>
        <v/>
      </c>
      <c r="O6" s="72">
        <f>SUM(C6:N6)</f>
        <v/>
      </c>
      <c r="P6" s="72">
        <f>MAX(C6:N6)</f>
        <v/>
      </c>
    </row>
    <row r="7">
      <c r="A7" s="95" t="inlineStr">
        <is>
          <t>L02</t>
        </is>
      </c>
      <c r="B7" s="101" t="inlineStr">
        <is>
          <t>United Arab Emirates</t>
        </is>
      </c>
      <c r="C7" s="91">
        <f>COUNTIFS(SA_Lane,$A7,SA_Date,"&gt;="&amp;DATE(2027,1,1),SA_Date,"&lt;"&amp;DATE(2027,2,1))</f>
        <v/>
      </c>
      <c r="D7" s="91">
        <f>COUNTIFS(SA_Lane,$A7,SA_Date,"&gt;="&amp;DATE(2027,2,1),SA_Date,"&lt;"&amp;DATE(2027,3,1))</f>
        <v/>
      </c>
      <c r="E7" s="91">
        <f>COUNTIFS(SA_Lane,$A7,SA_Date,"&gt;="&amp;DATE(2027,3,1),SA_Date,"&lt;"&amp;DATE(2027,4,1))</f>
        <v/>
      </c>
      <c r="F7" s="91">
        <f>COUNTIFS(SA_Lane,$A7,SA_Date,"&gt;="&amp;DATE(2027,4,1),SA_Date,"&lt;"&amp;DATE(2027,5,1))</f>
        <v/>
      </c>
      <c r="G7" s="91">
        <f>COUNTIFS(SA_Lane,$A7,SA_Date,"&gt;="&amp;DATE(2027,5,1),SA_Date,"&lt;"&amp;DATE(2027,6,1))</f>
        <v/>
      </c>
      <c r="H7" s="91">
        <f>COUNTIFS(SA_Lane,$A7,SA_Date,"&gt;="&amp;DATE(2027,6,1),SA_Date,"&lt;"&amp;DATE(2027,7,1))</f>
        <v/>
      </c>
      <c r="I7" s="91">
        <f>COUNTIFS(SA_Lane,$A7,SA_Date,"&gt;="&amp;DATE(2027,7,1),SA_Date,"&lt;"&amp;DATE(2027,8,1))</f>
        <v/>
      </c>
      <c r="J7" s="91">
        <f>COUNTIFS(SA_Lane,$A7,SA_Date,"&gt;="&amp;DATE(2027,8,1),SA_Date,"&lt;"&amp;DATE(2027,9,1))</f>
        <v/>
      </c>
      <c r="K7" s="91">
        <f>COUNTIFS(SA_Lane,$A7,SA_Date,"&gt;="&amp;DATE(2027,9,1),SA_Date,"&lt;"&amp;DATE(2027,10,1))</f>
        <v/>
      </c>
      <c r="L7" s="91">
        <f>COUNTIFS(SA_Lane,$A7,SA_Date,"&gt;="&amp;DATE(2027,10,1),SA_Date,"&lt;"&amp;DATE(2027,11,1))</f>
        <v/>
      </c>
      <c r="M7" s="91">
        <f>COUNTIFS(SA_Lane,$A7,SA_Date,"&gt;="&amp;DATE(2027,11,1),SA_Date,"&lt;"&amp;DATE(2027,12,1))</f>
        <v/>
      </c>
      <c r="N7" s="91">
        <f>COUNTIFS(SA_Lane,$A7,SA_Date,"&gt;="&amp;DATE(2027,12,1),SA_Date,"&lt;"&amp;DATE(2028,1,1))</f>
        <v/>
      </c>
      <c r="O7" s="72">
        <f>SUM(C7:N7)</f>
        <v/>
      </c>
      <c r="P7" s="72">
        <f>MAX(C7:N7)</f>
        <v/>
      </c>
    </row>
    <row r="8">
      <c r="A8" s="95" t="inlineStr">
        <is>
          <t>L03</t>
        </is>
      </c>
      <c r="B8" s="101" t="inlineStr">
        <is>
          <t>Kuwait</t>
        </is>
      </c>
      <c r="C8" s="91">
        <f>COUNTIFS(SA_Lane,$A8,SA_Date,"&gt;="&amp;DATE(2027,1,1),SA_Date,"&lt;"&amp;DATE(2027,2,1))</f>
        <v/>
      </c>
      <c r="D8" s="91">
        <f>COUNTIFS(SA_Lane,$A8,SA_Date,"&gt;="&amp;DATE(2027,2,1),SA_Date,"&lt;"&amp;DATE(2027,3,1))</f>
        <v/>
      </c>
      <c r="E8" s="91">
        <f>COUNTIFS(SA_Lane,$A8,SA_Date,"&gt;="&amp;DATE(2027,3,1),SA_Date,"&lt;"&amp;DATE(2027,4,1))</f>
        <v/>
      </c>
      <c r="F8" s="91">
        <f>COUNTIFS(SA_Lane,$A8,SA_Date,"&gt;="&amp;DATE(2027,4,1),SA_Date,"&lt;"&amp;DATE(2027,5,1))</f>
        <v/>
      </c>
      <c r="G8" s="91">
        <f>COUNTIFS(SA_Lane,$A8,SA_Date,"&gt;="&amp;DATE(2027,5,1),SA_Date,"&lt;"&amp;DATE(2027,6,1))</f>
        <v/>
      </c>
      <c r="H8" s="91">
        <f>COUNTIFS(SA_Lane,$A8,SA_Date,"&gt;="&amp;DATE(2027,6,1),SA_Date,"&lt;"&amp;DATE(2027,7,1))</f>
        <v/>
      </c>
      <c r="I8" s="91">
        <f>COUNTIFS(SA_Lane,$A8,SA_Date,"&gt;="&amp;DATE(2027,7,1),SA_Date,"&lt;"&amp;DATE(2027,8,1))</f>
        <v/>
      </c>
      <c r="J8" s="91">
        <f>COUNTIFS(SA_Lane,$A8,SA_Date,"&gt;="&amp;DATE(2027,8,1),SA_Date,"&lt;"&amp;DATE(2027,9,1))</f>
        <v/>
      </c>
      <c r="K8" s="91">
        <f>COUNTIFS(SA_Lane,$A8,SA_Date,"&gt;="&amp;DATE(2027,9,1),SA_Date,"&lt;"&amp;DATE(2027,10,1))</f>
        <v/>
      </c>
      <c r="L8" s="91">
        <f>COUNTIFS(SA_Lane,$A8,SA_Date,"&gt;="&amp;DATE(2027,10,1),SA_Date,"&lt;"&amp;DATE(2027,11,1))</f>
        <v/>
      </c>
      <c r="M8" s="91">
        <f>COUNTIFS(SA_Lane,$A8,SA_Date,"&gt;="&amp;DATE(2027,11,1),SA_Date,"&lt;"&amp;DATE(2027,12,1))</f>
        <v/>
      </c>
      <c r="N8" s="91">
        <f>COUNTIFS(SA_Lane,$A8,SA_Date,"&gt;="&amp;DATE(2027,12,1),SA_Date,"&lt;"&amp;DATE(2028,1,1))</f>
        <v/>
      </c>
      <c r="O8" s="72">
        <f>SUM(C8:N8)</f>
        <v/>
      </c>
      <c r="P8" s="72">
        <f>MAX(C8:N8)</f>
        <v/>
      </c>
    </row>
    <row r="9">
      <c r="A9" s="95" t="inlineStr">
        <is>
          <t>L04</t>
        </is>
      </c>
      <c r="B9" s="101" t="inlineStr">
        <is>
          <t>Qatar</t>
        </is>
      </c>
      <c r="C9" s="91">
        <f>COUNTIFS(SA_Lane,$A9,SA_Date,"&gt;="&amp;DATE(2027,1,1),SA_Date,"&lt;"&amp;DATE(2027,2,1))</f>
        <v/>
      </c>
      <c r="D9" s="91">
        <f>COUNTIFS(SA_Lane,$A9,SA_Date,"&gt;="&amp;DATE(2027,2,1),SA_Date,"&lt;"&amp;DATE(2027,3,1))</f>
        <v/>
      </c>
      <c r="E9" s="91">
        <f>COUNTIFS(SA_Lane,$A9,SA_Date,"&gt;="&amp;DATE(2027,3,1),SA_Date,"&lt;"&amp;DATE(2027,4,1))</f>
        <v/>
      </c>
      <c r="F9" s="91">
        <f>COUNTIFS(SA_Lane,$A9,SA_Date,"&gt;="&amp;DATE(2027,4,1),SA_Date,"&lt;"&amp;DATE(2027,5,1))</f>
        <v/>
      </c>
      <c r="G9" s="91">
        <f>COUNTIFS(SA_Lane,$A9,SA_Date,"&gt;="&amp;DATE(2027,5,1),SA_Date,"&lt;"&amp;DATE(2027,6,1))</f>
        <v/>
      </c>
      <c r="H9" s="91">
        <f>COUNTIFS(SA_Lane,$A9,SA_Date,"&gt;="&amp;DATE(2027,6,1),SA_Date,"&lt;"&amp;DATE(2027,7,1))</f>
        <v/>
      </c>
      <c r="I9" s="91">
        <f>COUNTIFS(SA_Lane,$A9,SA_Date,"&gt;="&amp;DATE(2027,7,1),SA_Date,"&lt;"&amp;DATE(2027,8,1))</f>
        <v/>
      </c>
      <c r="J9" s="91">
        <f>COUNTIFS(SA_Lane,$A9,SA_Date,"&gt;="&amp;DATE(2027,8,1),SA_Date,"&lt;"&amp;DATE(2027,9,1))</f>
        <v/>
      </c>
      <c r="K9" s="91">
        <f>COUNTIFS(SA_Lane,$A9,SA_Date,"&gt;="&amp;DATE(2027,9,1),SA_Date,"&lt;"&amp;DATE(2027,10,1))</f>
        <v/>
      </c>
      <c r="L9" s="91">
        <f>COUNTIFS(SA_Lane,$A9,SA_Date,"&gt;="&amp;DATE(2027,10,1),SA_Date,"&lt;"&amp;DATE(2027,11,1))</f>
        <v/>
      </c>
      <c r="M9" s="91">
        <f>COUNTIFS(SA_Lane,$A9,SA_Date,"&gt;="&amp;DATE(2027,11,1),SA_Date,"&lt;"&amp;DATE(2027,12,1))</f>
        <v/>
      </c>
      <c r="N9" s="91">
        <f>COUNTIFS(SA_Lane,$A9,SA_Date,"&gt;="&amp;DATE(2027,12,1),SA_Date,"&lt;"&amp;DATE(2028,1,1))</f>
        <v/>
      </c>
      <c r="O9" s="72">
        <f>SUM(C9:N9)</f>
        <v/>
      </c>
      <c r="P9" s="72">
        <f>MAX(C9:N9)</f>
        <v/>
      </c>
    </row>
    <row r="10">
      <c r="A10" s="95" t="inlineStr">
        <is>
          <t>L05</t>
        </is>
      </c>
      <c r="B10" s="101" t="inlineStr">
        <is>
          <t>Türkiye</t>
        </is>
      </c>
      <c r="C10" s="91">
        <f>COUNTIFS(SA_Lane,$A10,SA_Date,"&gt;="&amp;DATE(2027,1,1),SA_Date,"&lt;"&amp;DATE(2027,2,1))</f>
        <v/>
      </c>
      <c r="D10" s="91">
        <f>COUNTIFS(SA_Lane,$A10,SA_Date,"&gt;="&amp;DATE(2027,2,1),SA_Date,"&lt;"&amp;DATE(2027,3,1))</f>
        <v/>
      </c>
      <c r="E10" s="91">
        <f>COUNTIFS(SA_Lane,$A10,SA_Date,"&gt;="&amp;DATE(2027,3,1),SA_Date,"&lt;"&amp;DATE(2027,4,1))</f>
        <v/>
      </c>
      <c r="F10" s="91">
        <f>COUNTIFS(SA_Lane,$A10,SA_Date,"&gt;="&amp;DATE(2027,4,1),SA_Date,"&lt;"&amp;DATE(2027,5,1))</f>
        <v/>
      </c>
      <c r="G10" s="91">
        <f>COUNTIFS(SA_Lane,$A10,SA_Date,"&gt;="&amp;DATE(2027,5,1),SA_Date,"&lt;"&amp;DATE(2027,6,1))</f>
        <v/>
      </c>
      <c r="H10" s="91">
        <f>COUNTIFS(SA_Lane,$A10,SA_Date,"&gt;="&amp;DATE(2027,6,1),SA_Date,"&lt;"&amp;DATE(2027,7,1))</f>
        <v/>
      </c>
      <c r="I10" s="91">
        <f>COUNTIFS(SA_Lane,$A10,SA_Date,"&gt;="&amp;DATE(2027,7,1),SA_Date,"&lt;"&amp;DATE(2027,8,1))</f>
        <v/>
      </c>
      <c r="J10" s="91">
        <f>COUNTIFS(SA_Lane,$A10,SA_Date,"&gt;="&amp;DATE(2027,8,1),SA_Date,"&lt;"&amp;DATE(2027,9,1))</f>
        <v/>
      </c>
      <c r="K10" s="91">
        <f>COUNTIFS(SA_Lane,$A10,SA_Date,"&gt;="&amp;DATE(2027,9,1),SA_Date,"&lt;"&amp;DATE(2027,10,1))</f>
        <v/>
      </c>
      <c r="L10" s="91">
        <f>COUNTIFS(SA_Lane,$A10,SA_Date,"&gt;="&amp;DATE(2027,10,1),SA_Date,"&lt;"&amp;DATE(2027,11,1))</f>
        <v/>
      </c>
      <c r="M10" s="91">
        <f>COUNTIFS(SA_Lane,$A10,SA_Date,"&gt;="&amp;DATE(2027,11,1),SA_Date,"&lt;"&amp;DATE(2027,12,1))</f>
        <v/>
      </c>
      <c r="N10" s="91">
        <f>COUNTIFS(SA_Lane,$A10,SA_Date,"&gt;="&amp;DATE(2027,12,1),SA_Date,"&lt;"&amp;DATE(2028,1,1))</f>
        <v/>
      </c>
      <c r="O10" s="72">
        <f>SUM(C10:N10)</f>
        <v/>
      </c>
      <c r="P10" s="72">
        <f>MAX(C10:N10)</f>
        <v/>
      </c>
    </row>
    <row r="11">
      <c r="A11" s="95" t="inlineStr">
        <is>
          <t>L06</t>
        </is>
      </c>
      <c r="B11" s="101" t="inlineStr">
        <is>
          <t>Morocco</t>
        </is>
      </c>
      <c r="C11" s="91">
        <f>COUNTIFS(SA_Lane,$A11,SA_Date,"&gt;="&amp;DATE(2027,1,1),SA_Date,"&lt;"&amp;DATE(2027,2,1))</f>
        <v/>
      </c>
      <c r="D11" s="91">
        <f>COUNTIFS(SA_Lane,$A11,SA_Date,"&gt;="&amp;DATE(2027,2,1),SA_Date,"&lt;"&amp;DATE(2027,3,1))</f>
        <v/>
      </c>
      <c r="E11" s="91">
        <f>COUNTIFS(SA_Lane,$A11,SA_Date,"&gt;="&amp;DATE(2027,3,1),SA_Date,"&lt;"&amp;DATE(2027,4,1))</f>
        <v/>
      </c>
      <c r="F11" s="91">
        <f>COUNTIFS(SA_Lane,$A11,SA_Date,"&gt;="&amp;DATE(2027,4,1),SA_Date,"&lt;"&amp;DATE(2027,5,1))</f>
        <v/>
      </c>
      <c r="G11" s="91">
        <f>COUNTIFS(SA_Lane,$A11,SA_Date,"&gt;="&amp;DATE(2027,5,1),SA_Date,"&lt;"&amp;DATE(2027,6,1))</f>
        <v/>
      </c>
      <c r="H11" s="91">
        <f>COUNTIFS(SA_Lane,$A11,SA_Date,"&gt;="&amp;DATE(2027,6,1),SA_Date,"&lt;"&amp;DATE(2027,7,1))</f>
        <v/>
      </c>
      <c r="I11" s="91">
        <f>COUNTIFS(SA_Lane,$A11,SA_Date,"&gt;="&amp;DATE(2027,7,1),SA_Date,"&lt;"&amp;DATE(2027,8,1))</f>
        <v/>
      </c>
      <c r="J11" s="91">
        <f>COUNTIFS(SA_Lane,$A11,SA_Date,"&gt;="&amp;DATE(2027,8,1),SA_Date,"&lt;"&amp;DATE(2027,9,1))</f>
        <v/>
      </c>
      <c r="K11" s="91">
        <f>COUNTIFS(SA_Lane,$A11,SA_Date,"&gt;="&amp;DATE(2027,9,1),SA_Date,"&lt;"&amp;DATE(2027,10,1))</f>
        <v/>
      </c>
      <c r="L11" s="91">
        <f>COUNTIFS(SA_Lane,$A11,SA_Date,"&gt;="&amp;DATE(2027,10,1),SA_Date,"&lt;"&amp;DATE(2027,11,1))</f>
        <v/>
      </c>
      <c r="M11" s="91">
        <f>COUNTIFS(SA_Lane,$A11,SA_Date,"&gt;="&amp;DATE(2027,11,1),SA_Date,"&lt;"&amp;DATE(2027,12,1))</f>
        <v/>
      </c>
      <c r="N11" s="91">
        <f>COUNTIFS(SA_Lane,$A11,SA_Date,"&gt;="&amp;DATE(2027,12,1),SA_Date,"&lt;"&amp;DATE(2028,1,1))</f>
        <v/>
      </c>
      <c r="O11" s="72">
        <f>SUM(C11:N11)</f>
        <v/>
      </c>
      <c r="P11" s="72">
        <f>MAX(C11:N11)</f>
        <v/>
      </c>
    </row>
    <row r="12">
      <c r="A12" s="95" t="inlineStr">
        <is>
          <t>L07</t>
        </is>
      </c>
      <c r="B12" s="101" t="inlineStr">
        <is>
          <t>Algeria</t>
        </is>
      </c>
      <c r="C12" s="91">
        <f>COUNTIFS(SA_Lane,$A12,SA_Date,"&gt;="&amp;DATE(2027,1,1),SA_Date,"&lt;"&amp;DATE(2027,2,1))</f>
        <v/>
      </c>
      <c r="D12" s="91">
        <f>COUNTIFS(SA_Lane,$A12,SA_Date,"&gt;="&amp;DATE(2027,2,1),SA_Date,"&lt;"&amp;DATE(2027,3,1))</f>
        <v/>
      </c>
      <c r="E12" s="91">
        <f>COUNTIFS(SA_Lane,$A12,SA_Date,"&gt;="&amp;DATE(2027,3,1),SA_Date,"&lt;"&amp;DATE(2027,4,1))</f>
        <v/>
      </c>
      <c r="F12" s="91">
        <f>COUNTIFS(SA_Lane,$A12,SA_Date,"&gt;="&amp;DATE(2027,4,1),SA_Date,"&lt;"&amp;DATE(2027,5,1))</f>
        <v/>
      </c>
      <c r="G12" s="91">
        <f>COUNTIFS(SA_Lane,$A12,SA_Date,"&gt;="&amp;DATE(2027,5,1),SA_Date,"&lt;"&amp;DATE(2027,6,1))</f>
        <v/>
      </c>
      <c r="H12" s="91">
        <f>COUNTIFS(SA_Lane,$A12,SA_Date,"&gt;="&amp;DATE(2027,6,1),SA_Date,"&lt;"&amp;DATE(2027,7,1))</f>
        <v/>
      </c>
      <c r="I12" s="91">
        <f>COUNTIFS(SA_Lane,$A12,SA_Date,"&gt;="&amp;DATE(2027,7,1),SA_Date,"&lt;"&amp;DATE(2027,8,1))</f>
        <v/>
      </c>
      <c r="J12" s="91">
        <f>COUNTIFS(SA_Lane,$A12,SA_Date,"&gt;="&amp;DATE(2027,8,1),SA_Date,"&lt;"&amp;DATE(2027,9,1))</f>
        <v/>
      </c>
      <c r="K12" s="91">
        <f>COUNTIFS(SA_Lane,$A12,SA_Date,"&gt;="&amp;DATE(2027,9,1),SA_Date,"&lt;"&amp;DATE(2027,10,1))</f>
        <v/>
      </c>
      <c r="L12" s="91">
        <f>COUNTIFS(SA_Lane,$A12,SA_Date,"&gt;="&amp;DATE(2027,10,1),SA_Date,"&lt;"&amp;DATE(2027,11,1))</f>
        <v/>
      </c>
      <c r="M12" s="91">
        <f>COUNTIFS(SA_Lane,$A12,SA_Date,"&gt;="&amp;DATE(2027,11,1),SA_Date,"&lt;"&amp;DATE(2027,12,1))</f>
        <v/>
      </c>
      <c r="N12" s="91">
        <f>COUNTIFS(SA_Lane,$A12,SA_Date,"&gt;="&amp;DATE(2027,12,1),SA_Date,"&lt;"&amp;DATE(2028,1,1))</f>
        <v/>
      </c>
      <c r="O12" s="72">
        <f>SUM(C12:N12)</f>
        <v/>
      </c>
      <c r="P12" s="72">
        <f>MAX(C12:N12)</f>
        <v/>
      </c>
    </row>
    <row r="13">
      <c r="A13" s="95" t="inlineStr">
        <is>
          <t>L08</t>
        </is>
      </c>
      <c r="B13" s="101" t="inlineStr">
        <is>
          <t>Egypt</t>
        </is>
      </c>
      <c r="C13" s="91">
        <f>COUNTIFS(SA_Lane,$A13,SA_Date,"&gt;="&amp;DATE(2027,1,1),SA_Date,"&lt;"&amp;DATE(2027,2,1))</f>
        <v/>
      </c>
      <c r="D13" s="91">
        <f>COUNTIFS(SA_Lane,$A13,SA_Date,"&gt;="&amp;DATE(2027,2,1),SA_Date,"&lt;"&amp;DATE(2027,3,1))</f>
        <v/>
      </c>
      <c r="E13" s="91">
        <f>COUNTIFS(SA_Lane,$A13,SA_Date,"&gt;="&amp;DATE(2027,3,1),SA_Date,"&lt;"&amp;DATE(2027,4,1))</f>
        <v/>
      </c>
      <c r="F13" s="91">
        <f>COUNTIFS(SA_Lane,$A13,SA_Date,"&gt;="&amp;DATE(2027,4,1),SA_Date,"&lt;"&amp;DATE(2027,5,1))</f>
        <v/>
      </c>
      <c r="G13" s="91">
        <f>COUNTIFS(SA_Lane,$A13,SA_Date,"&gt;="&amp;DATE(2027,5,1),SA_Date,"&lt;"&amp;DATE(2027,6,1))</f>
        <v/>
      </c>
      <c r="H13" s="91">
        <f>COUNTIFS(SA_Lane,$A13,SA_Date,"&gt;="&amp;DATE(2027,6,1),SA_Date,"&lt;"&amp;DATE(2027,7,1))</f>
        <v/>
      </c>
      <c r="I13" s="91">
        <f>COUNTIFS(SA_Lane,$A13,SA_Date,"&gt;="&amp;DATE(2027,7,1),SA_Date,"&lt;"&amp;DATE(2027,8,1))</f>
        <v/>
      </c>
      <c r="J13" s="91">
        <f>COUNTIFS(SA_Lane,$A13,SA_Date,"&gt;="&amp;DATE(2027,8,1),SA_Date,"&lt;"&amp;DATE(2027,9,1))</f>
        <v/>
      </c>
      <c r="K13" s="91">
        <f>COUNTIFS(SA_Lane,$A13,SA_Date,"&gt;="&amp;DATE(2027,9,1),SA_Date,"&lt;"&amp;DATE(2027,10,1))</f>
        <v/>
      </c>
      <c r="L13" s="91">
        <f>COUNTIFS(SA_Lane,$A13,SA_Date,"&gt;="&amp;DATE(2027,10,1),SA_Date,"&lt;"&amp;DATE(2027,11,1))</f>
        <v/>
      </c>
      <c r="M13" s="91">
        <f>COUNTIFS(SA_Lane,$A13,SA_Date,"&gt;="&amp;DATE(2027,11,1),SA_Date,"&lt;"&amp;DATE(2027,12,1))</f>
        <v/>
      </c>
      <c r="N13" s="91">
        <f>COUNTIFS(SA_Lane,$A13,SA_Date,"&gt;="&amp;DATE(2027,12,1),SA_Date,"&lt;"&amp;DATE(2028,1,1))</f>
        <v/>
      </c>
      <c r="O13" s="72">
        <f>SUM(C13:N13)</f>
        <v/>
      </c>
      <c r="P13" s="72">
        <f>MAX(C13:N13)</f>
        <v/>
      </c>
    </row>
    <row r="14">
      <c r="A14" s="95" t="inlineStr">
        <is>
          <t>L09</t>
        </is>
      </c>
      <c r="B14" s="101" t="inlineStr">
        <is>
          <t>Tunisia</t>
        </is>
      </c>
      <c r="C14" s="91">
        <f>COUNTIFS(SA_Lane,$A14,SA_Date,"&gt;="&amp;DATE(2027,1,1),SA_Date,"&lt;"&amp;DATE(2027,2,1))</f>
        <v/>
      </c>
      <c r="D14" s="91">
        <f>COUNTIFS(SA_Lane,$A14,SA_Date,"&gt;="&amp;DATE(2027,2,1),SA_Date,"&lt;"&amp;DATE(2027,3,1))</f>
        <v/>
      </c>
      <c r="E14" s="91">
        <f>COUNTIFS(SA_Lane,$A14,SA_Date,"&gt;="&amp;DATE(2027,3,1),SA_Date,"&lt;"&amp;DATE(2027,4,1))</f>
        <v/>
      </c>
      <c r="F14" s="91">
        <f>COUNTIFS(SA_Lane,$A14,SA_Date,"&gt;="&amp;DATE(2027,4,1),SA_Date,"&lt;"&amp;DATE(2027,5,1))</f>
        <v/>
      </c>
      <c r="G14" s="91">
        <f>COUNTIFS(SA_Lane,$A14,SA_Date,"&gt;="&amp;DATE(2027,5,1),SA_Date,"&lt;"&amp;DATE(2027,6,1))</f>
        <v/>
      </c>
      <c r="H14" s="91">
        <f>COUNTIFS(SA_Lane,$A14,SA_Date,"&gt;="&amp;DATE(2027,6,1),SA_Date,"&lt;"&amp;DATE(2027,7,1))</f>
        <v/>
      </c>
      <c r="I14" s="91">
        <f>COUNTIFS(SA_Lane,$A14,SA_Date,"&gt;="&amp;DATE(2027,7,1),SA_Date,"&lt;"&amp;DATE(2027,8,1))</f>
        <v/>
      </c>
      <c r="J14" s="91">
        <f>COUNTIFS(SA_Lane,$A14,SA_Date,"&gt;="&amp;DATE(2027,8,1),SA_Date,"&lt;"&amp;DATE(2027,9,1))</f>
        <v/>
      </c>
      <c r="K14" s="91">
        <f>COUNTIFS(SA_Lane,$A14,SA_Date,"&gt;="&amp;DATE(2027,9,1),SA_Date,"&lt;"&amp;DATE(2027,10,1))</f>
        <v/>
      </c>
      <c r="L14" s="91">
        <f>COUNTIFS(SA_Lane,$A14,SA_Date,"&gt;="&amp;DATE(2027,10,1),SA_Date,"&lt;"&amp;DATE(2027,11,1))</f>
        <v/>
      </c>
      <c r="M14" s="91">
        <f>COUNTIFS(SA_Lane,$A14,SA_Date,"&gt;="&amp;DATE(2027,11,1),SA_Date,"&lt;"&amp;DATE(2027,12,1))</f>
        <v/>
      </c>
      <c r="N14" s="91">
        <f>COUNTIFS(SA_Lane,$A14,SA_Date,"&gt;="&amp;DATE(2027,12,1),SA_Date,"&lt;"&amp;DATE(2028,1,1))</f>
        <v/>
      </c>
      <c r="O14" s="72">
        <f>SUM(C14:N14)</f>
        <v/>
      </c>
      <c r="P14" s="72">
        <f>MAX(C14:N14)</f>
        <v/>
      </c>
    </row>
    <row r="15">
      <c r="A15" s="96" t="inlineStr">
        <is>
          <t>Total</t>
        </is>
      </c>
      <c r="B15" s="118" t="inlineStr"/>
      <c r="C15" s="120">
        <f>SUM(C6:C14)</f>
        <v/>
      </c>
      <c r="D15" s="120">
        <f>SUM(D6:D14)</f>
        <v/>
      </c>
      <c r="E15" s="120">
        <f>SUM(E6:E14)</f>
        <v/>
      </c>
      <c r="F15" s="120">
        <f>SUM(F6:F14)</f>
        <v/>
      </c>
      <c r="G15" s="120">
        <f>SUM(G6:G14)</f>
        <v/>
      </c>
      <c r="H15" s="120">
        <f>SUM(H6:H14)</f>
        <v/>
      </c>
      <c r="I15" s="120">
        <f>SUM(I6:I14)</f>
        <v/>
      </c>
      <c r="J15" s="120">
        <f>SUM(J6:J14)</f>
        <v/>
      </c>
      <c r="K15" s="120">
        <f>SUM(K6:K14)</f>
        <v/>
      </c>
      <c r="L15" s="120">
        <f>SUM(L6:L14)</f>
        <v/>
      </c>
      <c r="M15" s="120">
        <f>SUM(M6:M14)</f>
        <v/>
      </c>
      <c r="N15" s="120">
        <f>SUM(N6:N14)</f>
        <v/>
      </c>
      <c r="O15" s="120">
        <f>SUM(O6:O14)</f>
        <v/>
      </c>
      <c r="P15" s="120">
        <f>MAX(C15:N15)</f>
        <v/>
      </c>
    </row>
    <row r="16">
      <c r="A16" s="96" t="inlineStr">
        <is>
          <t>Chargeable kg</t>
        </is>
      </c>
      <c r="B16" s="118" t="inlineStr"/>
      <c r="C16" s="120">
        <f>SUMIFS(SA_Chg,SA_Date,"&gt;="&amp;DATE(2027,1,1),SA_Date,"&lt;"&amp;DATE(2027,2,1))</f>
        <v/>
      </c>
      <c r="D16" s="120">
        <f>SUMIFS(SA_Chg,SA_Date,"&gt;="&amp;DATE(2027,2,1),SA_Date,"&lt;"&amp;DATE(2027,3,1))</f>
        <v/>
      </c>
      <c r="E16" s="120">
        <f>SUMIFS(SA_Chg,SA_Date,"&gt;="&amp;DATE(2027,3,1),SA_Date,"&lt;"&amp;DATE(2027,4,1))</f>
        <v/>
      </c>
      <c r="F16" s="120">
        <f>SUMIFS(SA_Chg,SA_Date,"&gt;="&amp;DATE(2027,4,1),SA_Date,"&lt;"&amp;DATE(2027,5,1))</f>
        <v/>
      </c>
      <c r="G16" s="120">
        <f>SUMIFS(SA_Chg,SA_Date,"&gt;="&amp;DATE(2027,5,1),SA_Date,"&lt;"&amp;DATE(2027,6,1))</f>
        <v/>
      </c>
      <c r="H16" s="120">
        <f>SUMIFS(SA_Chg,SA_Date,"&gt;="&amp;DATE(2027,6,1),SA_Date,"&lt;"&amp;DATE(2027,7,1))</f>
        <v/>
      </c>
      <c r="I16" s="120">
        <f>SUMIFS(SA_Chg,SA_Date,"&gt;="&amp;DATE(2027,7,1),SA_Date,"&lt;"&amp;DATE(2027,8,1))</f>
        <v/>
      </c>
      <c r="J16" s="120">
        <f>SUMIFS(SA_Chg,SA_Date,"&gt;="&amp;DATE(2027,8,1),SA_Date,"&lt;"&amp;DATE(2027,9,1))</f>
        <v/>
      </c>
      <c r="K16" s="120">
        <f>SUMIFS(SA_Chg,SA_Date,"&gt;="&amp;DATE(2027,9,1),SA_Date,"&lt;"&amp;DATE(2027,10,1))</f>
        <v/>
      </c>
      <c r="L16" s="120">
        <f>SUMIFS(SA_Chg,SA_Date,"&gt;="&amp;DATE(2027,10,1),SA_Date,"&lt;"&amp;DATE(2027,11,1))</f>
        <v/>
      </c>
      <c r="M16" s="120">
        <f>SUMIFS(SA_Chg,SA_Date,"&gt;="&amp;DATE(2027,11,1),SA_Date,"&lt;"&amp;DATE(2027,12,1))</f>
        <v/>
      </c>
      <c r="N16" s="120">
        <f>SUMIFS(SA_Chg,SA_Date,"&gt;="&amp;DATE(2027,12,1),SA_Date,"&lt;"&amp;DATE(2028,1,1))</f>
        <v/>
      </c>
      <c r="O16" s="120">
        <f>SUM(C16:N16)</f>
        <v/>
      </c>
      <c r="P16" s="120">
        <f>MAX(C16:N16)</f>
        <v/>
      </c>
    </row>
    <row r="17"/>
    <row r="18">
      <c r="A18" s="93" t="inlineStr">
        <is>
          <t>Scenario B: shipments per month</t>
        </is>
      </c>
    </row>
    <row r="19" ht="30" customHeight="1">
      <c r="A19" s="10" t="inlineStr">
        <is>
          <t>Lane</t>
        </is>
      </c>
      <c r="B19" s="10" t="inlineStr">
        <is>
          <t>Destination</t>
        </is>
      </c>
      <c r="C19" s="10" t="inlineStr">
        <is>
          <t>Jan</t>
        </is>
      </c>
      <c r="D19" s="10" t="inlineStr">
        <is>
          <t>Feb</t>
        </is>
      </c>
      <c r="E19" s="10" t="inlineStr">
        <is>
          <t>Mar</t>
        </is>
      </c>
      <c r="F19" s="10" t="inlineStr">
        <is>
          <t>Apr</t>
        </is>
      </c>
      <c r="G19" s="10" t="inlineStr">
        <is>
          <t>May</t>
        </is>
      </c>
      <c r="H19" s="10" t="inlineStr">
        <is>
          <t>Jun</t>
        </is>
      </c>
      <c r="I19" s="10" t="inlineStr">
        <is>
          <t>Jul</t>
        </is>
      </c>
      <c r="J19" s="10" t="inlineStr">
        <is>
          <t>Aug</t>
        </is>
      </c>
      <c r="K19" s="10" t="inlineStr">
        <is>
          <t>Sep</t>
        </is>
      </c>
      <c r="L19" s="10" t="inlineStr">
        <is>
          <t>Oct</t>
        </is>
      </c>
      <c r="M19" s="10" t="inlineStr">
        <is>
          <t>Nov</t>
        </is>
      </c>
      <c r="N19" s="10" t="inlineStr">
        <is>
          <t>Dec</t>
        </is>
      </c>
      <c r="O19" s="10" t="inlineStr">
        <is>
          <t>Year</t>
        </is>
      </c>
      <c r="P19" s="10" t="inlineStr">
        <is>
          <t>Peak month</t>
        </is>
      </c>
    </row>
    <row r="20">
      <c r="A20" s="95" t="inlineStr">
        <is>
          <t>L01</t>
        </is>
      </c>
      <c r="B20" s="101" t="inlineStr">
        <is>
          <t>Saudi Arabia</t>
        </is>
      </c>
      <c r="C20" s="91">
        <f>COUNTIFS(SB_Lane,$A20,SB_Date,"&gt;="&amp;DATE(2027,1,1),SB_Date,"&lt;"&amp;DATE(2027,2,1))</f>
        <v/>
      </c>
      <c r="D20" s="91">
        <f>COUNTIFS(SB_Lane,$A20,SB_Date,"&gt;="&amp;DATE(2027,2,1),SB_Date,"&lt;"&amp;DATE(2027,3,1))</f>
        <v/>
      </c>
      <c r="E20" s="91">
        <f>COUNTIFS(SB_Lane,$A20,SB_Date,"&gt;="&amp;DATE(2027,3,1),SB_Date,"&lt;"&amp;DATE(2027,4,1))</f>
        <v/>
      </c>
      <c r="F20" s="91">
        <f>COUNTIFS(SB_Lane,$A20,SB_Date,"&gt;="&amp;DATE(2027,4,1),SB_Date,"&lt;"&amp;DATE(2027,5,1))</f>
        <v/>
      </c>
      <c r="G20" s="91">
        <f>COUNTIFS(SB_Lane,$A20,SB_Date,"&gt;="&amp;DATE(2027,5,1),SB_Date,"&lt;"&amp;DATE(2027,6,1))</f>
        <v/>
      </c>
      <c r="H20" s="91">
        <f>COUNTIFS(SB_Lane,$A20,SB_Date,"&gt;="&amp;DATE(2027,6,1),SB_Date,"&lt;"&amp;DATE(2027,7,1))</f>
        <v/>
      </c>
      <c r="I20" s="91">
        <f>COUNTIFS(SB_Lane,$A20,SB_Date,"&gt;="&amp;DATE(2027,7,1),SB_Date,"&lt;"&amp;DATE(2027,8,1))</f>
        <v/>
      </c>
      <c r="J20" s="91">
        <f>COUNTIFS(SB_Lane,$A20,SB_Date,"&gt;="&amp;DATE(2027,8,1),SB_Date,"&lt;"&amp;DATE(2027,9,1))</f>
        <v/>
      </c>
      <c r="K20" s="91">
        <f>COUNTIFS(SB_Lane,$A20,SB_Date,"&gt;="&amp;DATE(2027,9,1),SB_Date,"&lt;"&amp;DATE(2027,10,1))</f>
        <v/>
      </c>
      <c r="L20" s="91">
        <f>COUNTIFS(SB_Lane,$A20,SB_Date,"&gt;="&amp;DATE(2027,10,1),SB_Date,"&lt;"&amp;DATE(2027,11,1))</f>
        <v/>
      </c>
      <c r="M20" s="91">
        <f>COUNTIFS(SB_Lane,$A20,SB_Date,"&gt;="&amp;DATE(2027,11,1),SB_Date,"&lt;"&amp;DATE(2027,12,1))</f>
        <v/>
      </c>
      <c r="N20" s="91">
        <f>COUNTIFS(SB_Lane,$A20,SB_Date,"&gt;="&amp;DATE(2027,12,1),SB_Date,"&lt;"&amp;DATE(2028,1,1))</f>
        <v/>
      </c>
      <c r="O20" s="72">
        <f>SUM(C20:N20)</f>
        <v/>
      </c>
      <c r="P20" s="72">
        <f>MAX(C20:N20)</f>
        <v/>
      </c>
    </row>
    <row r="21">
      <c r="A21" s="95" t="inlineStr">
        <is>
          <t>L02</t>
        </is>
      </c>
      <c r="B21" s="101" t="inlineStr">
        <is>
          <t>United Arab Emirates</t>
        </is>
      </c>
      <c r="C21" s="91">
        <f>COUNTIFS(SB_Lane,$A21,SB_Date,"&gt;="&amp;DATE(2027,1,1),SB_Date,"&lt;"&amp;DATE(2027,2,1))</f>
        <v/>
      </c>
      <c r="D21" s="91">
        <f>COUNTIFS(SB_Lane,$A21,SB_Date,"&gt;="&amp;DATE(2027,2,1),SB_Date,"&lt;"&amp;DATE(2027,3,1))</f>
        <v/>
      </c>
      <c r="E21" s="91">
        <f>COUNTIFS(SB_Lane,$A21,SB_Date,"&gt;="&amp;DATE(2027,3,1),SB_Date,"&lt;"&amp;DATE(2027,4,1))</f>
        <v/>
      </c>
      <c r="F21" s="91">
        <f>COUNTIFS(SB_Lane,$A21,SB_Date,"&gt;="&amp;DATE(2027,4,1),SB_Date,"&lt;"&amp;DATE(2027,5,1))</f>
        <v/>
      </c>
      <c r="G21" s="91">
        <f>COUNTIFS(SB_Lane,$A21,SB_Date,"&gt;="&amp;DATE(2027,5,1),SB_Date,"&lt;"&amp;DATE(2027,6,1))</f>
        <v/>
      </c>
      <c r="H21" s="91">
        <f>COUNTIFS(SB_Lane,$A21,SB_Date,"&gt;="&amp;DATE(2027,6,1),SB_Date,"&lt;"&amp;DATE(2027,7,1))</f>
        <v/>
      </c>
      <c r="I21" s="91">
        <f>COUNTIFS(SB_Lane,$A21,SB_Date,"&gt;="&amp;DATE(2027,7,1),SB_Date,"&lt;"&amp;DATE(2027,8,1))</f>
        <v/>
      </c>
      <c r="J21" s="91">
        <f>COUNTIFS(SB_Lane,$A21,SB_Date,"&gt;="&amp;DATE(2027,8,1),SB_Date,"&lt;"&amp;DATE(2027,9,1))</f>
        <v/>
      </c>
      <c r="K21" s="91">
        <f>COUNTIFS(SB_Lane,$A21,SB_Date,"&gt;="&amp;DATE(2027,9,1),SB_Date,"&lt;"&amp;DATE(2027,10,1))</f>
        <v/>
      </c>
      <c r="L21" s="91">
        <f>COUNTIFS(SB_Lane,$A21,SB_Date,"&gt;="&amp;DATE(2027,10,1),SB_Date,"&lt;"&amp;DATE(2027,11,1))</f>
        <v/>
      </c>
      <c r="M21" s="91">
        <f>COUNTIFS(SB_Lane,$A21,SB_Date,"&gt;="&amp;DATE(2027,11,1),SB_Date,"&lt;"&amp;DATE(2027,12,1))</f>
        <v/>
      </c>
      <c r="N21" s="91">
        <f>COUNTIFS(SB_Lane,$A21,SB_Date,"&gt;="&amp;DATE(2027,12,1),SB_Date,"&lt;"&amp;DATE(2028,1,1))</f>
        <v/>
      </c>
      <c r="O21" s="72">
        <f>SUM(C21:N21)</f>
        <v/>
      </c>
      <c r="P21" s="72">
        <f>MAX(C21:N21)</f>
        <v/>
      </c>
    </row>
    <row r="22">
      <c r="A22" s="95" t="inlineStr">
        <is>
          <t>L03</t>
        </is>
      </c>
      <c r="B22" s="101" t="inlineStr">
        <is>
          <t>Kuwait</t>
        </is>
      </c>
      <c r="C22" s="91">
        <f>COUNTIFS(SB_Lane,$A22,SB_Date,"&gt;="&amp;DATE(2027,1,1),SB_Date,"&lt;"&amp;DATE(2027,2,1))</f>
        <v/>
      </c>
      <c r="D22" s="91">
        <f>COUNTIFS(SB_Lane,$A22,SB_Date,"&gt;="&amp;DATE(2027,2,1),SB_Date,"&lt;"&amp;DATE(2027,3,1))</f>
        <v/>
      </c>
      <c r="E22" s="91">
        <f>COUNTIFS(SB_Lane,$A22,SB_Date,"&gt;="&amp;DATE(2027,3,1),SB_Date,"&lt;"&amp;DATE(2027,4,1))</f>
        <v/>
      </c>
      <c r="F22" s="91">
        <f>COUNTIFS(SB_Lane,$A22,SB_Date,"&gt;="&amp;DATE(2027,4,1),SB_Date,"&lt;"&amp;DATE(2027,5,1))</f>
        <v/>
      </c>
      <c r="G22" s="91">
        <f>COUNTIFS(SB_Lane,$A22,SB_Date,"&gt;="&amp;DATE(2027,5,1),SB_Date,"&lt;"&amp;DATE(2027,6,1))</f>
        <v/>
      </c>
      <c r="H22" s="91">
        <f>COUNTIFS(SB_Lane,$A22,SB_Date,"&gt;="&amp;DATE(2027,6,1),SB_Date,"&lt;"&amp;DATE(2027,7,1))</f>
        <v/>
      </c>
      <c r="I22" s="91">
        <f>COUNTIFS(SB_Lane,$A22,SB_Date,"&gt;="&amp;DATE(2027,7,1),SB_Date,"&lt;"&amp;DATE(2027,8,1))</f>
        <v/>
      </c>
      <c r="J22" s="91">
        <f>COUNTIFS(SB_Lane,$A22,SB_Date,"&gt;="&amp;DATE(2027,8,1),SB_Date,"&lt;"&amp;DATE(2027,9,1))</f>
        <v/>
      </c>
      <c r="K22" s="91">
        <f>COUNTIFS(SB_Lane,$A22,SB_Date,"&gt;="&amp;DATE(2027,9,1),SB_Date,"&lt;"&amp;DATE(2027,10,1))</f>
        <v/>
      </c>
      <c r="L22" s="91">
        <f>COUNTIFS(SB_Lane,$A22,SB_Date,"&gt;="&amp;DATE(2027,10,1),SB_Date,"&lt;"&amp;DATE(2027,11,1))</f>
        <v/>
      </c>
      <c r="M22" s="91">
        <f>COUNTIFS(SB_Lane,$A22,SB_Date,"&gt;="&amp;DATE(2027,11,1),SB_Date,"&lt;"&amp;DATE(2027,12,1))</f>
        <v/>
      </c>
      <c r="N22" s="91">
        <f>COUNTIFS(SB_Lane,$A22,SB_Date,"&gt;="&amp;DATE(2027,12,1),SB_Date,"&lt;"&amp;DATE(2028,1,1))</f>
        <v/>
      </c>
      <c r="O22" s="72">
        <f>SUM(C22:N22)</f>
        <v/>
      </c>
      <c r="P22" s="72">
        <f>MAX(C22:N22)</f>
        <v/>
      </c>
    </row>
    <row r="23">
      <c r="A23" s="95" t="inlineStr">
        <is>
          <t>L04</t>
        </is>
      </c>
      <c r="B23" s="101" t="inlineStr">
        <is>
          <t>Qatar</t>
        </is>
      </c>
      <c r="C23" s="91">
        <f>COUNTIFS(SB_Lane,$A23,SB_Date,"&gt;="&amp;DATE(2027,1,1),SB_Date,"&lt;"&amp;DATE(2027,2,1))</f>
        <v/>
      </c>
      <c r="D23" s="91">
        <f>COUNTIFS(SB_Lane,$A23,SB_Date,"&gt;="&amp;DATE(2027,2,1),SB_Date,"&lt;"&amp;DATE(2027,3,1))</f>
        <v/>
      </c>
      <c r="E23" s="91">
        <f>COUNTIFS(SB_Lane,$A23,SB_Date,"&gt;="&amp;DATE(2027,3,1),SB_Date,"&lt;"&amp;DATE(2027,4,1))</f>
        <v/>
      </c>
      <c r="F23" s="91">
        <f>COUNTIFS(SB_Lane,$A23,SB_Date,"&gt;="&amp;DATE(2027,4,1),SB_Date,"&lt;"&amp;DATE(2027,5,1))</f>
        <v/>
      </c>
      <c r="G23" s="91">
        <f>COUNTIFS(SB_Lane,$A23,SB_Date,"&gt;="&amp;DATE(2027,5,1),SB_Date,"&lt;"&amp;DATE(2027,6,1))</f>
        <v/>
      </c>
      <c r="H23" s="91">
        <f>COUNTIFS(SB_Lane,$A23,SB_Date,"&gt;="&amp;DATE(2027,6,1),SB_Date,"&lt;"&amp;DATE(2027,7,1))</f>
        <v/>
      </c>
      <c r="I23" s="91">
        <f>COUNTIFS(SB_Lane,$A23,SB_Date,"&gt;="&amp;DATE(2027,7,1),SB_Date,"&lt;"&amp;DATE(2027,8,1))</f>
        <v/>
      </c>
      <c r="J23" s="91">
        <f>COUNTIFS(SB_Lane,$A23,SB_Date,"&gt;="&amp;DATE(2027,8,1),SB_Date,"&lt;"&amp;DATE(2027,9,1))</f>
        <v/>
      </c>
      <c r="K23" s="91">
        <f>COUNTIFS(SB_Lane,$A23,SB_Date,"&gt;="&amp;DATE(2027,9,1),SB_Date,"&lt;"&amp;DATE(2027,10,1))</f>
        <v/>
      </c>
      <c r="L23" s="91">
        <f>COUNTIFS(SB_Lane,$A23,SB_Date,"&gt;="&amp;DATE(2027,10,1),SB_Date,"&lt;"&amp;DATE(2027,11,1))</f>
        <v/>
      </c>
      <c r="M23" s="91">
        <f>COUNTIFS(SB_Lane,$A23,SB_Date,"&gt;="&amp;DATE(2027,11,1),SB_Date,"&lt;"&amp;DATE(2027,12,1))</f>
        <v/>
      </c>
      <c r="N23" s="91">
        <f>COUNTIFS(SB_Lane,$A23,SB_Date,"&gt;="&amp;DATE(2027,12,1),SB_Date,"&lt;"&amp;DATE(2028,1,1))</f>
        <v/>
      </c>
      <c r="O23" s="72">
        <f>SUM(C23:N23)</f>
        <v/>
      </c>
      <c r="P23" s="72">
        <f>MAX(C23:N23)</f>
        <v/>
      </c>
    </row>
    <row r="24">
      <c r="A24" s="95" t="inlineStr">
        <is>
          <t>L05</t>
        </is>
      </c>
      <c r="B24" s="101" t="inlineStr">
        <is>
          <t>Türkiye</t>
        </is>
      </c>
      <c r="C24" s="91">
        <f>COUNTIFS(SB_Lane,$A24,SB_Date,"&gt;="&amp;DATE(2027,1,1),SB_Date,"&lt;"&amp;DATE(2027,2,1))</f>
        <v/>
      </c>
      <c r="D24" s="91">
        <f>COUNTIFS(SB_Lane,$A24,SB_Date,"&gt;="&amp;DATE(2027,2,1),SB_Date,"&lt;"&amp;DATE(2027,3,1))</f>
        <v/>
      </c>
      <c r="E24" s="91">
        <f>COUNTIFS(SB_Lane,$A24,SB_Date,"&gt;="&amp;DATE(2027,3,1),SB_Date,"&lt;"&amp;DATE(2027,4,1))</f>
        <v/>
      </c>
      <c r="F24" s="91">
        <f>COUNTIFS(SB_Lane,$A24,SB_Date,"&gt;="&amp;DATE(2027,4,1),SB_Date,"&lt;"&amp;DATE(2027,5,1))</f>
        <v/>
      </c>
      <c r="G24" s="91">
        <f>COUNTIFS(SB_Lane,$A24,SB_Date,"&gt;="&amp;DATE(2027,5,1),SB_Date,"&lt;"&amp;DATE(2027,6,1))</f>
        <v/>
      </c>
      <c r="H24" s="91">
        <f>COUNTIFS(SB_Lane,$A24,SB_Date,"&gt;="&amp;DATE(2027,6,1),SB_Date,"&lt;"&amp;DATE(2027,7,1))</f>
        <v/>
      </c>
      <c r="I24" s="91">
        <f>COUNTIFS(SB_Lane,$A24,SB_Date,"&gt;="&amp;DATE(2027,7,1),SB_Date,"&lt;"&amp;DATE(2027,8,1))</f>
        <v/>
      </c>
      <c r="J24" s="91">
        <f>COUNTIFS(SB_Lane,$A24,SB_Date,"&gt;="&amp;DATE(2027,8,1),SB_Date,"&lt;"&amp;DATE(2027,9,1))</f>
        <v/>
      </c>
      <c r="K24" s="91">
        <f>COUNTIFS(SB_Lane,$A24,SB_Date,"&gt;="&amp;DATE(2027,9,1),SB_Date,"&lt;"&amp;DATE(2027,10,1))</f>
        <v/>
      </c>
      <c r="L24" s="91">
        <f>COUNTIFS(SB_Lane,$A24,SB_Date,"&gt;="&amp;DATE(2027,10,1),SB_Date,"&lt;"&amp;DATE(2027,11,1))</f>
        <v/>
      </c>
      <c r="M24" s="91">
        <f>COUNTIFS(SB_Lane,$A24,SB_Date,"&gt;="&amp;DATE(2027,11,1),SB_Date,"&lt;"&amp;DATE(2027,12,1))</f>
        <v/>
      </c>
      <c r="N24" s="91">
        <f>COUNTIFS(SB_Lane,$A24,SB_Date,"&gt;="&amp;DATE(2027,12,1),SB_Date,"&lt;"&amp;DATE(2028,1,1))</f>
        <v/>
      </c>
      <c r="O24" s="72">
        <f>SUM(C24:N24)</f>
        <v/>
      </c>
      <c r="P24" s="72">
        <f>MAX(C24:N24)</f>
        <v/>
      </c>
    </row>
    <row r="25">
      <c r="A25" s="95" t="inlineStr">
        <is>
          <t>L06</t>
        </is>
      </c>
      <c r="B25" s="101" t="inlineStr">
        <is>
          <t>Morocco</t>
        </is>
      </c>
      <c r="C25" s="91">
        <f>COUNTIFS(SB_Lane,$A25,SB_Date,"&gt;="&amp;DATE(2027,1,1),SB_Date,"&lt;"&amp;DATE(2027,2,1))</f>
        <v/>
      </c>
      <c r="D25" s="91">
        <f>COUNTIFS(SB_Lane,$A25,SB_Date,"&gt;="&amp;DATE(2027,2,1),SB_Date,"&lt;"&amp;DATE(2027,3,1))</f>
        <v/>
      </c>
      <c r="E25" s="91">
        <f>COUNTIFS(SB_Lane,$A25,SB_Date,"&gt;="&amp;DATE(2027,3,1),SB_Date,"&lt;"&amp;DATE(2027,4,1))</f>
        <v/>
      </c>
      <c r="F25" s="91">
        <f>COUNTIFS(SB_Lane,$A25,SB_Date,"&gt;="&amp;DATE(2027,4,1),SB_Date,"&lt;"&amp;DATE(2027,5,1))</f>
        <v/>
      </c>
      <c r="G25" s="91">
        <f>COUNTIFS(SB_Lane,$A25,SB_Date,"&gt;="&amp;DATE(2027,5,1),SB_Date,"&lt;"&amp;DATE(2027,6,1))</f>
        <v/>
      </c>
      <c r="H25" s="91">
        <f>COUNTIFS(SB_Lane,$A25,SB_Date,"&gt;="&amp;DATE(2027,6,1),SB_Date,"&lt;"&amp;DATE(2027,7,1))</f>
        <v/>
      </c>
      <c r="I25" s="91">
        <f>COUNTIFS(SB_Lane,$A25,SB_Date,"&gt;="&amp;DATE(2027,7,1),SB_Date,"&lt;"&amp;DATE(2027,8,1))</f>
        <v/>
      </c>
      <c r="J25" s="91">
        <f>COUNTIFS(SB_Lane,$A25,SB_Date,"&gt;="&amp;DATE(2027,8,1),SB_Date,"&lt;"&amp;DATE(2027,9,1))</f>
        <v/>
      </c>
      <c r="K25" s="91">
        <f>COUNTIFS(SB_Lane,$A25,SB_Date,"&gt;="&amp;DATE(2027,9,1),SB_Date,"&lt;"&amp;DATE(2027,10,1))</f>
        <v/>
      </c>
      <c r="L25" s="91">
        <f>COUNTIFS(SB_Lane,$A25,SB_Date,"&gt;="&amp;DATE(2027,10,1),SB_Date,"&lt;"&amp;DATE(2027,11,1))</f>
        <v/>
      </c>
      <c r="M25" s="91">
        <f>COUNTIFS(SB_Lane,$A25,SB_Date,"&gt;="&amp;DATE(2027,11,1),SB_Date,"&lt;"&amp;DATE(2027,12,1))</f>
        <v/>
      </c>
      <c r="N25" s="91">
        <f>COUNTIFS(SB_Lane,$A25,SB_Date,"&gt;="&amp;DATE(2027,12,1),SB_Date,"&lt;"&amp;DATE(2028,1,1))</f>
        <v/>
      </c>
      <c r="O25" s="72">
        <f>SUM(C25:N25)</f>
        <v/>
      </c>
      <c r="P25" s="72">
        <f>MAX(C25:N25)</f>
        <v/>
      </c>
    </row>
    <row r="26">
      <c r="A26" s="95" t="inlineStr">
        <is>
          <t>L07</t>
        </is>
      </c>
      <c r="B26" s="101" t="inlineStr">
        <is>
          <t>Algeria</t>
        </is>
      </c>
      <c r="C26" s="91">
        <f>COUNTIFS(SB_Lane,$A26,SB_Date,"&gt;="&amp;DATE(2027,1,1),SB_Date,"&lt;"&amp;DATE(2027,2,1))</f>
        <v/>
      </c>
      <c r="D26" s="91">
        <f>COUNTIFS(SB_Lane,$A26,SB_Date,"&gt;="&amp;DATE(2027,2,1),SB_Date,"&lt;"&amp;DATE(2027,3,1))</f>
        <v/>
      </c>
      <c r="E26" s="91">
        <f>COUNTIFS(SB_Lane,$A26,SB_Date,"&gt;="&amp;DATE(2027,3,1),SB_Date,"&lt;"&amp;DATE(2027,4,1))</f>
        <v/>
      </c>
      <c r="F26" s="91">
        <f>COUNTIFS(SB_Lane,$A26,SB_Date,"&gt;="&amp;DATE(2027,4,1),SB_Date,"&lt;"&amp;DATE(2027,5,1))</f>
        <v/>
      </c>
      <c r="G26" s="91">
        <f>COUNTIFS(SB_Lane,$A26,SB_Date,"&gt;="&amp;DATE(2027,5,1),SB_Date,"&lt;"&amp;DATE(2027,6,1))</f>
        <v/>
      </c>
      <c r="H26" s="91">
        <f>COUNTIFS(SB_Lane,$A26,SB_Date,"&gt;="&amp;DATE(2027,6,1),SB_Date,"&lt;"&amp;DATE(2027,7,1))</f>
        <v/>
      </c>
      <c r="I26" s="91">
        <f>COUNTIFS(SB_Lane,$A26,SB_Date,"&gt;="&amp;DATE(2027,7,1),SB_Date,"&lt;"&amp;DATE(2027,8,1))</f>
        <v/>
      </c>
      <c r="J26" s="91">
        <f>COUNTIFS(SB_Lane,$A26,SB_Date,"&gt;="&amp;DATE(2027,8,1),SB_Date,"&lt;"&amp;DATE(2027,9,1))</f>
        <v/>
      </c>
      <c r="K26" s="91">
        <f>COUNTIFS(SB_Lane,$A26,SB_Date,"&gt;="&amp;DATE(2027,9,1),SB_Date,"&lt;"&amp;DATE(2027,10,1))</f>
        <v/>
      </c>
      <c r="L26" s="91">
        <f>COUNTIFS(SB_Lane,$A26,SB_Date,"&gt;="&amp;DATE(2027,10,1),SB_Date,"&lt;"&amp;DATE(2027,11,1))</f>
        <v/>
      </c>
      <c r="M26" s="91">
        <f>COUNTIFS(SB_Lane,$A26,SB_Date,"&gt;="&amp;DATE(2027,11,1),SB_Date,"&lt;"&amp;DATE(2027,12,1))</f>
        <v/>
      </c>
      <c r="N26" s="91">
        <f>COUNTIFS(SB_Lane,$A26,SB_Date,"&gt;="&amp;DATE(2027,12,1),SB_Date,"&lt;"&amp;DATE(2028,1,1))</f>
        <v/>
      </c>
      <c r="O26" s="72">
        <f>SUM(C26:N26)</f>
        <v/>
      </c>
      <c r="P26" s="72">
        <f>MAX(C26:N26)</f>
        <v/>
      </c>
    </row>
    <row r="27">
      <c r="A27" s="95" t="inlineStr">
        <is>
          <t>L08</t>
        </is>
      </c>
      <c r="B27" s="101" t="inlineStr">
        <is>
          <t>Egypt</t>
        </is>
      </c>
      <c r="C27" s="91">
        <f>COUNTIFS(SB_Lane,$A27,SB_Date,"&gt;="&amp;DATE(2027,1,1),SB_Date,"&lt;"&amp;DATE(2027,2,1))</f>
        <v/>
      </c>
      <c r="D27" s="91">
        <f>COUNTIFS(SB_Lane,$A27,SB_Date,"&gt;="&amp;DATE(2027,2,1),SB_Date,"&lt;"&amp;DATE(2027,3,1))</f>
        <v/>
      </c>
      <c r="E27" s="91">
        <f>COUNTIFS(SB_Lane,$A27,SB_Date,"&gt;="&amp;DATE(2027,3,1),SB_Date,"&lt;"&amp;DATE(2027,4,1))</f>
        <v/>
      </c>
      <c r="F27" s="91">
        <f>COUNTIFS(SB_Lane,$A27,SB_Date,"&gt;="&amp;DATE(2027,4,1),SB_Date,"&lt;"&amp;DATE(2027,5,1))</f>
        <v/>
      </c>
      <c r="G27" s="91">
        <f>COUNTIFS(SB_Lane,$A27,SB_Date,"&gt;="&amp;DATE(2027,5,1),SB_Date,"&lt;"&amp;DATE(2027,6,1))</f>
        <v/>
      </c>
      <c r="H27" s="91">
        <f>COUNTIFS(SB_Lane,$A27,SB_Date,"&gt;="&amp;DATE(2027,6,1),SB_Date,"&lt;"&amp;DATE(2027,7,1))</f>
        <v/>
      </c>
      <c r="I27" s="91">
        <f>COUNTIFS(SB_Lane,$A27,SB_Date,"&gt;="&amp;DATE(2027,7,1),SB_Date,"&lt;"&amp;DATE(2027,8,1))</f>
        <v/>
      </c>
      <c r="J27" s="91">
        <f>COUNTIFS(SB_Lane,$A27,SB_Date,"&gt;="&amp;DATE(2027,8,1),SB_Date,"&lt;"&amp;DATE(2027,9,1))</f>
        <v/>
      </c>
      <c r="K27" s="91">
        <f>COUNTIFS(SB_Lane,$A27,SB_Date,"&gt;="&amp;DATE(2027,9,1),SB_Date,"&lt;"&amp;DATE(2027,10,1))</f>
        <v/>
      </c>
      <c r="L27" s="91">
        <f>COUNTIFS(SB_Lane,$A27,SB_Date,"&gt;="&amp;DATE(2027,10,1),SB_Date,"&lt;"&amp;DATE(2027,11,1))</f>
        <v/>
      </c>
      <c r="M27" s="91">
        <f>COUNTIFS(SB_Lane,$A27,SB_Date,"&gt;="&amp;DATE(2027,11,1),SB_Date,"&lt;"&amp;DATE(2027,12,1))</f>
        <v/>
      </c>
      <c r="N27" s="91">
        <f>COUNTIFS(SB_Lane,$A27,SB_Date,"&gt;="&amp;DATE(2027,12,1),SB_Date,"&lt;"&amp;DATE(2028,1,1))</f>
        <v/>
      </c>
      <c r="O27" s="72">
        <f>SUM(C27:N27)</f>
        <v/>
      </c>
      <c r="P27" s="72">
        <f>MAX(C27:N27)</f>
        <v/>
      </c>
    </row>
    <row r="28">
      <c r="A28" s="95" t="inlineStr">
        <is>
          <t>L09</t>
        </is>
      </c>
      <c r="B28" s="101" t="inlineStr">
        <is>
          <t>Tunisia</t>
        </is>
      </c>
      <c r="C28" s="91">
        <f>COUNTIFS(SB_Lane,$A28,SB_Date,"&gt;="&amp;DATE(2027,1,1),SB_Date,"&lt;"&amp;DATE(2027,2,1))</f>
        <v/>
      </c>
      <c r="D28" s="91">
        <f>COUNTIFS(SB_Lane,$A28,SB_Date,"&gt;="&amp;DATE(2027,2,1),SB_Date,"&lt;"&amp;DATE(2027,3,1))</f>
        <v/>
      </c>
      <c r="E28" s="91">
        <f>COUNTIFS(SB_Lane,$A28,SB_Date,"&gt;="&amp;DATE(2027,3,1),SB_Date,"&lt;"&amp;DATE(2027,4,1))</f>
        <v/>
      </c>
      <c r="F28" s="91">
        <f>COUNTIFS(SB_Lane,$A28,SB_Date,"&gt;="&amp;DATE(2027,4,1),SB_Date,"&lt;"&amp;DATE(2027,5,1))</f>
        <v/>
      </c>
      <c r="G28" s="91">
        <f>COUNTIFS(SB_Lane,$A28,SB_Date,"&gt;="&amp;DATE(2027,5,1),SB_Date,"&lt;"&amp;DATE(2027,6,1))</f>
        <v/>
      </c>
      <c r="H28" s="91">
        <f>COUNTIFS(SB_Lane,$A28,SB_Date,"&gt;="&amp;DATE(2027,6,1),SB_Date,"&lt;"&amp;DATE(2027,7,1))</f>
        <v/>
      </c>
      <c r="I28" s="91">
        <f>COUNTIFS(SB_Lane,$A28,SB_Date,"&gt;="&amp;DATE(2027,7,1),SB_Date,"&lt;"&amp;DATE(2027,8,1))</f>
        <v/>
      </c>
      <c r="J28" s="91">
        <f>COUNTIFS(SB_Lane,$A28,SB_Date,"&gt;="&amp;DATE(2027,8,1),SB_Date,"&lt;"&amp;DATE(2027,9,1))</f>
        <v/>
      </c>
      <c r="K28" s="91">
        <f>COUNTIFS(SB_Lane,$A28,SB_Date,"&gt;="&amp;DATE(2027,9,1),SB_Date,"&lt;"&amp;DATE(2027,10,1))</f>
        <v/>
      </c>
      <c r="L28" s="91">
        <f>COUNTIFS(SB_Lane,$A28,SB_Date,"&gt;="&amp;DATE(2027,10,1),SB_Date,"&lt;"&amp;DATE(2027,11,1))</f>
        <v/>
      </c>
      <c r="M28" s="91">
        <f>COUNTIFS(SB_Lane,$A28,SB_Date,"&gt;="&amp;DATE(2027,11,1),SB_Date,"&lt;"&amp;DATE(2027,12,1))</f>
        <v/>
      </c>
      <c r="N28" s="91">
        <f>COUNTIFS(SB_Lane,$A28,SB_Date,"&gt;="&amp;DATE(2027,12,1),SB_Date,"&lt;"&amp;DATE(2028,1,1))</f>
        <v/>
      </c>
      <c r="O28" s="72">
        <f>SUM(C28:N28)</f>
        <v/>
      </c>
      <c r="P28" s="72">
        <f>MAX(C28:N28)</f>
        <v/>
      </c>
    </row>
    <row r="29">
      <c r="A29" s="96" t="inlineStr">
        <is>
          <t>Total</t>
        </is>
      </c>
      <c r="B29" s="118" t="inlineStr"/>
      <c r="C29" s="120">
        <f>SUM(C20:C28)</f>
        <v/>
      </c>
      <c r="D29" s="120">
        <f>SUM(D20:D28)</f>
        <v/>
      </c>
      <c r="E29" s="120">
        <f>SUM(E20:E28)</f>
        <v/>
      </c>
      <c r="F29" s="120">
        <f>SUM(F20:F28)</f>
        <v/>
      </c>
      <c r="G29" s="120">
        <f>SUM(G20:G28)</f>
        <v/>
      </c>
      <c r="H29" s="120">
        <f>SUM(H20:H28)</f>
        <v/>
      </c>
      <c r="I29" s="120">
        <f>SUM(I20:I28)</f>
        <v/>
      </c>
      <c r="J29" s="120">
        <f>SUM(J20:J28)</f>
        <v/>
      </c>
      <c r="K29" s="120">
        <f>SUM(K20:K28)</f>
        <v/>
      </c>
      <c r="L29" s="120">
        <f>SUM(L20:L28)</f>
        <v/>
      </c>
      <c r="M29" s="120">
        <f>SUM(M20:M28)</f>
        <v/>
      </c>
      <c r="N29" s="120">
        <f>SUM(N20:N28)</f>
        <v/>
      </c>
      <c r="O29" s="120">
        <f>SUM(O20:O28)</f>
        <v/>
      </c>
      <c r="P29" s="120">
        <f>MAX(C29:N29)</f>
        <v/>
      </c>
    </row>
    <row r="30">
      <c r="A30" s="96" t="inlineStr">
        <is>
          <t>Chargeable kg</t>
        </is>
      </c>
      <c r="B30" s="118" t="inlineStr"/>
      <c r="C30" s="120">
        <f>SUMIFS(SB_Chg,SB_Date,"&gt;="&amp;DATE(2027,1,1),SB_Date,"&lt;"&amp;DATE(2027,2,1))</f>
        <v/>
      </c>
      <c r="D30" s="120">
        <f>SUMIFS(SB_Chg,SB_Date,"&gt;="&amp;DATE(2027,2,1),SB_Date,"&lt;"&amp;DATE(2027,3,1))</f>
        <v/>
      </c>
      <c r="E30" s="120">
        <f>SUMIFS(SB_Chg,SB_Date,"&gt;="&amp;DATE(2027,3,1),SB_Date,"&lt;"&amp;DATE(2027,4,1))</f>
        <v/>
      </c>
      <c r="F30" s="120">
        <f>SUMIFS(SB_Chg,SB_Date,"&gt;="&amp;DATE(2027,4,1),SB_Date,"&lt;"&amp;DATE(2027,5,1))</f>
        <v/>
      </c>
      <c r="G30" s="120">
        <f>SUMIFS(SB_Chg,SB_Date,"&gt;="&amp;DATE(2027,5,1),SB_Date,"&lt;"&amp;DATE(2027,6,1))</f>
        <v/>
      </c>
      <c r="H30" s="120">
        <f>SUMIFS(SB_Chg,SB_Date,"&gt;="&amp;DATE(2027,6,1),SB_Date,"&lt;"&amp;DATE(2027,7,1))</f>
        <v/>
      </c>
      <c r="I30" s="120">
        <f>SUMIFS(SB_Chg,SB_Date,"&gt;="&amp;DATE(2027,7,1),SB_Date,"&lt;"&amp;DATE(2027,8,1))</f>
        <v/>
      </c>
      <c r="J30" s="120">
        <f>SUMIFS(SB_Chg,SB_Date,"&gt;="&amp;DATE(2027,8,1),SB_Date,"&lt;"&amp;DATE(2027,9,1))</f>
        <v/>
      </c>
      <c r="K30" s="120">
        <f>SUMIFS(SB_Chg,SB_Date,"&gt;="&amp;DATE(2027,9,1),SB_Date,"&lt;"&amp;DATE(2027,10,1))</f>
        <v/>
      </c>
      <c r="L30" s="120">
        <f>SUMIFS(SB_Chg,SB_Date,"&gt;="&amp;DATE(2027,10,1),SB_Date,"&lt;"&amp;DATE(2027,11,1))</f>
        <v/>
      </c>
      <c r="M30" s="120">
        <f>SUMIFS(SB_Chg,SB_Date,"&gt;="&amp;DATE(2027,11,1),SB_Date,"&lt;"&amp;DATE(2027,12,1))</f>
        <v/>
      </c>
      <c r="N30" s="120">
        <f>SUMIFS(SB_Chg,SB_Date,"&gt;="&amp;DATE(2027,12,1),SB_Date,"&lt;"&amp;DATE(2028,1,1))</f>
        <v/>
      </c>
      <c r="O30" s="120">
        <f>SUM(C30:N30)</f>
        <v/>
      </c>
      <c r="P30" s="120">
        <f>MAX(C30:N30)</f>
        <v/>
      </c>
    </row>
    <row r="31"/>
    <row r="32">
      <c r="A32" s="93" t="inlineStr">
        <is>
          <t>On-time check against target (needs transit days on the Rate Card)</t>
        </is>
      </c>
    </row>
    <row r="33" ht="44" customHeight="1">
      <c r="A33" s="10" t="inlineStr">
        <is>
          <t>Lane</t>
        </is>
      </c>
      <c r="B33" s="10" t="inlineStr">
        <is>
          <t>Destination</t>
        </is>
      </c>
      <c r="C33" s="10" t="inlineStr">
        <is>
          <t>Target</t>
        </is>
      </c>
      <c r="D33" s="10" t="inlineStr">
        <is>
          <t>Shipments A</t>
        </is>
      </c>
      <c r="E33" s="10" t="inlineStr">
        <is>
          <t>With expected date A</t>
        </is>
      </c>
      <c r="F33" s="10" t="inlineStr">
        <is>
          <t>Meets target A</t>
        </is>
      </c>
      <c r="G33" s="10" t="inlineStr">
        <is>
          <t>On target % A</t>
        </is>
      </c>
      <c r="H33" s="10" t="inlineStr">
        <is>
          <t>Avg days late A</t>
        </is>
      </c>
      <c r="I33" s="10" t="inlineStr">
        <is>
          <t>Shipments B</t>
        </is>
      </c>
      <c r="J33" s="10" t="inlineStr">
        <is>
          <t>With expected date B</t>
        </is>
      </c>
      <c r="K33" s="10" t="inlineStr">
        <is>
          <t>Meets target B</t>
        </is>
      </c>
      <c r="L33" s="10" t="inlineStr">
        <is>
          <t>On target % B</t>
        </is>
      </c>
      <c r="M33" s="10" t="inlineStr">
        <is>
          <t>Avg days late B</t>
        </is>
      </c>
    </row>
    <row r="34">
      <c r="A34" s="95" t="inlineStr">
        <is>
          <t>L01</t>
        </is>
      </c>
      <c r="B34" s="101" t="inlineStr">
        <is>
          <t>Saudi Arabia</t>
        </is>
      </c>
      <c r="C34" s="101">
        <f>'Timeline Rules'!F6</f>
        <v/>
      </c>
      <c r="D34" s="74">
        <f>COUNTIF(SA_Lane,$A34)</f>
        <v/>
      </c>
      <c r="E34" s="74">
        <f>COUNTIFS(SA_Lane,$A34,SA_Meet,"?*")</f>
        <v/>
      </c>
      <c r="F34" s="74">
        <f>COUNTIFS(SA_Lane,$A34,SA_Meet,"Yes")</f>
        <v/>
      </c>
      <c r="G34" s="75">
        <f>IFERROR(F34/E34,"")</f>
        <v/>
      </c>
      <c r="H34" s="65">
        <f>IFERROR(SUMIFS(SA_Late,SA_Lane,$A34)/E34,"")</f>
        <v/>
      </c>
      <c r="I34" s="74">
        <f>COUNTIF(SB_Lane,$A34)</f>
        <v/>
      </c>
      <c r="J34" s="74">
        <f>COUNTIFS(SB_Lane,$A34,SB_Meet,"?*")</f>
        <v/>
      </c>
      <c r="K34" s="74">
        <f>COUNTIFS(SB_Lane,$A34,SB_Meet,"Yes")</f>
        <v/>
      </c>
      <c r="L34" s="75">
        <f>IFERROR(K34/J34,"")</f>
        <v/>
      </c>
      <c r="M34" s="65">
        <f>IFERROR(SUMIFS(SB_Late,SB_Lane,$A34)/J34,"")</f>
        <v/>
      </c>
    </row>
    <row r="35">
      <c r="A35" s="95" t="inlineStr">
        <is>
          <t>L02</t>
        </is>
      </c>
      <c r="B35" s="101" t="inlineStr">
        <is>
          <t>United Arab Emirates</t>
        </is>
      </c>
      <c r="C35" s="101">
        <f>'Timeline Rules'!F7</f>
        <v/>
      </c>
      <c r="D35" s="74">
        <f>COUNTIF(SA_Lane,$A35)</f>
        <v/>
      </c>
      <c r="E35" s="74">
        <f>COUNTIFS(SA_Lane,$A35,SA_Meet,"?*")</f>
        <v/>
      </c>
      <c r="F35" s="74">
        <f>COUNTIFS(SA_Lane,$A35,SA_Meet,"Yes")</f>
        <v/>
      </c>
      <c r="G35" s="75">
        <f>IFERROR(F35/E35,"")</f>
        <v/>
      </c>
      <c r="H35" s="65">
        <f>IFERROR(SUMIFS(SA_Late,SA_Lane,$A35)/E35,"")</f>
        <v/>
      </c>
      <c r="I35" s="74">
        <f>COUNTIF(SB_Lane,$A35)</f>
        <v/>
      </c>
      <c r="J35" s="74">
        <f>COUNTIFS(SB_Lane,$A35,SB_Meet,"?*")</f>
        <v/>
      </c>
      <c r="K35" s="74">
        <f>COUNTIFS(SB_Lane,$A35,SB_Meet,"Yes")</f>
        <v/>
      </c>
      <c r="L35" s="75">
        <f>IFERROR(K35/J35,"")</f>
        <v/>
      </c>
      <c r="M35" s="65">
        <f>IFERROR(SUMIFS(SB_Late,SB_Lane,$A35)/J35,"")</f>
        <v/>
      </c>
    </row>
    <row r="36">
      <c r="A36" s="95" t="inlineStr">
        <is>
          <t>L03</t>
        </is>
      </c>
      <c r="B36" s="101" t="inlineStr">
        <is>
          <t>Kuwait</t>
        </is>
      </c>
      <c r="C36" s="101">
        <f>'Timeline Rules'!F8</f>
        <v/>
      </c>
      <c r="D36" s="74">
        <f>COUNTIF(SA_Lane,$A36)</f>
        <v/>
      </c>
      <c r="E36" s="74">
        <f>COUNTIFS(SA_Lane,$A36,SA_Meet,"?*")</f>
        <v/>
      </c>
      <c r="F36" s="74">
        <f>COUNTIFS(SA_Lane,$A36,SA_Meet,"Yes")</f>
        <v/>
      </c>
      <c r="G36" s="75">
        <f>IFERROR(F36/E36,"")</f>
        <v/>
      </c>
      <c r="H36" s="65">
        <f>IFERROR(SUMIFS(SA_Late,SA_Lane,$A36)/E36,"")</f>
        <v/>
      </c>
      <c r="I36" s="74">
        <f>COUNTIF(SB_Lane,$A36)</f>
        <v/>
      </c>
      <c r="J36" s="74">
        <f>COUNTIFS(SB_Lane,$A36,SB_Meet,"?*")</f>
        <v/>
      </c>
      <c r="K36" s="74">
        <f>COUNTIFS(SB_Lane,$A36,SB_Meet,"Yes")</f>
        <v/>
      </c>
      <c r="L36" s="75">
        <f>IFERROR(K36/J36,"")</f>
        <v/>
      </c>
      <c r="M36" s="65">
        <f>IFERROR(SUMIFS(SB_Late,SB_Lane,$A36)/J36,"")</f>
        <v/>
      </c>
    </row>
    <row r="37">
      <c r="A37" s="95" t="inlineStr">
        <is>
          <t>L04</t>
        </is>
      </c>
      <c r="B37" s="101" t="inlineStr">
        <is>
          <t>Qatar</t>
        </is>
      </c>
      <c r="C37" s="101">
        <f>'Timeline Rules'!F9</f>
        <v/>
      </c>
      <c r="D37" s="74">
        <f>COUNTIF(SA_Lane,$A37)</f>
        <v/>
      </c>
      <c r="E37" s="74">
        <f>COUNTIFS(SA_Lane,$A37,SA_Meet,"?*")</f>
        <v/>
      </c>
      <c r="F37" s="74">
        <f>COUNTIFS(SA_Lane,$A37,SA_Meet,"Yes")</f>
        <v/>
      </c>
      <c r="G37" s="75">
        <f>IFERROR(F37/E37,"")</f>
        <v/>
      </c>
      <c r="H37" s="65">
        <f>IFERROR(SUMIFS(SA_Late,SA_Lane,$A37)/E37,"")</f>
        <v/>
      </c>
      <c r="I37" s="74">
        <f>COUNTIF(SB_Lane,$A37)</f>
        <v/>
      </c>
      <c r="J37" s="74">
        <f>COUNTIFS(SB_Lane,$A37,SB_Meet,"?*")</f>
        <v/>
      </c>
      <c r="K37" s="74">
        <f>COUNTIFS(SB_Lane,$A37,SB_Meet,"Yes")</f>
        <v/>
      </c>
      <c r="L37" s="75">
        <f>IFERROR(K37/J37,"")</f>
        <v/>
      </c>
      <c r="M37" s="65">
        <f>IFERROR(SUMIFS(SB_Late,SB_Lane,$A37)/J37,"")</f>
        <v/>
      </c>
    </row>
    <row r="38">
      <c r="A38" s="95" t="inlineStr">
        <is>
          <t>L05</t>
        </is>
      </c>
      <c r="B38" s="101" t="inlineStr">
        <is>
          <t>Türkiye</t>
        </is>
      </c>
      <c r="C38" s="101">
        <f>'Timeline Rules'!F10</f>
        <v/>
      </c>
      <c r="D38" s="74">
        <f>COUNTIF(SA_Lane,$A38)</f>
        <v/>
      </c>
      <c r="E38" s="74">
        <f>COUNTIFS(SA_Lane,$A38,SA_Meet,"?*")</f>
        <v/>
      </c>
      <c r="F38" s="74">
        <f>COUNTIFS(SA_Lane,$A38,SA_Meet,"Yes")</f>
        <v/>
      </c>
      <c r="G38" s="75">
        <f>IFERROR(F38/E38,"")</f>
        <v/>
      </c>
      <c r="H38" s="65">
        <f>IFERROR(SUMIFS(SA_Late,SA_Lane,$A38)/E38,"")</f>
        <v/>
      </c>
      <c r="I38" s="74">
        <f>COUNTIF(SB_Lane,$A38)</f>
        <v/>
      </c>
      <c r="J38" s="74">
        <f>COUNTIFS(SB_Lane,$A38,SB_Meet,"?*")</f>
        <v/>
      </c>
      <c r="K38" s="74">
        <f>COUNTIFS(SB_Lane,$A38,SB_Meet,"Yes")</f>
        <v/>
      </c>
      <c r="L38" s="75">
        <f>IFERROR(K38/J38,"")</f>
        <v/>
      </c>
      <c r="M38" s="65">
        <f>IFERROR(SUMIFS(SB_Late,SB_Lane,$A38)/J38,"")</f>
        <v/>
      </c>
    </row>
    <row r="39">
      <c r="A39" s="95" t="inlineStr">
        <is>
          <t>L06</t>
        </is>
      </c>
      <c r="B39" s="101" t="inlineStr">
        <is>
          <t>Morocco</t>
        </is>
      </c>
      <c r="C39" s="101">
        <f>'Timeline Rules'!F11</f>
        <v/>
      </c>
      <c r="D39" s="74">
        <f>COUNTIF(SA_Lane,$A39)</f>
        <v/>
      </c>
      <c r="E39" s="74">
        <f>COUNTIFS(SA_Lane,$A39,SA_Meet,"?*")</f>
        <v/>
      </c>
      <c r="F39" s="74">
        <f>COUNTIFS(SA_Lane,$A39,SA_Meet,"Yes")</f>
        <v/>
      </c>
      <c r="G39" s="75">
        <f>IFERROR(F39/E39,"")</f>
        <v/>
      </c>
      <c r="H39" s="65">
        <f>IFERROR(SUMIFS(SA_Late,SA_Lane,$A39)/E39,"")</f>
        <v/>
      </c>
      <c r="I39" s="74">
        <f>COUNTIF(SB_Lane,$A39)</f>
        <v/>
      </c>
      <c r="J39" s="74">
        <f>COUNTIFS(SB_Lane,$A39,SB_Meet,"?*")</f>
        <v/>
      </c>
      <c r="K39" s="74">
        <f>COUNTIFS(SB_Lane,$A39,SB_Meet,"Yes")</f>
        <v/>
      </c>
      <c r="L39" s="75">
        <f>IFERROR(K39/J39,"")</f>
        <v/>
      </c>
      <c r="M39" s="65">
        <f>IFERROR(SUMIFS(SB_Late,SB_Lane,$A39)/J39,"")</f>
        <v/>
      </c>
    </row>
    <row r="40">
      <c r="A40" s="95" t="inlineStr">
        <is>
          <t>L07</t>
        </is>
      </c>
      <c r="B40" s="101" t="inlineStr">
        <is>
          <t>Algeria</t>
        </is>
      </c>
      <c r="C40" s="101">
        <f>'Timeline Rules'!F12</f>
        <v/>
      </c>
      <c r="D40" s="74">
        <f>COUNTIF(SA_Lane,$A40)</f>
        <v/>
      </c>
      <c r="E40" s="74">
        <f>COUNTIFS(SA_Lane,$A40,SA_Meet,"?*")</f>
        <v/>
      </c>
      <c r="F40" s="74">
        <f>COUNTIFS(SA_Lane,$A40,SA_Meet,"Yes")</f>
        <v/>
      </c>
      <c r="G40" s="75">
        <f>IFERROR(F40/E40,"")</f>
        <v/>
      </c>
      <c r="H40" s="65">
        <f>IFERROR(SUMIFS(SA_Late,SA_Lane,$A40)/E40,"")</f>
        <v/>
      </c>
      <c r="I40" s="74">
        <f>COUNTIF(SB_Lane,$A40)</f>
        <v/>
      </c>
      <c r="J40" s="74">
        <f>COUNTIFS(SB_Lane,$A40,SB_Meet,"?*")</f>
        <v/>
      </c>
      <c r="K40" s="74">
        <f>COUNTIFS(SB_Lane,$A40,SB_Meet,"Yes")</f>
        <v/>
      </c>
      <c r="L40" s="75">
        <f>IFERROR(K40/J40,"")</f>
        <v/>
      </c>
      <c r="M40" s="65">
        <f>IFERROR(SUMIFS(SB_Late,SB_Lane,$A40)/J40,"")</f>
        <v/>
      </c>
    </row>
    <row r="41">
      <c r="A41" s="95" t="inlineStr">
        <is>
          <t>L08</t>
        </is>
      </c>
      <c r="B41" s="101" t="inlineStr">
        <is>
          <t>Egypt</t>
        </is>
      </c>
      <c r="C41" s="101">
        <f>'Timeline Rules'!F13</f>
        <v/>
      </c>
      <c r="D41" s="74">
        <f>COUNTIF(SA_Lane,$A41)</f>
        <v/>
      </c>
      <c r="E41" s="74">
        <f>COUNTIFS(SA_Lane,$A41,SA_Meet,"?*")</f>
        <v/>
      </c>
      <c r="F41" s="74">
        <f>COUNTIFS(SA_Lane,$A41,SA_Meet,"Yes")</f>
        <v/>
      </c>
      <c r="G41" s="75">
        <f>IFERROR(F41/E41,"")</f>
        <v/>
      </c>
      <c r="H41" s="65">
        <f>IFERROR(SUMIFS(SA_Late,SA_Lane,$A41)/E41,"")</f>
        <v/>
      </c>
      <c r="I41" s="74">
        <f>COUNTIF(SB_Lane,$A41)</f>
        <v/>
      </c>
      <c r="J41" s="74">
        <f>COUNTIFS(SB_Lane,$A41,SB_Meet,"?*")</f>
        <v/>
      </c>
      <c r="K41" s="74">
        <f>COUNTIFS(SB_Lane,$A41,SB_Meet,"Yes")</f>
        <v/>
      </c>
      <c r="L41" s="75">
        <f>IFERROR(K41/J41,"")</f>
        <v/>
      </c>
      <c r="M41" s="65">
        <f>IFERROR(SUMIFS(SB_Late,SB_Lane,$A41)/J41,"")</f>
        <v/>
      </c>
    </row>
    <row r="42">
      <c r="A42" s="95" t="inlineStr">
        <is>
          <t>L09</t>
        </is>
      </c>
      <c r="B42" s="101" t="inlineStr">
        <is>
          <t>Tunisia</t>
        </is>
      </c>
      <c r="C42" s="101">
        <f>'Timeline Rules'!F14</f>
        <v/>
      </c>
      <c r="D42" s="74">
        <f>COUNTIF(SA_Lane,$A42)</f>
        <v/>
      </c>
      <c r="E42" s="74">
        <f>COUNTIFS(SA_Lane,$A42,SA_Meet,"?*")</f>
        <v/>
      </c>
      <c r="F42" s="74">
        <f>COUNTIFS(SA_Lane,$A42,SA_Meet,"Yes")</f>
        <v/>
      </c>
      <c r="G42" s="75">
        <f>IFERROR(F42/E42,"")</f>
        <v/>
      </c>
      <c r="H42" s="65">
        <f>IFERROR(SUMIFS(SA_Late,SA_Lane,$A42)/E42,"")</f>
        <v/>
      </c>
      <c r="I42" s="74">
        <f>COUNTIF(SB_Lane,$A42)</f>
        <v/>
      </c>
      <c r="J42" s="74">
        <f>COUNTIFS(SB_Lane,$A42,SB_Meet,"?*")</f>
        <v/>
      </c>
      <c r="K42" s="74">
        <f>COUNTIFS(SB_Lane,$A42,SB_Meet,"Yes")</f>
        <v/>
      </c>
      <c r="L42" s="75">
        <f>IFERROR(K42/J42,"")</f>
        <v/>
      </c>
      <c r="M42" s="65">
        <f>IFERROR(SUMIFS(SB_Late,SB_Lane,$A42)/J42,"")</f>
        <v/>
      </c>
    </row>
    <row r="43">
      <c r="A43" s="96" t="inlineStr">
        <is>
          <t>Total</t>
        </is>
      </c>
      <c r="B43" s="118" t="inlineStr"/>
      <c r="C43" s="118" t="inlineStr"/>
      <c r="D43" s="120">
        <f>SUM(D34:D42)</f>
        <v/>
      </c>
      <c r="E43" s="120">
        <f>SUM(E34:E42)</f>
        <v/>
      </c>
      <c r="F43" s="120">
        <f>SUM(F34:F42)</f>
        <v/>
      </c>
      <c r="G43" s="76">
        <f>IFERROR(F43/E43,"")</f>
        <v/>
      </c>
      <c r="H43" s="77">
        <f>IFERROR(SUMPRODUCT(H34:H42,E34:E42)/E43,"")</f>
        <v/>
      </c>
      <c r="I43" s="120">
        <f>SUM(I34:I42)</f>
        <v/>
      </c>
      <c r="J43" s="120">
        <f>SUM(J34:J42)</f>
        <v/>
      </c>
      <c r="K43" s="120">
        <f>SUM(K34:K42)</f>
        <v/>
      </c>
      <c r="L43" s="76">
        <f>IFERROR(K43/J43,"")</f>
        <v/>
      </c>
      <c r="M43" s="77">
        <f>IFERROR(SUMPRODUCT(M34:M42,J34:J42)/J43,"")</f>
        <v/>
      </c>
    </row>
    <row r="44"/>
    <row r="45"/>
    <row r="46"/>
    <row r="47">
      <c r="A47" s="93" t="inlineStr">
        <is>
          <t>Shipments per week (all lanes)</t>
        </is>
      </c>
    </row>
    <row r="48" ht="30" customHeight="1">
      <c r="A48" s="10" t="inlineStr">
        <is>
          <t>Week starting (Mon)</t>
        </is>
      </c>
      <c r="B48" s="10" t="inlineStr">
        <is>
          <t>Shipments A</t>
        </is>
      </c>
      <c r="C48" s="10" t="inlineStr">
        <is>
          <t>Chargeable kg A</t>
        </is>
      </c>
      <c r="D48" s="10" t="inlineStr">
        <is>
          <t>Shipments B</t>
        </is>
      </c>
      <c r="E48" s="10" t="inlineStr">
        <is>
          <t>Chargeable kg B</t>
        </is>
      </c>
    </row>
    <row r="49">
      <c r="A49" s="92" t="n">
        <v>46384</v>
      </c>
      <c r="B49" s="74">
        <f>COUNTIF(SA_Week,A49)</f>
        <v/>
      </c>
      <c r="C49" s="122">
        <f>SUMIFS(SA_Chg,SA_Week,A49)</f>
        <v/>
      </c>
      <c r="D49" s="74">
        <f>COUNTIF(SB_Week,A49)</f>
        <v/>
      </c>
      <c r="E49" s="122">
        <f>SUMIFS(SB_Chg,SB_Week,A49)</f>
        <v/>
      </c>
    </row>
    <row r="50">
      <c r="A50" s="92" t="n">
        <v>46391</v>
      </c>
      <c r="B50" s="74">
        <f>COUNTIF(SA_Week,A50)</f>
        <v/>
      </c>
      <c r="C50" s="122">
        <f>SUMIFS(SA_Chg,SA_Week,A50)</f>
        <v/>
      </c>
      <c r="D50" s="74">
        <f>COUNTIF(SB_Week,A50)</f>
        <v/>
      </c>
      <c r="E50" s="122">
        <f>SUMIFS(SB_Chg,SB_Week,A50)</f>
        <v/>
      </c>
    </row>
    <row r="51">
      <c r="A51" s="92" t="n">
        <v>46398</v>
      </c>
      <c r="B51" s="74">
        <f>COUNTIF(SA_Week,A51)</f>
        <v/>
      </c>
      <c r="C51" s="122">
        <f>SUMIFS(SA_Chg,SA_Week,A51)</f>
        <v/>
      </c>
      <c r="D51" s="74">
        <f>COUNTIF(SB_Week,A51)</f>
        <v/>
      </c>
      <c r="E51" s="122">
        <f>SUMIFS(SB_Chg,SB_Week,A51)</f>
        <v/>
      </c>
    </row>
    <row r="52">
      <c r="A52" s="92" t="n">
        <v>46405</v>
      </c>
      <c r="B52" s="74">
        <f>COUNTIF(SA_Week,A52)</f>
        <v/>
      </c>
      <c r="C52" s="122">
        <f>SUMIFS(SA_Chg,SA_Week,A52)</f>
        <v/>
      </c>
      <c r="D52" s="74">
        <f>COUNTIF(SB_Week,A52)</f>
        <v/>
      </c>
      <c r="E52" s="122">
        <f>SUMIFS(SB_Chg,SB_Week,A52)</f>
        <v/>
      </c>
    </row>
    <row r="53">
      <c r="A53" s="92" t="n">
        <v>46412</v>
      </c>
      <c r="B53" s="74">
        <f>COUNTIF(SA_Week,A53)</f>
        <v/>
      </c>
      <c r="C53" s="122">
        <f>SUMIFS(SA_Chg,SA_Week,A53)</f>
        <v/>
      </c>
      <c r="D53" s="74">
        <f>COUNTIF(SB_Week,A53)</f>
        <v/>
      </c>
      <c r="E53" s="122">
        <f>SUMIFS(SB_Chg,SB_Week,A53)</f>
        <v/>
      </c>
    </row>
    <row r="54">
      <c r="A54" s="92" t="n">
        <v>46419</v>
      </c>
      <c r="B54" s="74">
        <f>COUNTIF(SA_Week,A54)</f>
        <v/>
      </c>
      <c r="C54" s="122">
        <f>SUMIFS(SA_Chg,SA_Week,A54)</f>
        <v/>
      </c>
      <c r="D54" s="74">
        <f>COUNTIF(SB_Week,A54)</f>
        <v/>
      </c>
      <c r="E54" s="122">
        <f>SUMIFS(SB_Chg,SB_Week,A54)</f>
        <v/>
      </c>
    </row>
    <row r="55">
      <c r="A55" s="92" t="n">
        <v>46426</v>
      </c>
      <c r="B55" s="74">
        <f>COUNTIF(SA_Week,A55)</f>
        <v/>
      </c>
      <c r="C55" s="122">
        <f>SUMIFS(SA_Chg,SA_Week,A55)</f>
        <v/>
      </c>
      <c r="D55" s="74">
        <f>COUNTIF(SB_Week,A55)</f>
        <v/>
      </c>
      <c r="E55" s="122">
        <f>SUMIFS(SB_Chg,SB_Week,A55)</f>
        <v/>
      </c>
    </row>
    <row r="56">
      <c r="A56" s="92" t="n">
        <v>46433</v>
      </c>
      <c r="B56" s="74">
        <f>COUNTIF(SA_Week,A56)</f>
        <v/>
      </c>
      <c r="C56" s="122">
        <f>SUMIFS(SA_Chg,SA_Week,A56)</f>
        <v/>
      </c>
      <c r="D56" s="74">
        <f>COUNTIF(SB_Week,A56)</f>
        <v/>
      </c>
      <c r="E56" s="122">
        <f>SUMIFS(SB_Chg,SB_Week,A56)</f>
        <v/>
      </c>
    </row>
    <row r="57">
      <c r="A57" s="92" t="n">
        <v>46440</v>
      </c>
      <c r="B57" s="74">
        <f>COUNTIF(SA_Week,A57)</f>
        <v/>
      </c>
      <c r="C57" s="122">
        <f>SUMIFS(SA_Chg,SA_Week,A57)</f>
        <v/>
      </c>
      <c r="D57" s="74">
        <f>COUNTIF(SB_Week,A57)</f>
        <v/>
      </c>
      <c r="E57" s="122">
        <f>SUMIFS(SB_Chg,SB_Week,A57)</f>
        <v/>
      </c>
    </row>
    <row r="58">
      <c r="A58" s="92" t="n">
        <v>46447</v>
      </c>
      <c r="B58" s="74">
        <f>COUNTIF(SA_Week,A58)</f>
        <v/>
      </c>
      <c r="C58" s="122">
        <f>SUMIFS(SA_Chg,SA_Week,A58)</f>
        <v/>
      </c>
      <c r="D58" s="74">
        <f>COUNTIF(SB_Week,A58)</f>
        <v/>
      </c>
      <c r="E58" s="122">
        <f>SUMIFS(SB_Chg,SB_Week,A58)</f>
        <v/>
      </c>
    </row>
    <row r="59">
      <c r="A59" s="92" t="n">
        <v>46454</v>
      </c>
      <c r="B59" s="74">
        <f>COUNTIF(SA_Week,A59)</f>
        <v/>
      </c>
      <c r="C59" s="122">
        <f>SUMIFS(SA_Chg,SA_Week,A59)</f>
        <v/>
      </c>
      <c r="D59" s="74">
        <f>COUNTIF(SB_Week,A59)</f>
        <v/>
      </c>
      <c r="E59" s="122">
        <f>SUMIFS(SB_Chg,SB_Week,A59)</f>
        <v/>
      </c>
    </row>
    <row r="60">
      <c r="A60" s="92" t="n">
        <v>46461</v>
      </c>
      <c r="B60" s="74">
        <f>COUNTIF(SA_Week,A60)</f>
        <v/>
      </c>
      <c r="C60" s="122">
        <f>SUMIFS(SA_Chg,SA_Week,A60)</f>
        <v/>
      </c>
      <c r="D60" s="74">
        <f>COUNTIF(SB_Week,A60)</f>
        <v/>
      </c>
      <c r="E60" s="122">
        <f>SUMIFS(SB_Chg,SB_Week,A60)</f>
        <v/>
      </c>
    </row>
    <row r="61">
      <c r="A61" s="92" t="n">
        <v>46468</v>
      </c>
      <c r="B61" s="74">
        <f>COUNTIF(SA_Week,A61)</f>
        <v/>
      </c>
      <c r="C61" s="122">
        <f>SUMIFS(SA_Chg,SA_Week,A61)</f>
        <v/>
      </c>
      <c r="D61" s="74">
        <f>COUNTIF(SB_Week,A61)</f>
        <v/>
      </c>
      <c r="E61" s="122">
        <f>SUMIFS(SB_Chg,SB_Week,A61)</f>
        <v/>
      </c>
    </row>
    <row r="62">
      <c r="A62" s="92" t="n">
        <v>46475</v>
      </c>
      <c r="B62" s="74">
        <f>COUNTIF(SA_Week,A62)</f>
        <v/>
      </c>
      <c r="C62" s="122">
        <f>SUMIFS(SA_Chg,SA_Week,A62)</f>
        <v/>
      </c>
      <c r="D62" s="74">
        <f>COUNTIF(SB_Week,A62)</f>
        <v/>
      </c>
      <c r="E62" s="122">
        <f>SUMIFS(SB_Chg,SB_Week,A62)</f>
        <v/>
      </c>
    </row>
    <row r="63">
      <c r="A63" s="92" t="n">
        <v>46482</v>
      </c>
      <c r="B63" s="74">
        <f>COUNTIF(SA_Week,A63)</f>
        <v/>
      </c>
      <c r="C63" s="122">
        <f>SUMIFS(SA_Chg,SA_Week,A63)</f>
        <v/>
      </c>
      <c r="D63" s="74">
        <f>COUNTIF(SB_Week,A63)</f>
        <v/>
      </c>
      <c r="E63" s="122">
        <f>SUMIFS(SB_Chg,SB_Week,A63)</f>
        <v/>
      </c>
    </row>
    <row r="64">
      <c r="A64" s="92" t="n">
        <v>46489</v>
      </c>
      <c r="B64" s="74">
        <f>COUNTIF(SA_Week,A64)</f>
        <v/>
      </c>
      <c r="C64" s="122">
        <f>SUMIFS(SA_Chg,SA_Week,A64)</f>
        <v/>
      </c>
      <c r="D64" s="74">
        <f>COUNTIF(SB_Week,A64)</f>
        <v/>
      </c>
      <c r="E64" s="122">
        <f>SUMIFS(SB_Chg,SB_Week,A64)</f>
        <v/>
      </c>
    </row>
    <row r="65">
      <c r="A65" s="92" t="n">
        <v>46496</v>
      </c>
      <c r="B65" s="74">
        <f>COUNTIF(SA_Week,A65)</f>
        <v/>
      </c>
      <c r="C65" s="122">
        <f>SUMIFS(SA_Chg,SA_Week,A65)</f>
        <v/>
      </c>
      <c r="D65" s="74">
        <f>COUNTIF(SB_Week,A65)</f>
        <v/>
      </c>
      <c r="E65" s="122">
        <f>SUMIFS(SB_Chg,SB_Week,A65)</f>
        <v/>
      </c>
    </row>
    <row r="66">
      <c r="A66" s="92" t="n">
        <v>46503</v>
      </c>
      <c r="B66" s="74">
        <f>COUNTIF(SA_Week,A66)</f>
        <v/>
      </c>
      <c r="C66" s="122">
        <f>SUMIFS(SA_Chg,SA_Week,A66)</f>
        <v/>
      </c>
      <c r="D66" s="74">
        <f>COUNTIF(SB_Week,A66)</f>
        <v/>
      </c>
      <c r="E66" s="122">
        <f>SUMIFS(SB_Chg,SB_Week,A66)</f>
        <v/>
      </c>
    </row>
    <row r="67">
      <c r="A67" s="92" t="n">
        <v>46510</v>
      </c>
      <c r="B67" s="74">
        <f>COUNTIF(SA_Week,A67)</f>
        <v/>
      </c>
      <c r="C67" s="122">
        <f>SUMIFS(SA_Chg,SA_Week,A67)</f>
        <v/>
      </c>
      <c r="D67" s="74">
        <f>COUNTIF(SB_Week,A67)</f>
        <v/>
      </c>
      <c r="E67" s="122">
        <f>SUMIFS(SB_Chg,SB_Week,A67)</f>
        <v/>
      </c>
    </row>
    <row r="68">
      <c r="A68" s="92" t="n">
        <v>46517</v>
      </c>
      <c r="B68" s="74">
        <f>COUNTIF(SA_Week,A68)</f>
        <v/>
      </c>
      <c r="C68" s="122">
        <f>SUMIFS(SA_Chg,SA_Week,A68)</f>
        <v/>
      </c>
      <c r="D68" s="74">
        <f>COUNTIF(SB_Week,A68)</f>
        <v/>
      </c>
      <c r="E68" s="122">
        <f>SUMIFS(SB_Chg,SB_Week,A68)</f>
        <v/>
      </c>
    </row>
    <row r="69">
      <c r="A69" s="92" t="n">
        <v>46524</v>
      </c>
      <c r="B69" s="74">
        <f>COUNTIF(SA_Week,A69)</f>
        <v/>
      </c>
      <c r="C69" s="122">
        <f>SUMIFS(SA_Chg,SA_Week,A69)</f>
        <v/>
      </c>
      <c r="D69" s="74">
        <f>COUNTIF(SB_Week,A69)</f>
        <v/>
      </c>
      <c r="E69" s="122">
        <f>SUMIFS(SB_Chg,SB_Week,A69)</f>
        <v/>
      </c>
    </row>
    <row r="70">
      <c r="A70" s="92" t="n">
        <v>46531</v>
      </c>
      <c r="B70" s="74">
        <f>COUNTIF(SA_Week,A70)</f>
        <v/>
      </c>
      <c r="C70" s="122">
        <f>SUMIFS(SA_Chg,SA_Week,A70)</f>
        <v/>
      </c>
      <c r="D70" s="74">
        <f>COUNTIF(SB_Week,A70)</f>
        <v/>
      </c>
      <c r="E70" s="122">
        <f>SUMIFS(SB_Chg,SB_Week,A70)</f>
        <v/>
      </c>
    </row>
    <row r="71">
      <c r="A71" s="92" t="n">
        <v>46538</v>
      </c>
      <c r="B71" s="74">
        <f>COUNTIF(SA_Week,A71)</f>
        <v/>
      </c>
      <c r="C71" s="122">
        <f>SUMIFS(SA_Chg,SA_Week,A71)</f>
        <v/>
      </c>
      <c r="D71" s="74">
        <f>COUNTIF(SB_Week,A71)</f>
        <v/>
      </c>
      <c r="E71" s="122">
        <f>SUMIFS(SB_Chg,SB_Week,A71)</f>
        <v/>
      </c>
    </row>
    <row r="72">
      <c r="A72" s="92" t="n">
        <v>46545</v>
      </c>
      <c r="B72" s="74">
        <f>COUNTIF(SA_Week,A72)</f>
        <v/>
      </c>
      <c r="C72" s="122">
        <f>SUMIFS(SA_Chg,SA_Week,A72)</f>
        <v/>
      </c>
      <c r="D72" s="74">
        <f>COUNTIF(SB_Week,A72)</f>
        <v/>
      </c>
      <c r="E72" s="122">
        <f>SUMIFS(SB_Chg,SB_Week,A72)</f>
        <v/>
      </c>
    </row>
    <row r="73">
      <c r="A73" s="92" t="n">
        <v>46552</v>
      </c>
      <c r="B73" s="74">
        <f>COUNTIF(SA_Week,A73)</f>
        <v/>
      </c>
      <c r="C73" s="122">
        <f>SUMIFS(SA_Chg,SA_Week,A73)</f>
        <v/>
      </c>
      <c r="D73" s="74">
        <f>COUNTIF(SB_Week,A73)</f>
        <v/>
      </c>
      <c r="E73" s="122">
        <f>SUMIFS(SB_Chg,SB_Week,A73)</f>
        <v/>
      </c>
    </row>
    <row r="74">
      <c r="A74" s="92" t="n">
        <v>46559</v>
      </c>
      <c r="B74" s="74">
        <f>COUNTIF(SA_Week,A74)</f>
        <v/>
      </c>
      <c r="C74" s="122">
        <f>SUMIFS(SA_Chg,SA_Week,A74)</f>
        <v/>
      </c>
      <c r="D74" s="74">
        <f>COUNTIF(SB_Week,A74)</f>
        <v/>
      </c>
      <c r="E74" s="122">
        <f>SUMIFS(SB_Chg,SB_Week,A74)</f>
        <v/>
      </c>
    </row>
    <row r="75">
      <c r="A75" s="92" t="n">
        <v>46566</v>
      </c>
      <c r="B75" s="74">
        <f>COUNTIF(SA_Week,A75)</f>
        <v/>
      </c>
      <c r="C75" s="122">
        <f>SUMIFS(SA_Chg,SA_Week,A75)</f>
        <v/>
      </c>
      <c r="D75" s="74">
        <f>COUNTIF(SB_Week,A75)</f>
        <v/>
      </c>
      <c r="E75" s="122">
        <f>SUMIFS(SB_Chg,SB_Week,A75)</f>
        <v/>
      </c>
    </row>
    <row r="76">
      <c r="A76" s="92" t="n">
        <v>46573</v>
      </c>
      <c r="B76" s="74">
        <f>COUNTIF(SA_Week,A76)</f>
        <v/>
      </c>
      <c r="C76" s="122">
        <f>SUMIFS(SA_Chg,SA_Week,A76)</f>
        <v/>
      </c>
      <c r="D76" s="74">
        <f>COUNTIF(SB_Week,A76)</f>
        <v/>
      </c>
      <c r="E76" s="122">
        <f>SUMIFS(SB_Chg,SB_Week,A76)</f>
        <v/>
      </c>
    </row>
    <row r="77">
      <c r="A77" s="92" t="n">
        <v>46580</v>
      </c>
      <c r="B77" s="74">
        <f>COUNTIF(SA_Week,A77)</f>
        <v/>
      </c>
      <c r="C77" s="122">
        <f>SUMIFS(SA_Chg,SA_Week,A77)</f>
        <v/>
      </c>
      <c r="D77" s="74">
        <f>COUNTIF(SB_Week,A77)</f>
        <v/>
      </c>
      <c r="E77" s="122">
        <f>SUMIFS(SB_Chg,SB_Week,A77)</f>
        <v/>
      </c>
    </row>
    <row r="78">
      <c r="A78" s="92" t="n">
        <v>46587</v>
      </c>
      <c r="B78" s="74">
        <f>COUNTIF(SA_Week,A78)</f>
        <v/>
      </c>
      <c r="C78" s="122">
        <f>SUMIFS(SA_Chg,SA_Week,A78)</f>
        <v/>
      </c>
      <c r="D78" s="74">
        <f>COUNTIF(SB_Week,A78)</f>
        <v/>
      </c>
      <c r="E78" s="122">
        <f>SUMIFS(SB_Chg,SB_Week,A78)</f>
        <v/>
      </c>
    </row>
    <row r="79">
      <c r="A79" s="92" t="n">
        <v>46594</v>
      </c>
      <c r="B79" s="74">
        <f>COUNTIF(SA_Week,A79)</f>
        <v/>
      </c>
      <c r="C79" s="122">
        <f>SUMIFS(SA_Chg,SA_Week,A79)</f>
        <v/>
      </c>
      <c r="D79" s="74">
        <f>COUNTIF(SB_Week,A79)</f>
        <v/>
      </c>
      <c r="E79" s="122">
        <f>SUMIFS(SB_Chg,SB_Week,A79)</f>
        <v/>
      </c>
    </row>
    <row r="80">
      <c r="A80" s="92" t="n">
        <v>46601</v>
      </c>
      <c r="B80" s="74">
        <f>COUNTIF(SA_Week,A80)</f>
        <v/>
      </c>
      <c r="C80" s="122">
        <f>SUMIFS(SA_Chg,SA_Week,A80)</f>
        <v/>
      </c>
      <c r="D80" s="74">
        <f>COUNTIF(SB_Week,A80)</f>
        <v/>
      </c>
      <c r="E80" s="122">
        <f>SUMIFS(SB_Chg,SB_Week,A80)</f>
        <v/>
      </c>
    </row>
    <row r="81">
      <c r="A81" s="92" t="n">
        <v>46608</v>
      </c>
      <c r="B81" s="74">
        <f>COUNTIF(SA_Week,A81)</f>
        <v/>
      </c>
      <c r="C81" s="122">
        <f>SUMIFS(SA_Chg,SA_Week,A81)</f>
        <v/>
      </c>
      <c r="D81" s="74">
        <f>COUNTIF(SB_Week,A81)</f>
        <v/>
      </c>
      <c r="E81" s="122">
        <f>SUMIFS(SB_Chg,SB_Week,A81)</f>
        <v/>
      </c>
    </row>
    <row r="82">
      <c r="A82" s="92" t="n">
        <v>46615</v>
      </c>
      <c r="B82" s="74">
        <f>COUNTIF(SA_Week,A82)</f>
        <v/>
      </c>
      <c r="C82" s="122">
        <f>SUMIFS(SA_Chg,SA_Week,A82)</f>
        <v/>
      </c>
      <c r="D82" s="74">
        <f>COUNTIF(SB_Week,A82)</f>
        <v/>
      </c>
      <c r="E82" s="122">
        <f>SUMIFS(SB_Chg,SB_Week,A82)</f>
        <v/>
      </c>
    </row>
    <row r="83">
      <c r="A83" s="92" t="n">
        <v>46622</v>
      </c>
      <c r="B83" s="74">
        <f>COUNTIF(SA_Week,A83)</f>
        <v/>
      </c>
      <c r="C83" s="122">
        <f>SUMIFS(SA_Chg,SA_Week,A83)</f>
        <v/>
      </c>
      <c r="D83" s="74">
        <f>COUNTIF(SB_Week,A83)</f>
        <v/>
      </c>
      <c r="E83" s="122">
        <f>SUMIFS(SB_Chg,SB_Week,A83)</f>
        <v/>
      </c>
    </row>
    <row r="84">
      <c r="A84" s="92" t="n">
        <v>46629</v>
      </c>
      <c r="B84" s="74">
        <f>COUNTIF(SA_Week,A84)</f>
        <v/>
      </c>
      <c r="C84" s="122">
        <f>SUMIFS(SA_Chg,SA_Week,A84)</f>
        <v/>
      </c>
      <c r="D84" s="74">
        <f>COUNTIF(SB_Week,A84)</f>
        <v/>
      </c>
      <c r="E84" s="122">
        <f>SUMIFS(SB_Chg,SB_Week,A84)</f>
        <v/>
      </c>
    </row>
    <row r="85">
      <c r="A85" s="92" t="n">
        <v>46636</v>
      </c>
      <c r="B85" s="74">
        <f>COUNTIF(SA_Week,A85)</f>
        <v/>
      </c>
      <c r="C85" s="122">
        <f>SUMIFS(SA_Chg,SA_Week,A85)</f>
        <v/>
      </c>
      <c r="D85" s="74">
        <f>COUNTIF(SB_Week,A85)</f>
        <v/>
      </c>
      <c r="E85" s="122">
        <f>SUMIFS(SB_Chg,SB_Week,A85)</f>
        <v/>
      </c>
    </row>
    <row r="86">
      <c r="A86" s="92" t="n">
        <v>46643</v>
      </c>
      <c r="B86" s="74">
        <f>COUNTIF(SA_Week,A86)</f>
        <v/>
      </c>
      <c r="C86" s="122">
        <f>SUMIFS(SA_Chg,SA_Week,A86)</f>
        <v/>
      </c>
      <c r="D86" s="74">
        <f>COUNTIF(SB_Week,A86)</f>
        <v/>
      </c>
      <c r="E86" s="122">
        <f>SUMIFS(SB_Chg,SB_Week,A86)</f>
        <v/>
      </c>
    </row>
    <row r="87">
      <c r="A87" s="92" t="n">
        <v>46650</v>
      </c>
      <c r="B87" s="74">
        <f>COUNTIF(SA_Week,A87)</f>
        <v/>
      </c>
      <c r="C87" s="122">
        <f>SUMIFS(SA_Chg,SA_Week,A87)</f>
        <v/>
      </c>
      <c r="D87" s="74">
        <f>COUNTIF(SB_Week,A87)</f>
        <v/>
      </c>
      <c r="E87" s="122">
        <f>SUMIFS(SB_Chg,SB_Week,A87)</f>
        <v/>
      </c>
    </row>
    <row r="88">
      <c r="A88" s="92" t="n">
        <v>46657</v>
      </c>
      <c r="B88" s="74">
        <f>COUNTIF(SA_Week,A88)</f>
        <v/>
      </c>
      <c r="C88" s="122">
        <f>SUMIFS(SA_Chg,SA_Week,A88)</f>
        <v/>
      </c>
      <c r="D88" s="74">
        <f>COUNTIF(SB_Week,A88)</f>
        <v/>
      </c>
      <c r="E88" s="122">
        <f>SUMIFS(SB_Chg,SB_Week,A88)</f>
        <v/>
      </c>
    </row>
    <row r="89">
      <c r="A89" s="92" t="n">
        <v>46664</v>
      </c>
      <c r="B89" s="74">
        <f>COUNTIF(SA_Week,A89)</f>
        <v/>
      </c>
      <c r="C89" s="122">
        <f>SUMIFS(SA_Chg,SA_Week,A89)</f>
        <v/>
      </c>
      <c r="D89" s="74">
        <f>COUNTIF(SB_Week,A89)</f>
        <v/>
      </c>
      <c r="E89" s="122">
        <f>SUMIFS(SB_Chg,SB_Week,A89)</f>
        <v/>
      </c>
    </row>
    <row r="90">
      <c r="A90" s="92" t="n">
        <v>46671</v>
      </c>
      <c r="B90" s="74">
        <f>COUNTIF(SA_Week,A90)</f>
        <v/>
      </c>
      <c r="C90" s="122">
        <f>SUMIFS(SA_Chg,SA_Week,A90)</f>
        <v/>
      </c>
      <c r="D90" s="74">
        <f>COUNTIF(SB_Week,A90)</f>
        <v/>
      </c>
      <c r="E90" s="122">
        <f>SUMIFS(SB_Chg,SB_Week,A90)</f>
        <v/>
      </c>
    </row>
    <row r="91">
      <c r="A91" s="92" t="n">
        <v>46678</v>
      </c>
      <c r="B91" s="74">
        <f>COUNTIF(SA_Week,A91)</f>
        <v/>
      </c>
      <c r="C91" s="122">
        <f>SUMIFS(SA_Chg,SA_Week,A91)</f>
        <v/>
      </c>
      <c r="D91" s="74">
        <f>COUNTIF(SB_Week,A91)</f>
        <v/>
      </c>
      <c r="E91" s="122">
        <f>SUMIFS(SB_Chg,SB_Week,A91)</f>
        <v/>
      </c>
    </row>
    <row r="92">
      <c r="A92" s="92" t="n">
        <v>46685</v>
      </c>
      <c r="B92" s="74">
        <f>COUNTIF(SA_Week,A92)</f>
        <v/>
      </c>
      <c r="C92" s="122">
        <f>SUMIFS(SA_Chg,SA_Week,A92)</f>
        <v/>
      </c>
      <c r="D92" s="74">
        <f>COUNTIF(SB_Week,A92)</f>
        <v/>
      </c>
      <c r="E92" s="122">
        <f>SUMIFS(SB_Chg,SB_Week,A92)</f>
        <v/>
      </c>
    </row>
    <row r="93">
      <c r="A93" s="92" t="n">
        <v>46692</v>
      </c>
      <c r="B93" s="74">
        <f>COUNTIF(SA_Week,A93)</f>
        <v/>
      </c>
      <c r="C93" s="122">
        <f>SUMIFS(SA_Chg,SA_Week,A93)</f>
        <v/>
      </c>
      <c r="D93" s="74">
        <f>COUNTIF(SB_Week,A93)</f>
        <v/>
      </c>
      <c r="E93" s="122">
        <f>SUMIFS(SB_Chg,SB_Week,A93)</f>
        <v/>
      </c>
    </row>
    <row r="94">
      <c r="A94" s="92" t="n">
        <v>46699</v>
      </c>
      <c r="B94" s="74">
        <f>COUNTIF(SA_Week,A94)</f>
        <v/>
      </c>
      <c r="C94" s="122">
        <f>SUMIFS(SA_Chg,SA_Week,A94)</f>
        <v/>
      </c>
      <c r="D94" s="74">
        <f>COUNTIF(SB_Week,A94)</f>
        <v/>
      </c>
      <c r="E94" s="122">
        <f>SUMIFS(SB_Chg,SB_Week,A94)</f>
        <v/>
      </c>
    </row>
    <row r="95">
      <c r="A95" s="92" t="n">
        <v>46706</v>
      </c>
      <c r="B95" s="74">
        <f>COUNTIF(SA_Week,A95)</f>
        <v/>
      </c>
      <c r="C95" s="122">
        <f>SUMIFS(SA_Chg,SA_Week,A95)</f>
        <v/>
      </c>
      <c r="D95" s="74">
        <f>COUNTIF(SB_Week,A95)</f>
        <v/>
      </c>
      <c r="E95" s="122">
        <f>SUMIFS(SB_Chg,SB_Week,A95)</f>
        <v/>
      </c>
    </row>
    <row r="96">
      <c r="A96" s="92" t="n">
        <v>46713</v>
      </c>
      <c r="B96" s="74">
        <f>COUNTIF(SA_Week,A96)</f>
        <v/>
      </c>
      <c r="C96" s="122">
        <f>SUMIFS(SA_Chg,SA_Week,A96)</f>
        <v/>
      </c>
      <c r="D96" s="74">
        <f>COUNTIF(SB_Week,A96)</f>
        <v/>
      </c>
      <c r="E96" s="122">
        <f>SUMIFS(SB_Chg,SB_Week,A96)</f>
        <v/>
      </c>
    </row>
    <row r="97">
      <c r="A97" s="92" t="n">
        <v>46720</v>
      </c>
      <c r="B97" s="74">
        <f>COUNTIF(SA_Week,A97)</f>
        <v/>
      </c>
      <c r="C97" s="122">
        <f>SUMIFS(SA_Chg,SA_Week,A97)</f>
        <v/>
      </c>
      <c r="D97" s="74">
        <f>COUNTIF(SB_Week,A97)</f>
        <v/>
      </c>
      <c r="E97" s="122">
        <f>SUMIFS(SB_Chg,SB_Week,A97)</f>
        <v/>
      </c>
    </row>
    <row r="98">
      <c r="A98" s="92" t="n">
        <v>46727</v>
      </c>
      <c r="B98" s="74">
        <f>COUNTIF(SA_Week,A98)</f>
        <v/>
      </c>
      <c r="C98" s="122">
        <f>SUMIFS(SA_Chg,SA_Week,A98)</f>
        <v/>
      </c>
      <c r="D98" s="74">
        <f>COUNTIF(SB_Week,A98)</f>
        <v/>
      </c>
      <c r="E98" s="122">
        <f>SUMIFS(SB_Chg,SB_Week,A98)</f>
        <v/>
      </c>
    </row>
    <row r="99">
      <c r="A99" s="92" t="n">
        <v>46734</v>
      </c>
      <c r="B99" s="74">
        <f>COUNTIF(SA_Week,A99)</f>
        <v/>
      </c>
      <c r="C99" s="122">
        <f>SUMIFS(SA_Chg,SA_Week,A99)</f>
        <v/>
      </c>
      <c r="D99" s="74">
        <f>COUNTIF(SB_Week,A99)</f>
        <v/>
      </c>
      <c r="E99" s="122">
        <f>SUMIFS(SB_Chg,SB_Week,A99)</f>
        <v/>
      </c>
    </row>
    <row r="100">
      <c r="A100" s="92" t="n">
        <v>46741</v>
      </c>
      <c r="B100" s="74">
        <f>COUNTIF(SA_Week,A100)</f>
        <v/>
      </c>
      <c r="C100" s="122">
        <f>SUMIFS(SA_Chg,SA_Week,A100)</f>
        <v/>
      </c>
      <c r="D100" s="74">
        <f>COUNTIF(SB_Week,A100)</f>
        <v/>
      </c>
      <c r="E100" s="122">
        <f>SUMIFS(SB_Chg,SB_Week,A100)</f>
        <v/>
      </c>
    </row>
    <row r="101">
      <c r="A101" s="92" t="n">
        <v>46748</v>
      </c>
      <c r="B101" s="74">
        <f>COUNTIF(SA_Week,A101)</f>
        <v/>
      </c>
      <c r="C101" s="122">
        <f>SUMIFS(SA_Chg,SA_Week,A101)</f>
        <v/>
      </c>
      <c r="D101" s="74">
        <f>COUNTIF(SB_Week,A101)</f>
        <v/>
      </c>
      <c r="E101" s="122">
        <f>SUMIFS(SB_Chg,SB_Week,A101)</f>
        <v/>
      </c>
    </row>
    <row r="102">
      <c r="A102" s="96" t="inlineStr">
        <is>
          <t>Busiest week</t>
        </is>
      </c>
      <c r="B102" s="120">
        <f>MAX(B49:B101)</f>
        <v/>
      </c>
      <c r="C102" s="120">
        <f>MAX(C49:C101)</f>
        <v/>
      </c>
      <c r="D102" s="120">
        <f>MAX(D49:D101)</f>
        <v/>
      </c>
      <c r="E102" s="120">
        <f>MAX(E49:E101)</f>
        <v/>
      </c>
    </row>
  </sheetData>
  <sheetProtection selectLockedCells="0" selectUnlockedCells="0" sheet="1" objects="0" insertRows="1" insertHyperlinks="1" autoFilter="0" scenarios="0" formatColumns="0" deleteColumns="1" insertColumns="1" pivotTables="1" deleteRows="1" formatCells="1" formatRows="0" sort="0"/>
  <conditionalFormatting sqref="C6:N14">
    <cfRule type="colorScale" priority="1">
      <colorScale>
        <cfvo type="num" val="0"/>
        <cfvo type="max"/>
        <color rgb="00FFFFFF"/>
        <color rgb="005B9BD5"/>
      </colorScale>
    </cfRule>
  </conditionalFormatting>
  <conditionalFormatting sqref="C20:N28">
    <cfRule type="colorScale" priority="2">
      <colorScale>
        <cfvo type="num" val="0"/>
        <cfvo type="max"/>
        <color rgb="00FFFFFF"/>
        <color rgb="005B9BD5"/>
      </colorScale>
    </cfRule>
  </conditionalFormatting>
  <conditionalFormatting sqref="G34:G43">
    <cfRule type="expression" priority="3" dxfId="2">
      <formula>AND(ISNUMBER(G34),G34&lt;0.9)</formula>
    </cfRule>
  </conditionalFormatting>
  <conditionalFormatting sqref="L34:L43">
    <cfRule type="expression" priority="4" dxfId="2">
      <formula>AND(ISNUMBER(L34),L34&lt;0.9)</formula>
    </cfRule>
  </conditionalFormatting>
  <conditionalFormatting sqref="B49:B101">
    <cfRule type="dataBar" priority="5">
      <dataBar>
        <cfvo type="num" val="0"/>
        <cfvo type="max"/>
        <color rgb="009DC3E6"/>
      </dataBar>
    </cfRule>
  </conditionalFormatting>
  <conditionalFormatting sqref="D49:D101">
    <cfRule type="dataBar" priority="6">
      <dataBar>
        <cfvo type="num" val="0"/>
        <cfvo type="max"/>
        <color rgb="001F4E79"/>
      </dataBar>
    </cfRule>
  </conditionalFormatting>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BF9000"/>
    <outlinePr summaryBelow="1" summaryRight="1"/>
    <pageSetUpPr fitToPage="1"/>
  </sheetPr>
  <dimension ref="A1:S51"/>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19" customWidth="1" min="3" max="3"/>
    <col width="10" customWidth="1" min="4" max="4"/>
    <col width="10" customWidth="1" min="5" max="5"/>
    <col width="12" customWidth="1" min="6" max="6"/>
    <col width="22" customWidth="1" min="7" max="7"/>
    <col width="13" customWidth="1" min="8" max="8"/>
    <col width="11" customWidth="1" min="9" max="9"/>
    <col width="11" customWidth="1" min="10" max="10"/>
    <col width="9" customWidth="1" min="11" max="11"/>
    <col width="12" customWidth="1" min="12" max="12"/>
    <col width="12" customWidth="1" min="13" max="13"/>
    <col width="11" customWidth="1" min="14" max="14"/>
    <col width="30" customWidth="1" min="15" max="15"/>
    <col width="12" customWidth="1" min="16" max="16"/>
    <col width="14" customWidth="1" min="17" max="17"/>
    <col width="14" customWidth="1" min="18" max="18"/>
    <col width="12" customWidth="1" min="19" max="19"/>
  </cols>
  <sheetData>
    <row r="1">
      <c r="A1" s="99" t="inlineStr">
        <is>
          <t>Rate card: please fill in the yellow cells</t>
        </is>
      </c>
    </row>
    <row r="2">
      <c r="A2" s="98" t="inlineStr">
        <is>
          <t>Rates from Helmond, NL. EUR excl. VAT. Cost per shipment = MAX(minimum, rate x chargeable kg) x (1 + fuel %) + export docs fee + other fixed fees. Use the Scenario B discount if your rates improve at Scenario B volume. Rates from your own regional hub go on the Optional Regional Stock sheet.</t>
        </is>
      </c>
    </row>
    <row r="3"/>
    <row r="4" ht="58" customHeight="1">
      <c r="A4" s="10" t="inlineStr">
        <is>
          <t>Lane</t>
        </is>
      </c>
      <c r="B4" s="10" t="inlineStr">
        <is>
          <t>Destination</t>
        </is>
      </c>
      <c r="C4" s="10" t="inlineStr">
        <is>
          <t>Weight band</t>
        </is>
      </c>
      <c r="D4" s="10" t="inlineStr">
        <is>
          <t>Shipments A</t>
        </is>
      </c>
      <c r="E4" s="10" t="inlineStr">
        <is>
          <t>Shipments B</t>
        </is>
      </c>
      <c r="F4" s="10" t="inlineStr">
        <is>
          <t>Avg chargeable kg per shipment</t>
        </is>
      </c>
      <c r="G4" s="18" t="inlineStr">
        <is>
          <t>Proposed mode / service</t>
        </is>
      </c>
      <c r="H4" s="18" t="inlineStr">
        <is>
          <t>Transit time door-to-door (working days)</t>
        </is>
      </c>
      <c r="I4" s="18" t="inlineStr">
        <is>
          <t>Rate per chargeable kg</t>
        </is>
      </c>
      <c r="J4" s="18" t="inlineStr">
        <is>
          <t>Minimum charge per shipment</t>
        </is>
      </c>
      <c r="K4" s="18" t="inlineStr">
        <is>
          <t>Fuel surcharge %</t>
        </is>
      </c>
      <c r="L4" s="18" t="inlineStr">
        <is>
          <t>Export customs &amp; docs per shipment</t>
        </is>
      </c>
      <c r="M4" s="18" t="inlineStr">
        <is>
          <t>Other fixed fees per shipment</t>
        </is>
      </c>
      <c r="N4" s="18" t="inlineStr">
        <is>
          <t>Scenario B volume discount %</t>
        </is>
      </c>
      <c r="O4" s="18" t="inlineStr">
        <is>
          <t>Notes</t>
        </is>
      </c>
      <c r="P4" s="10" t="inlineStr">
        <is>
          <t>Cost per shipment</t>
        </is>
      </c>
      <c r="Q4" s="10" t="inlineStr">
        <is>
          <t>Annual cost Scenario A</t>
        </is>
      </c>
      <c r="R4" s="10" t="inlineStr">
        <is>
          <t>Annual cost Scenario B</t>
        </is>
      </c>
      <c r="S4" s="18" t="inlineStr">
        <is>
          <t>Worst-case transit (working days)</t>
        </is>
      </c>
    </row>
    <row r="5">
      <c r="A5" s="95" t="inlineStr">
        <is>
          <t>L01</t>
        </is>
      </c>
      <c r="B5" s="101" t="inlineStr">
        <is>
          <t>Saudi Arabia</t>
        </is>
      </c>
      <c r="C5" s="101" t="inlineStr">
        <is>
          <t>B1  0 to 30 kg</t>
        </is>
      </c>
      <c r="D5" s="122">
        <f>Volumes!C34</f>
        <v/>
      </c>
      <c r="E5" s="122">
        <f>Volumes!H34</f>
        <v/>
      </c>
      <c r="F5" s="122">
        <f>Volumes!C48</f>
        <v/>
      </c>
      <c r="G5" s="127" t="n"/>
      <c r="H5" s="144" t="n"/>
      <c r="I5" s="143" t="n"/>
      <c r="J5" s="143" t="n"/>
      <c r="K5" s="145" t="n"/>
      <c r="L5" s="143" t="n"/>
      <c r="M5" s="143" t="n"/>
      <c r="N5" s="145" t="n"/>
      <c r="O5" s="127" t="n"/>
      <c r="P5" s="116">
        <f>IF(AND(I5="",J5=""),"",MAX(N(J5),N(I5)*F5)*(1+N(K5))+N(L5)+N(M5))</f>
        <v/>
      </c>
      <c r="Q5" s="121">
        <f>IF(P5="",0,D5*P5)</f>
        <v/>
      </c>
      <c r="R5" s="121">
        <f>IF(P5="",0,E5*P5*(1-N(N5)))</f>
        <v/>
      </c>
      <c r="S5" s="146" t="n"/>
    </row>
    <row r="6">
      <c r="A6" s="95" t="inlineStr">
        <is>
          <t>L01</t>
        </is>
      </c>
      <c r="B6" s="101" t="inlineStr">
        <is>
          <t>Saudi Arabia</t>
        </is>
      </c>
      <c r="C6" s="101" t="inlineStr">
        <is>
          <t>B2  30 to 100 kg</t>
        </is>
      </c>
      <c r="D6" s="122">
        <f>Volumes!D34</f>
        <v/>
      </c>
      <c r="E6" s="122">
        <f>Volumes!I34</f>
        <v/>
      </c>
      <c r="F6" s="122">
        <f>Volumes!C49</f>
        <v/>
      </c>
      <c r="G6" s="127" t="n"/>
      <c r="H6" s="144" t="n"/>
      <c r="I6" s="143" t="n"/>
      <c r="J6" s="143" t="n"/>
      <c r="K6" s="145" t="n"/>
      <c r="L6" s="143" t="n"/>
      <c r="M6" s="143" t="n"/>
      <c r="N6" s="145" t="n"/>
      <c r="O6" s="127" t="n"/>
      <c r="P6" s="116">
        <f>IF(AND(I6="",J6=""),"",MAX(N(J6),N(I6)*F6)*(1+N(K6))+N(L6)+N(M6))</f>
        <v/>
      </c>
      <c r="Q6" s="121">
        <f>IF(P6="",0,D6*P6)</f>
        <v/>
      </c>
      <c r="R6" s="121">
        <f>IF(P6="",0,E6*P6*(1-N(N6)))</f>
        <v/>
      </c>
      <c r="S6" s="146" t="n"/>
    </row>
    <row r="7">
      <c r="A7" s="95" t="inlineStr">
        <is>
          <t>L01</t>
        </is>
      </c>
      <c r="B7" s="101" t="inlineStr">
        <is>
          <t>Saudi Arabia</t>
        </is>
      </c>
      <c r="C7" s="101" t="inlineStr">
        <is>
          <t>B3  100 to 500 kg</t>
        </is>
      </c>
      <c r="D7" s="122">
        <f>Volumes!E34</f>
        <v/>
      </c>
      <c r="E7" s="122">
        <f>Volumes!J34</f>
        <v/>
      </c>
      <c r="F7" s="122">
        <f>Volumes!C50</f>
        <v/>
      </c>
      <c r="G7" s="127" t="n"/>
      <c r="H7" s="144" t="n"/>
      <c r="I7" s="143" t="n"/>
      <c r="J7" s="143" t="n"/>
      <c r="K7" s="145" t="n"/>
      <c r="L7" s="143" t="n"/>
      <c r="M7" s="143" t="n"/>
      <c r="N7" s="145" t="n"/>
      <c r="O7" s="127" t="n"/>
      <c r="P7" s="116">
        <f>IF(AND(I7="",J7=""),"",MAX(N(J7),N(I7)*F7)*(1+N(K7))+N(L7)+N(M7))</f>
        <v/>
      </c>
      <c r="Q7" s="121">
        <f>IF(P7="",0,D7*P7)</f>
        <v/>
      </c>
      <c r="R7" s="121">
        <f>IF(P7="",0,E7*P7*(1-N(N7)))</f>
        <v/>
      </c>
      <c r="S7" s="146" t="n"/>
    </row>
    <row r="8">
      <c r="A8" s="95" t="inlineStr">
        <is>
          <t>L01</t>
        </is>
      </c>
      <c r="B8" s="101" t="inlineStr">
        <is>
          <t>Saudi Arabia</t>
        </is>
      </c>
      <c r="C8" s="101" t="inlineStr">
        <is>
          <t>B4  500 to 2,000 kg</t>
        </is>
      </c>
      <c r="D8" s="122">
        <f>Volumes!F34</f>
        <v/>
      </c>
      <c r="E8" s="122">
        <f>Volumes!K34</f>
        <v/>
      </c>
      <c r="F8" s="122">
        <f>Volumes!C51</f>
        <v/>
      </c>
      <c r="G8" s="127" t="n"/>
      <c r="H8" s="144" t="n"/>
      <c r="I8" s="143" t="n"/>
      <c r="J8" s="143" t="n"/>
      <c r="K8" s="145" t="n"/>
      <c r="L8" s="143" t="n"/>
      <c r="M8" s="143" t="n"/>
      <c r="N8" s="145" t="n"/>
      <c r="O8" s="127" t="n"/>
      <c r="P8" s="116">
        <f>IF(AND(I8="",J8=""),"",MAX(N(J8),N(I8)*F8)*(1+N(K8))+N(L8)+N(M8))</f>
        <v/>
      </c>
      <c r="Q8" s="121">
        <f>IF(P8="",0,D8*P8)</f>
        <v/>
      </c>
      <c r="R8" s="121">
        <f>IF(P8="",0,E8*P8*(1-N(N8)))</f>
        <v/>
      </c>
      <c r="S8" s="146" t="n"/>
    </row>
    <row r="9">
      <c r="A9" s="24" t="inlineStr">
        <is>
          <t>L01</t>
        </is>
      </c>
      <c r="B9" s="25" t="inlineStr">
        <is>
          <t>Saudi Arabia</t>
        </is>
      </c>
      <c r="C9" s="25" t="inlineStr">
        <is>
          <t>B5  over 2,000 kg</t>
        </is>
      </c>
      <c r="D9" s="26">
        <f>Volumes!G34</f>
        <v/>
      </c>
      <c r="E9" s="26">
        <f>Volumes!L34</f>
        <v/>
      </c>
      <c r="F9" s="26">
        <f>Volumes!C52</f>
        <v/>
      </c>
      <c r="G9" s="147" t="n"/>
      <c r="H9" s="148" t="n"/>
      <c r="I9" s="149" t="n"/>
      <c r="J9" s="149" t="n"/>
      <c r="K9" s="150" t="n"/>
      <c r="L9" s="149" t="n"/>
      <c r="M9" s="149" t="n"/>
      <c r="N9" s="150" t="n"/>
      <c r="O9" s="147" t="n"/>
      <c r="P9" s="31">
        <f>IF(AND(I9="",J9=""),"",MAX(N(J9),N(I9)*F9)*(1+N(K9))+N(L9)+N(M9))</f>
        <v/>
      </c>
      <c r="Q9" s="32">
        <f>IF(P9="",0,D9*P9)</f>
        <v/>
      </c>
      <c r="R9" s="32">
        <f>IF(P9="",0,E9*P9*(1-N(N9)))</f>
        <v/>
      </c>
      <c r="S9" s="146" t="n"/>
    </row>
    <row r="10">
      <c r="A10" s="95" t="inlineStr">
        <is>
          <t>L02</t>
        </is>
      </c>
      <c r="B10" s="101" t="inlineStr">
        <is>
          <t>United Arab Emirates</t>
        </is>
      </c>
      <c r="C10" s="101" t="inlineStr">
        <is>
          <t>B1  0 to 30 kg</t>
        </is>
      </c>
      <c r="D10" s="122">
        <f>Volumes!C35</f>
        <v/>
      </c>
      <c r="E10" s="122">
        <f>Volumes!H35</f>
        <v/>
      </c>
      <c r="F10" s="122">
        <f>Volumes!C48</f>
        <v/>
      </c>
      <c r="G10" s="127" t="n"/>
      <c r="H10" s="144" t="n"/>
      <c r="I10" s="143" t="n"/>
      <c r="J10" s="143" t="n"/>
      <c r="K10" s="145" t="n"/>
      <c r="L10" s="143" t="n"/>
      <c r="M10" s="143" t="n"/>
      <c r="N10" s="145" t="n"/>
      <c r="O10" s="127" t="n"/>
      <c r="P10" s="116">
        <f>IF(AND(I10="",J10=""),"",MAX(N(J10),N(I10)*F10)*(1+N(K10))+N(L10)+N(M10))</f>
        <v/>
      </c>
      <c r="Q10" s="121">
        <f>IF(P10="",0,D10*P10)</f>
        <v/>
      </c>
      <c r="R10" s="121">
        <f>IF(P10="",0,E10*P10*(1-N(N10)))</f>
        <v/>
      </c>
      <c r="S10" s="146" t="n"/>
    </row>
    <row r="11">
      <c r="A11" s="95" t="inlineStr">
        <is>
          <t>L02</t>
        </is>
      </c>
      <c r="B11" s="101" t="inlineStr">
        <is>
          <t>United Arab Emirates</t>
        </is>
      </c>
      <c r="C11" s="101" t="inlineStr">
        <is>
          <t>B2  30 to 100 kg</t>
        </is>
      </c>
      <c r="D11" s="122">
        <f>Volumes!D35</f>
        <v/>
      </c>
      <c r="E11" s="122">
        <f>Volumes!I35</f>
        <v/>
      </c>
      <c r="F11" s="122">
        <f>Volumes!C49</f>
        <v/>
      </c>
      <c r="G11" s="127" t="n"/>
      <c r="H11" s="144" t="n"/>
      <c r="I11" s="143" t="n"/>
      <c r="J11" s="143" t="n"/>
      <c r="K11" s="145" t="n"/>
      <c r="L11" s="143" t="n"/>
      <c r="M11" s="143" t="n"/>
      <c r="N11" s="145" t="n"/>
      <c r="O11" s="127" t="n"/>
      <c r="P11" s="116">
        <f>IF(AND(I11="",J11=""),"",MAX(N(J11),N(I11)*F11)*(1+N(K11))+N(L11)+N(M11))</f>
        <v/>
      </c>
      <c r="Q11" s="121">
        <f>IF(P11="",0,D11*P11)</f>
        <v/>
      </c>
      <c r="R11" s="121">
        <f>IF(P11="",0,E11*P11*(1-N(N11)))</f>
        <v/>
      </c>
      <c r="S11" s="146" t="n"/>
    </row>
    <row r="12">
      <c r="A12" s="95" t="inlineStr">
        <is>
          <t>L02</t>
        </is>
      </c>
      <c r="B12" s="101" t="inlineStr">
        <is>
          <t>United Arab Emirates</t>
        </is>
      </c>
      <c r="C12" s="101" t="inlineStr">
        <is>
          <t>B3  100 to 500 kg</t>
        </is>
      </c>
      <c r="D12" s="122">
        <f>Volumes!E35</f>
        <v/>
      </c>
      <c r="E12" s="122">
        <f>Volumes!J35</f>
        <v/>
      </c>
      <c r="F12" s="122">
        <f>Volumes!C50</f>
        <v/>
      </c>
      <c r="G12" s="127" t="n"/>
      <c r="H12" s="144" t="n"/>
      <c r="I12" s="143" t="n"/>
      <c r="J12" s="143" t="n"/>
      <c r="K12" s="145" t="n"/>
      <c r="L12" s="143" t="n"/>
      <c r="M12" s="143" t="n"/>
      <c r="N12" s="145" t="n"/>
      <c r="O12" s="127" t="n"/>
      <c r="P12" s="116">
        <f>IF(AND(I12="",J12=""),"",MAX(N(J12),N(I12)*F12)*(1+N(K12))+N(L12)+N(M12))</f>
        <v/>
      </c>
      <c r="Q12" s="121">
        <f>IF(P12="",0,D12*P12)</f>
        <v/>
      </c>
      <c r="R12" s="121">
        <f>IF(P12="",0,E12*P12*(1-N(N12)))</f>
        <v/>
      </c>
      <c r="S12" s="146" t="n"/>
    </row>
    <row r="13">
      <c r="A13" s="95" t="inlineStr">
        <is>
          <t>L02</t>
        </is>
      </c>
      <c r="B13" s="101" t="inlineStr">
        <is>
          <t>United Arab Emirates</t>
        </is>
      </c>
      <c r="C13" s="101" t="inlineStr">
        <is>
          <t>B4  500 to 2,000 kg</t>
        </is>
      </c>
      <c r="D13" s="122">
        <f>Volumes!F35</f>
        <v/>
      </c>
      <c r="E13" s="122">
        <f>Volumes!K35</f>
        <v/>
      </c>
      <c r="F13" s="122">
        <f>Volumes!C51</f>
        <v/>
      </c>
      <c r="G13" s="127" t="n"/>
      <c r="H13" s="144" t="n"/>
      <c r="I13" s="143" t="n"/>
      <c r="J13" s="143" t="n"/>
      <c r="K13" s="145" t="n"/>
      <c r="L13" s="143" t="n"/>
      <c r="M13" s="143" t="n"/>
      <c r="N13" s="145" t="n"/>
      <c r="O13" s="127" t="n"/>
      <c r="P13" s="116">
        <f>IF(AND(I13="",J13=""),"",MAX(N(J13),N(I13)*F13)*(1+N(K13))+N(L13)+N(M13))</f>
        <v/>
      </c>
      <c r="Q13" s="121">
        <f>IF(P13="",0,D13*P13)</f>
        <v/>
      </c>
      <c r="R13" s="121">
        <f>IF(P13="",0,E13*P13*(1-N(N13)))</f>
        <v/>
      </c>
      <c r="S13" s="146" t="n"/>
    </row>
    <row r="14">
      <c r="A14" s="24" t="inlineStr">
        <is>
          <t>L02</t>
        </is>
      </c>
      <c r="B14" s="25" t="inlineStr">
        <is>
          <t>United Arab Emirates</t>
        </is>
      </c>
      <c r="C14" s="25" t="inlineStr">
        <is>
          <t>B5  over 2,000 kg</t>
        </is>
      </c>
      <c r="D14" s="26">
        <f>Volumes!G35</f>
        <v/>
      </c>
      <c r="E14" s="26">
        <f>Volumes!L35</f>
        <v/>
      </c>
      <c r="F14" s="26">
        <f>Volumes!C52</f>
        <v/>
      </c>
      <c r="G14" s="147" t="n"/>
      <c r="H14" s="148" t="n"/>
      <c r="I14" s="149" t="n"/>
      <c r="J14" s="149" t="n"/>
      <c r="K14" s="150" t="n"/>
      <c r="L14" s="149" t="n"/>
      <c r="M14" s="149" t="n"/>
      <c r="N14" s="150" t="n"/>
      <c r="O14" s="147" t="n"/>
      <c r="P14" s="31">
        <f>IF(AND(I14="",J14=""),"",MAX(N(J14),N(I14)*F14)*(1+N(K14))+N(L14)+N(M14))</f>
        <v/>
      </c>
      <c r="Q14" s="32">
        <f>IF(P14="",0,D14*P14)</f>
        <v/>
      </c>
      <c r="R14" s="32">
        <f>IF(P14="",0,E14*P14*(1-N(N14)))</f>
        <v/>
      </c>
      <c r="S14" s="146" t="n"/>
    </row>
    <row r="15">
      <c r="A15" s="95" t="inlineStr">
        <is>
          <t>L03</t>
        </is>
      </c>
      <c r="B15" s="101" t="inlineStr">
        <is>
          <t>Kuwait</t>
        </is>
      </c>
      <c r="C15" s="101" t="inlineStr">
        <is>
          <t>B1  0 to 30 kg</t>
        </is>
      </c>
      <c r="D15" s="122">
        <f>Volumes!C36</f>
        <v/>
      </c>
      <c r="E15" s="122">
        <f>Volumes!H36</f>
        <v/>
      </c>
      <c r="F15" s="122">
        <f>Volumes!C48</f>
        <v/>
      </c>
      <c r="G15" s="127" t="n"/>
      <c r="H15" s="144" t="n"/>
      <c r="I15" s="143" t="n"/>
      <c r="J15" s="143" t="n"/>
      <c r="K15" s="145" t="n"/>
      <c r="L15" s="143" t="n"/>
      <c r="M15" s="143" t="n"/>
      <c r="N15" s="145" t="n"/>
      <c r="O15" s="127" t="n"/>
      <c r="P15" s="116">
        <f>IF(AND(I15="",J15=""),"",MAX(N(J15),N(I15)*F15)*(1+N(K15))+N(L15)+N(M15))</f>
        <v/>
      </c>
      <c r="Q15" s="121">
        <f>IF(P15="",0,D15*P15)</f>
        <v/>
      </c>
      <c r="R15" s="121">
        <f>IF(P15="",0,E15*P15*(1-N(N15)))</f>
        <v/>
      </c>
      <c r="S15" s="146" t="n"/>
    </row>
    <row r="16">
      <c r="A16" s="95" t="inlineStr">
        <is>
          <t>L03</t>
        </is>
      </c>
      <c r="B16" s="101" t="inlineStr">
        <is>
          <t>Kuwait</t>
        </is>
      </c>
      <c r="C16" s="101" t="inlineStr">
        <is>
          <t>B2  30 to 100 kg</t>
        </is>
      </c>
      <c r="D16" s="122">
        <f>Volumes!D36</f>
        <v/>
      </c>
      <c r="E16" s="122">
        <f>Volumes!I36</f>
        <v/>
      </c>
      <c r="F16" s="122">
        <f>Volumes!C49</f>
        <v/>
      </c>
      <c r="G16" s="127" t="n"/>
      <c r="H16" s="144" t="n"/>
      <c r="I16" s="143" t="n"/>
      <c r="J16" s="143" t="n"/>
      <c r="K16" s="145" t="n"/>
      <c r="L16" s="143" t="n"/>
      <c r="M16" s="143" t="n"/>
      <c r="N16" s="145" t="n"/>
      <c r="O16" s="127" t="n"/>
      <c r="P16" s="116">
        <f>IF(AND(I16="",J16=""),"",MAX(N(J16),N(I16)*F16)*(1+N(K16))+N(L16)+N(M16))</f>
        <v/>
      </c>
      <c r="Q16" s="121">
        <f>IF(P16="",0,D16*P16)</f>
        <v/>
      </c>
      <c r="R16" s="121">
        <f>IF(P16="",0,E16*P16*(1-N(N16)))</f>
        <v/>
      </c>
      <c r="S16" s="146" t="n"/>
    </row>
    <row r="17">
      <c r="A17" s="95" t="inlineStr">
        <is>
          <t>L03</t>
        </is>
      </c>
      <c r="B17" s="101" t="inlineStr">
        <is>
          <t>Kuwait</t>
        </is>
      </c>
      <c r="C17" s="101" t="inlineStr">
        <is>
          <t>B3  100 to 500 kg</t>
        </is>
      </c>
      <c r="D17" s="122">
        <f>Volumes!E36</f>
        <v/>
      </c>
      <c r="E17" s="122">
        <f>Volumes!J36</f>
        <v/>
      </c>
      <c r="F17" s="122">
        <f>Volumes!C50</f>
        <v/>
      </c>
      <c r="G17" s="127" t="n"/>
      <c r="H17" s="144" t="n"/>
      <c r="I17" s="143" t="n"/>
      <c r="J17" s="143" t="n"/>
      <c r="K17" s="145" t="n"/>
      <c r="L17" s="143" t="n"/>
      <c r="M17" s="143" t="n"/>
      <c r="N17" s="145" t="n"/>
      <c r="O17" s="127" t="n"/>
      <c r="P17" s="116">
        <f>IF(AND(I17="",J17=""),"",MAX(N(J17),N(I17)*F17)*(1+N(K17))+N(L17)+N(M17))</f>
        <v/>
      </c>
      <c r="Q17" s="121">
        <f>IF(P17="",0,D17*P17)</f>
        <v/>
      </c>
      <c r="R17" s="121">
        <f>IF(P17="",0,E17*P17*(1-N(N17)))</f>
        <v/>
      </c>
      <c r="S17" s="146" t="n"/>
    </row>
    <row r="18">
      <c r="A18" s="95" t="inlineStr">
        <is>
          <t>L03</t>
        </is>
      </c>
      <c r="B18" s="101" t="inlineStr">
        <is>
          <t>Kuwait</t>
        </is>
      </c>
      <c r="C18" s="101" t="inlineStr">
        <is>
          <t>B4  500 to 2,000 kg</t>
        </is>
      </c>
      <c r="D18" s="122">
        <f>Volumes!F36</f>
        <v/>
      </c>
      <c r="E18" s="122">
        <f>Volumes!K36</f>
        <v/>
      </c>
      <c r="F18" s="122">
        <f>Volumes!C51</f>
        <v/>
      </c>
      <c r="G18" s="127" t="n"/>
      <c r="H18" s="144" t="n"/>
      <c r="I18" s="143" t="n"/>
      <c r="J18" s="143" t="n"/>
      <c r="K18" s="145" t="n"/>
      <c r="L18" s="143" t="n"/>
      <c r="M18" s="143" t="n"/>
      <c r="N18" s="145" t="n"/>
      <c r="O18" s="127" t="n"/>
      <c r="P18" s="116">
        <f>IF(AND(I18="",J18=""),"",MAX(N(J18),N(I18)*F18)*(1+N(K18))+N(L18)+N(M18))</f>
        <v/>
      </c>
      <c r="Q18" s="121">
        <f>IF(P18="",0,D18*P18)</f>
        <v/>
      </c>
      <c r="R18" s="121">
        <f>IF(P18="",0,E18*P18*(1-N(N18)))</f>
        <v/>
      </c>
      <c r="S18" s="146" t="n"/>
    </row>
    <row r="19">
      <c r="A19" s="24" t="inlineStr">
        <is>
          <t>L03</t>
        </is>
      </c>
      <c r="B19" s="25" t="inlineStr">
        <is>
          <t>Kuwait</t>
        </is>
      </c>
      <c r="C19" s="25" t="inlineStr">
        <is>
          <t>B5  over 2,000 kg</t>
        </is>
      </c>
      <c r="D19" s="26">
        <f>Volumes!G36</f>
        <v/>
      </c>
      <c r="E19" s="26">
        <f>Volumes!L36</f>
        <v/>
      </c>
      <c r="F19" s="26">
        <f>Volumes!C52</f>
        <v/>
      </c>
      <c r="G19" s="147" t="n"/>
      <c r="H19" s="148" t="n"/>
      <c r="I19" s="149" t="n"/>
      <c r="J19" s="149" t="n"/>
      <c r="K19" s="150" t="n"/>
      <c r="L19" s="149" t="n"/>
      <c r="M19" s="149" t="n"/>
      <c r="N19" s="150" t="n"/>
      <c r="O19" s="147" t="n"/>
      <c r="P19" s="31">
        <f>IF(AND(I19="",J19=""),"",MAX(N(J19),N(I19)*F19)*(1+N(K19))+N(L19)+N(M19))</f>
        <v/>
      </c>
      <c r="Q19" s="32">
        <f>IF(P19="",0,D19*P19)</f>
        <v/>
      </c>
      <c r="R19" s="32">
        <f>IF(P19="",0,E19*P19*(1-N(N19)))</f>
        <v/>
      </c>
      <c r="S19" s="146" t="n"/>
    </row>
    <row r="20">
      <c r="A20" s="95" t="inlineStr">
        <is>
          <t>L04</t>
        </is>
      </c>
      <c r="B20" s="101" t="inlineStr">
        <is>
          <t>Qatar</t>
        </is>
      </c>
      <c r="C20" s="101" t="inlineStr">
        <is>
          <t>B1  0 to 30 kg</t>
        </is>
      </c>
      <c r="D20" s="122">
        <f>Volumes!C37</f>
        <v/>
      </c>
      <c r="E20" s="122">
        <f>Volumes!H37</f>
        <v/>
      </c>
      <c r="F20" s="122">
        <f>Volumes!C48</f>
        <v/>
      </c>
      <c r="G20" s="127" t="n"/>
      <c r="H20" s="144" t="n"/>
      <c r="I20" s="143" t="n"/>
      <c r="J20" s="143" t="n"/>
      <c r="K20" s="145" t="n"/>
      <c r="L20" s="143" t="n"/>
      <c r="M20" s="143" t="n"/>
      <c r="N20" s="145" t="n"/>
      <c r="O20" s="127" t="n"/>
      <c r="P20" s="116">
        <f>IF(AND(I20="",J20=""),"",MAX(N(J20),N(I20)*F20)*(1+N(K20))+N(L20)+N(M20))</f>
        <v/>
      </c>
      <c r="Q20" s="121">
        <f>IF(P20="",0,D20*P20)</f>
        <v/>
      </c>
      <c r="R20" s="121">
        <f>IF(P20="",0,E20*P20*(1-N(N20)))</f>
        <v/>
      </c>
      <c r="S20" s="146" t="n"/>
    </row>
    <row r="21">
      <c r="A21" s="95" t="inlineStr">
        <is>
          <t>L04</t>
        </is>
      </c>
      <c r="B21" s="101" t="inlineStr">
        <is>
          <t>Qatar</t>
        </is>
      </c>
      <c r="C21" s="101" t="inlineStr">
        <is>
          <t>B2  30 to 100 kg</t>
        </is>
      </c>
      <c r="D21" s="122">
        <f>Volumes!D37</f>
        <v/>
      </c>
      <c r="E21" s="122">
        <f>Volumes!I37</f>
        <v/>
      </c>
      <c r="F21" s="122">
        <f>Volumes!C49</f>
        <v/>
      </c>
      <c r="G21" s="127" t="n"/>
      <c r="H21" s="144" t="n"/>
      <c r="I21" s="143" t="n"/>
      <c r="J21" s="143" t="n"/>
      <c r="K21" s="145" t="n"/>
      <c r="L21" s="143" t="n"/>
      <c r="M21" s="143" t="n"/>
      <c r="N21" s="145" t="n"/>
      <c r="O21" s="127" t="n"/>
      <c r="P21" s="116">
        <f>IF(AND(I21="",J21=""),"",MAX(N(J21),N(I21)*F21)*(1+N(K21))+N(L21)+N(M21))</f>
        <v/>
      </c>
      <c r="Q21" s="121">
        <f>IF(P21="",0,D21*P21)</f>
        <v/>
      </c>
      <c r="R21" s="121">
        <f>IF(P21="",0,E21*P21*(1-N(N21)))</f>
        <v/>
      </c>
      <c r="S21" s="146" t="n"/>
    </row>
    <row r="22">
      <c r="A22" s="95" t="inlineStr">
        <is>
          <t>L04</t>
        </is>
      </c>
      <c r="B22" s="101" t="inlineStr">
        <is>
          <t>Qatar</t>
        </is>
      </c>
      <c r="C22" s="101" t="inlineStr">
        <is>
          <t>B3  100 to 500 kg</t>
        </is>
      </c>
      <c r="D22" s="122">
        <f>Volumes!E37</f>
        <v/>
      </c>
      <c r="E22" s="122">
        <f>Volumes!J37</f>
        <v/>
      </c>
      <c r="F22" s="122">
        <f>Volumes!C50</f>
        <v/>
      </c>
      <c r="G22" s="127" t="n"/>
      <c r="H22" s="144" t="n"/>
      <c r="I22" s="143" t="n"/>
      <c r="J22" s="143" t="n"/>
      <c r="K22" s="145" t="n"/>
      <c r="L22" s="143" t="n"/>
      <c r="M22" s="143" t="n"/>
      <c r="N22" s="145" t="n"/>
      <c r="O22" s="127" t="n"/>
      <c r="P22" s="116">
        <f>IF(AND(I22="",J22=""),"",MAX(N(J22),N(I22)*F22)*(1+N(K22))+N(L22)+N(M22))</f>
        <v/>
      </c>
      <c r="Q22" s="121">
        <f>IF(P22="",0,D22*P22)</f>
        <v/>
      </c>
      <c r="R22" s="121">
        <f>IF(P22="",0,E22*P22*(1-N(N22)))</f>
        <v/>
      </c>
      <c r="S22" s="146" t="n"/>
    </row>
    <row r="23">
      <c r="A23" s="95" t="inlineStr">
        <is>
          <t>L04</t>
        </is>
      </c>
      <c r="B23" s="101" t="inlineStr">
        <is>
          <t>Qatar</t>
        </is>
      </c>
      <c r="C23" s="101" t="inlineStr">
        <is>
          <t>B4  500 to 2,000 kg</t>
        </is>
      </c>
      <c r="D23" s="122">
        <f>Volumes!F37</f>
        <v/>
      </c>
      <c r="E23" s="122">
        <f>Volumes!K37</f>
        <v/>
      </c>
      <c r="F23" s="122">
        <f>Volumes!C51</f>
        <v/>
      </c>
      <c r="G23" s="127" t="n"/>
      <c r="H23" s="144" t="n"/>
      <c r="I23" s="143" t="n"/>
      <c r="J23" s="143" t="n"/>
      <c r="K23" s="145" t="n"/>
      <c r="L23" s="143" t="n"/>
      <c r="M23" s="143" t="n"/>
      <c r="N23" s="145" t="n"/>
      <c r="O23" s="127" t="n"/>
      <c r="P23" s="116">
        <f>IF(AND(I23="",J23=""),"",MAX(N(J23),N(I23)*F23)*(1+N(K23))+N(L23)+N(M23))</f>
        <v/>
      </c>
      <c r="Q23" s="121">
        <f>IF(P23="",0,D23*P23)</f>
        <v/>
      </c>
      <c r="R23" s="121">
        <f>IF(P23="",0,E23*P23*(1-N(N23)))</f>
        <v/>
      </c>
      <c r="S23" s="146" t="n"/>
    </row>
    <row r="24">
      <c r="A24" s="24" t="inlineStr">
        <is>
          <t>L04</t>
        </is>
      </c>
      <c r="B24" s="25" t="inlineStr">
        <is>
          <t>Qatar</t>
        </is>
      </c>
      <c r="C24" s="25" t="inlineStr">
        <is>
          <t>B5  over 2,000 kg</t>
        </is>
      </c>
      <c r="D24" s="26">
        <f>Volumes!G37</f>
        <v/>
      </c>
      <c r="E24" s="26">
        <f>Volumes!L37</f>
        <v/>
      </c>
      <c r="F24" s="26">
        <f>Volumes!C52</f>
        <v/>
      </c>
      <c r="G24" s="147" t="n"/>
      <c r="H24" s="148" t="n"/>
      <c r="I24" s="149" t="n"/>
      <c r="J24" s="149" t="n"/>
      <c r="K24" s="150" t="n"/>
      <c r="L24" s="149" t="n"/>
      <c r="M24" s="149" t="n"/>
      <c r="N24" s="150" t="n"/>
      <c r="O24" s="147" t="n"/>
      <c r="P24" s="31">
        <f>IF(AND(I24="",J24=""),"",MAX(N(J24),N(I24)*F24)*(1+N(K24))+N(L24)+N(M24))</f>
        <v/>
      </c>
      <c r="Q24" s="32">
        <f>IF(P24="",0,D24*P24)</f>
        <v/>
      </c>
      <c r="R24" s="32">
        <f>IF(P24="",0,E24*P24*(1-N(N24)))</f>
        <v/>
      </c>
      <c r="S24" s="146" t="n"/>
    </row>
    <row r="25">
      <c r="A25" s="95" t="inlineStr">
        <is>
          <t>L05</t>
        </is>
      </c>
      <c r="B25" s="101" t="inlineStr">
        <is>
          <t>Türkiye</t>
        </is>
      </c>
      <c r="C25" s="101" t="inlineStr">
        <is>
          <t>B1  0 to 30 kg</t>
        </is>
      </c>
      <c r="D25" s="122">
        <f>Volumes!C38</f>
        <v/>
      </c>
      <c r="E25" s="122">
        <f>Volumes!H38</f>
        <v/>
      </c>
      <c r="F25" s="122">
        <f>Volumes!C48</f>
        <v/>
      </c>
      <c r="G25" s="127" t="n"/>
      <c r="H25" s="144" t="n"/>
      <c r="I25" s="143" t="n"/>
      <c r="J25" s="143" t="n"/>
      <c r="K25" s="145" t="n"/>
      <c r="L25" s="143" t="n"/>
      <c r="M25" s="143" t="n"/>
      <c r="N25" s="145" t="n"/>
      <c r="O25" s="127" t="n"/>
      <c r="P25" s="116">
        <f>IF(AND(I25="",J25=""),"",MAX(N(J25),N(I25)*F25)*(1+N(K25))+N(L25)+N(M25))</f>
        <v/>
      </c>
      <c r="Q25" s="121">
        <f>IF(P25="",0,D25*P25)</f>
        <v/>
      </c>
      <c r="R25" s="121">
        <f>IF(P25="",0,E25*P25*(1-N(N25)))</f>
        <v/>
      </c>
      <c r="S25" s="146" t="n"/>
    </row>
    <row r="26">
      <c r="A26" s="95" t="inlineStr">
        <is>
          <t>L05</t>
        </is>
      </c>
      <c r="B26" s="101" t="inlineStr">
        <is>
          <t>Türkiye</t>
        </is>
      </c>
      <c r="C26" s="101" t="inlineStr">
        <is>
          <t>B2  30 to 100 kg</t>
        </is>
      </c>
      <c r="D26" s="122">
        <f>Volumes!D38</f>
        <v/>
      </c>
      <c r="E26" s="122">
        <f>Volumes!I38</f>
        <v/>
      </c>
      <c r="F26" s="122">
        <f>Volumes!C49</f>
        <v/>
      </c>
      <c r="G26" s="127" t="n"/>
      <c r="H26" s="144" t="n"/>
      <c r="I26" s="143" t="n"/>
      <c r="J26" s="143" t="n"/>
      <c r="K26" s="145" t="n"/>
      <c r="L26" s="143" t="n"/>
      <c r="M26" s="143" t="n"/>
      <c r="N26" s="145" t="n"/>
      <c r="O26" s="127" t="n"/>
      <c r="P26" s="116">
        <f>IF(AND(I26="",J26=""),"",MAX(N(J26),N(I26)*F26)*(1+N(K26))+N(L26)+N(M26))</f>
        <v/>
      </c>
      <c r="Q26" s="121">
        <f>IF(P26="",0,D26*P26)</f>
        <v/>
      </c>
      <c r="R26" s="121">
        <f>IF(P26="",0,E26*P26*(1-N(N26)))</f>
        <v/>
      </c>
      <c r="S26" s="146" t="n"/>
    </row>
    <row r="27">
      <c r="A27" s="95" t="inlineStr">
        <is>
          <t>L05</t>
        </is>
      </c>
      <c r="B27" s="101" t="inlineStr">
        <is>
          <t>Türkiye</t>
        </is>
      </c>
      <c r="C27" s="101" t="inlineStr">
        <is>
          <t>B3  100 to 500 kg</t>
        </is>
      </c>
      <c r="D27" s="122">
        <f>Volumes!E38</f>
        <v/>
      </c>
      <c r="E27" s="122">
        <f>Volumes!J38</f>
        <v/>
      </c>
      <c r="F27" s="122">
        <f>Volumes!C50</f>
        <v/>
      </c>
      <c r="G27" s="127" t="n"/>
      <c r="H27" s="144" t="n"/>
      <c r="I27" s="143" t="n"/>
      <c r="J27" s="143" t="n"/>
      <c r="K27" s="145" t="n"/>
      <c r="L27" s="143" t="n"/>
      <c r="M27" s="143" t="n"/>
      <c r="N27" s="145" t="n"/>
      <c r="O27" s="127" t="n"/>
      <c r="P27" s="116">
        <f>IF(AND(I27="",J27=""),"",MAX(N(J27),N(I27)*F27)*(1+N(K27))+N(L27)+N(M27))</f>
        <v/>
      </c>
      <c r="Q27" s="121">
        <f>IF(P27="",0,D27*P27)</f>
        <v/>
      </c>
      <c r="R27" s="121">
        <f>IF(P27="",0,E27*P27*(1-N(N27)))</f>
        <v/>
      </c>
      <c r="S27" s="146" t="n"/>
    </row>
    <row r="28">
      <c r="A28" s="95" t="inlineStr">
        <is>
          <t>L05</t>
        </is>
      </c>
      <c r="B28" s="101" t="inlineStr">
        <is>
          <t>Türkiye</t>
        </is>
      </c>
      <c r="C28" s="101" t="inlineStr">
        <is>
          <t>B4  500 to 2,000 kg</t>
        </is>
      </c>
      <c r="D28" s="122">
        <f>Volumes!F38</f>
        <v/>
      </c>
      <c r="E28" s="122">
        <f>Volumes!K38</f>
        <v/>
      </c>
      <c r="F28" s="122">
        <f>Volumes!C51</f>
        <v/>
      </c>
      <c r="G28" s="127" t="n"/>
      <c r="H28" s="144" t="n"/>
      <c r="I28" s="143" t="n"/>
      <c r="J28" s="143" t="n"/>
      <c r="K28" s="145" t="n"/>
      <c r="L28" s="143" t="n"/>
      <c r="M28" s="143" t="n"/>
      <c r="N28" s="145" t="n"/>
      <c r="O28" s="127" t="n"/>
      <c r="P28" s="116">
        <f>IF(AND(I28="",J28=""),"",MAX(N(J28),N(I28)*F28)*(1+N(K28))+N(L28)+N(M28))</f>
        <v/>
      </c>
      <c r="Q28" s="121">
        <f>IF(P28="",0,D28*P28)</f>
        <v/>
      </c>
      <c r="R28" s="121">
        <f>IF(P28="",0,E28*P28*(1-N(N28)))</f>
        <v/>
      </c>
      <c r="S28" s="146" t="n"/>
    </row>
    <row r="29">
      <c r="A29" s="24" t="inlineStr">
        <is>
          <t>L05</t>
        </is>
      </c>
      <c r="B29" s="25" t="inlineStr">
        <is>
          <t>Türkiye</t>
        </is>
      </c>
      <c r="C29" s="25" t="inlineStr">
        <is>
          <t>B5  over 2,000 kg</t>
        </is>
      </c>
      <c r="D29" s="26">
        <f>Volumes!G38</f>
        <v/>
      </c>
      <c r="E29" s="26">
        <f>Volumes!L38</f>
        <v/>
      </c>
      <c r="F29" s="26">
        <f>Volumes!C52</f>
        <v/>
      </c>
      <c r="G29" s="147" t="n"/>
      <c r="H29" s="148" t="n"/>
      <c r="I29" s="149" t="n"/>
      <c r="J29" s="149" t="n"/>
      <c r="K29" s="150" t="n"/>
      <c r="L29" s="149" t="n"/>
      <c r="M29" s="149" t="n"/>
      <c r="N29" s="150" t="n"/>
      <c r="O29" s="147" t="n"/>
      <c r="P29" s="31">
        <f>IF(AND(I29="",J29=""),"",MAX(N(J29),N(I29)*F29)*(1+N(K29))+N(L29)+N(M29))</f>
        <v/>
      </c>
      <c r="Q29" s="32">
        <f>IF(P29="",0,D29*P29)</f>
        <v/>
      </c>
      <c r="R29" s="32">
        <f>IF(P29="",0,E29*P29*(1-N(N29)))</f>
        <v/>
      </c>
      <c r="S29" s="146" t="n"/>
    </row>
    <row r="30">
      <c r="A30" s="95" t="inlineStr">
        <is>
          <t>L06</t>
        </is>
      </c>
      <c r="B30" s="101" t="inlineStr">
        <is>
          <t>Morocco</t>
        </is>
      </c>
      <c r="C30" s="101" t="inlineStr">
        <is>
          <t>B1  0 to 30 kg</t>
        </is>
      </c>
      <c r="D30" s="122">
        <f>Volumes!C39</f>
        <v/>
      </c>
      <c r="E30" s="122">
        <f>Volumes!H39</f>
        <v/>
      </c>
      <c r="F30" s="122">
        <f>Volumes!C48</f>
        <v/>
      </c>
      <c r="G30" s="127" t="n"/>
      <c r="H30" s="144" t="n"/>
      <c r="I30" s="143" t="n"/>
      <c r="J30" s="143" t="n"/>
      <c r="K30" s="145" t="n"/>
      <c r="L30" s="143" t="n"/>
      <c r="M30" s="143" t="n"/>
      <c r="N30" s="145" t="n"/>
      <c r="O30" s="127" t="n"/>
      <c r="P30" s="116">
        <f>IF(AND(I30="",J30=""),"",MAX(N(J30),N(I30)*F30)*(1+N(K30))+N(L30)+N(M30))</f>
        <v/>
      </c>
      <c r="Q30" s="121">
        <f>IF(P30="",0,D30*P30)</f>
        <v/>
      </c>
      <c r="R30" s="121">
        <f>IF(P30="",0,E30*P30*(1-N(N30)))</f>
        <v/>
      </c>
      <c r="S30" s="146" t="n"/>
    </row>
    <row r="31">
      <c r="A31" s="95" t="inlineStr">
        <is>
          <t>L06</t>
        </is>
      </c>
      <c r="B31" s="101" t="inlineStr">
        <is>
          <t>Morocco</t>
        </is>
      </c>
      <c r="C31" s="101" t="inlineStr">
        <is>
          <t>B2  30 to 100 kg</t>
        </is>
      </c>
      <c r="D31" s="122">
        <f>Volumes!D39</f>
        <v/>
      </c>
      <c r="E31" s="122">
        <f>Volumes!I39</f>
        <v/>
      </c>
      <c r="F31" s="122">
        <f>Volumes!C49</f>
        <v/>
      </c>
      <c r="G31" s="127" t="n"/>
      <c r="H31" s="144" t="n"/>
      <c r="I31" s="143" t="n"/>
      <c r="J31" s="143" t="n"/>
      <c r="K31" s="145" t="n"/>
      <c r="L31" s="143" t="n"/>
      <c r="M31" s="143" t="n"/>
      <c r="N31" s="145" t="n"/>
      <c r="O31" s="127" t="n"/>
      <c r="P31" s="116">
        <f>IF(AND(I31="",J31=""),"",MAX(N(J31),N(I31)*F31)*(1+N(K31))+N(L31)+N(M31))</f>
        <v/>
      </c>
      <c r="Q31" s="121">
        <f>IF(P31="",0,D31*P31)</f>
        <v/>
      </c>
      <c r="R31" s="121">
        <f>IF(P31="",0,E31*P31*(1-N(N31)))</f>
        <v/>
      </c>
      <c r="S31" s="146" t="n"/>
    </row>
    <row r="32">
      <c r="A32" s="95" t="inlineStr">
        <is>
          <t>L06</t>
        </is>
      </c>
      <c r="B32" s="101" t="inlineStr">
        <is>
          <t>Morocco</t>
        </is>
      </c>
      <c r="C32" s="101" t="inlineStr">
        <is>
          <t>B3  100 to 500 kg</t>
        </is>
      </c>
      <c r="D32" s="122">
        <f>Volumes!E39</f>
        <v/>
      </c>
      <c r="E32" s="122">
        <f>Volumes!J39</f>
        <v/>
      </c>
      <c r="F32" s="122">
        <f>Volumes!C50</f>
        <v/>
      </c>
      <c r="G32" s="127" t="n"/>
      <c r="H32" s="144" t="n"/>
      <c r="I32" s="143" t="n"/>
      <c r="J32" s="143" t="n"/>
      <c r="K32" s="145" t="n"/>
      <c r="L32" s="143" t="n"/>
      <c r="M32" s="143" t="n"/>
      <c r="N32" s="145" t="n"/>
      <c r="O32" s="127" t="n"/>
      <c r="P32" s="116">
        <f>IF(AND(I32="",J32=""),"",MAX(N(J32),N(I32)*F32)*(1+N(K32))+N(L32)+N(M32))</f>
        <v/>
      </c>
      <c r="Q32" s="121">
        <f>IF(P32="",0,D32*P32)</f>
        <v/>
      </c>
      <c r="R32" s="121">
        <f>IF(P32="",0,E32*P32*(1-N(N32)))</f>
        <v/>
      </c>
      <c r="S32" s="146" t="n"/>
    </row>
    <row r="33">
      <c r="A33" s="95" t="inlineStr">
        <is>
          <t>L06</t>
        </is>
      </c>
      <c r="B33" s="101" t="inlineStr">
        <is>
          <t>Morocco</t>
        </is>
      </c>
      <c r="C33" s="101" t="inlineStr">
        <is>
          <t>B4  500 to 2,000 kg</t>
        </is>
      </c>
      <c r="D33" s="122">
        <f>Volumes!F39</f>
        <v/>
      </c>
      <c r="E33" s="122">
        <f>Volumes!K39</f>
        <v/>
      </c>
      <c r="F33" s="122">
        <f>Volumes!C51</f>
        <v/>
      </c>
      <c r="G33" s="127" t="n"/>
      <c r="H33" s="144" t="n"/>
      <c r="I33" s="143" t="n"/>
      <c r="J33" s="143" t="n"/>
      <c r="K33" s="145" t="n"/>
      <c r="L33" s="143" t="n"/>
      <c r="M33" s="143" t="n"/>
      <c r="N33" s="145" t="n"/>
      <c r="O33" s="127" t="n"/>
      <c r="P33" s="116">
        <f>IF(AND(I33="",J33=""),"",MAX(N(J33),N(I33)*F33)*(1+N(K33))+N(L33)+N(M33))</f>
        <v/>
      </c>
      <c r="Q33" s="121">
        <f>IF(P33="",0,D33*P33)</f>
        <v/>
      </c>
      <c r="R33" s="121">
        <f>IF(P33="",0,E33*P33*(1-N(N33)))</f>
        <v/>
      </c>
      <c r="S33" s="146" t="n"/>
    </row>
    <row r="34">
      <c r="A34" s="24" t="inlineStr">
        <is>
          <t>L06</t>
        </is>
      </c>
      <c r="B34" s="25" t="inlineStr">
        <is>
          <t>Morocco</t>
        </is>
      </c>
      <c r="C34" s="25" t="inlineStr">
        <is>
          <t>B5  over 2,000 kg</t>
        </is>
      </c>
      <c r="D34" s="26">
        <f>Volumes!G39</f>
        <v/>
      </c>
      <c r="E34" s="26">
        <f>Volumes!L39</f>
        <v/>
      </c>
      <c r="F34" s="26">
        <f>Volumes!C52</f>
        <v/>
      </c>
      <c r="G34" s="147" t="n"/>
      <c r="H34" s="148" t="n"/>
      <c r="I34" s="149" t="n"/>
      <c r="J34" s="149" t="n"/>
      <c r="K34" s="150" t="n"/>
      <c r="L34" s="149" t="n"/>
      <c r="M34" s="149" t="n"/>
      <c r="N34" s="150" t="n"/>
      <c r="O34" s="147" t="n"/>
      <c r="P34" s="31">
        <f>IF(AND(I34="",J34=""),"",MAX(N(J34),N(I34)*F34)*(1+N(K34))+N(L34)+N(M34))</f>
        <v/>
      </c>
      <c r="Q34" s="32">
        <f>IF(P34="",0,D34*P34)</f>
        <v/>
      </c>
      <c r="R34" s="32">
        <f>IF(P34="",0,E34*P34*(1-N(N34)))</f>
        <v/>
      </c>
      <c r="S34" s="146" t="n"/>
    </row>
    <row r="35">
      <c r="A35" s="95" t="inlineStr">
        <is>
          <t>L07</t>
        </is>
      </c>
      <c r="B35" s="101" t="inlineStr">
        <is>
          <t>Algeria</t>
        </is>
      </c>
      <c r="C35" s="101" t="inlineStr">
        <is>
          <t>B1  0 to 30 kg</t>
        </is>
      </c>
      <c r="D35" s="122">
        <f>Volumes!C40</f>
        <v/>
      </c>
      <c r="E35" s="122">
        <f>Volumes!H40</f>
        <v/>
      </c>
      <c r="F35" s="122">
        <f>Volumes!C48</f>
        <v/>
      </c>
      <c r="G35" s="127" t="n"/>
      <c r="H35" s="144" t="n"/>
      <c r="I35" s="143" t="n"/>
      <c r="J35" s="143" t="n"/>
      <c r="K35" s="145" t="n"/>
      <c r="L35" s="143" t="n"/>
      <c r="M35" s="143" t="n"/>
      <c r="N35" s="145" t="n"/>
      <c r="O35" s="127" t="n"/>
      <c r="P35" s="116">
        <f>IF(AND(I35="",J35=""),"",MAX(N(J35),N(I35)*F35)*(1+N(K35))+N(L35)+N(M35))</f>
        <v/>
      </c>
      <c r="Q35" s="121">
        <f>IF(P35="",0,D35*P35)</f>
        <v/>
      </c>
      <c r="R35" s="121">
        <f>IF(P35="",0,E35*P35*(1-N(N35)))</f>
        <v/>
      </c>
      <c r="S35" s="146" t="n"/>
    </row>
    <row r="36">
      <c r="A36" s="95" t="inlineStr">
        <is>
          <t>L07</t>
        </is>
      </c>
      <c r="B36" s="101" t="inlineStr">
        <is>
          <t>Algeria</t>
        </is>
      </c>
      <c r="C36" s="101" t="inlineStr">
        <is>
          <t>B2  30 to 100 kg</t>
        </is>
      </c>
      <c r="D36" s="122">
        <f>Volumes!D40</f>
        <v/>
      </c>
      <c r="E36" s="122">
        <f>Volumes!I40</f>
        <v/>
      </c>
      <c r="F36" s="122">
        <f>Volumes!C49</f>
        <v/>
      </c>
      <c r="G36" s="127" t="n"/>
      <c r="H36" s="144" t="n"/>
      <c r="I36" s="143" t="n"/>
      <c r="J36" s="143" t="n"/>
      <c r="K36" s="145" t="n"/>
      <c r="L36" s="143" t="n"/>
      <c r="M36" s="143" t="n"/>
      <c r="N36" s="145" t="n"/>
      <c r="O36" s="127" t="n"/>
      <c r="P36" s="116">
        <f>IF(AND(I36="",J36=""),"",MAX(N(J36),N(I36)*F36)*(1+N(K36))+N(L36)+N(M36))</f>
        <v/>
      </c>
      <c r="Q36" s="121">
        <f>IF(P36="",0,D36*P36)</f>
        <v/>
      </c>
      <c r="R36" s="121">
        <f>IF(P36="",0,E36*P36*(1-N(N36)))</f>
        <v/>
      </c>
      <c r="S36" s="146" t="n"/>
    </row>
    <row r="37">
      <c r="A37" s="95" t="inlineStr">
        <is>
          <t>L07</t>
        </is>
      </c>
      <c r="B37" s="101" t="inlineStr">
        <is>
          <t>Algeria</t>
        </is>
      </c>
      <c r="C37" s="101" t="inlineStr">
        <is>
          <t>B3  100 to 500 kg</t>
        </is>
      </c>
      <c r="D37" s="122">
        <f>Volumes!E40</f>
        <v/>
      </c>
      <c r="E37" s="122">
        <f>Volumes!J40</f>
        <v/>
      </c>
      <c r="F37" s="122">
        <f>Volumes!C50</f>
        <v/>
      </c>
      <c r="G37" s="127" t="n"/>
      <c r="H37" s="144" t="n"/>
      <c r="I37" s="143" t="n"/>
      <c r="J37" s="143" t="n"/>
      <c r="K37" s="145" t="n"/>
      <c r="L37" s="143" t="n"/>
      <c r="M37" s="143" t="n"/>
      <c r="N37" s="145" t="n"/>
      <c r="O37" s="127" t="n"/>
      <c r="P37" s="116">
        <f>IF(AND(I37="",J37=""),"",MAX(N(J37),N(I37)*F37)*(1+N(K37))+N(L37)+N(M37))</f>
        <v/>
      </c>
      <c r="Q37" s="121">
        <f>IF(P37="",0,D37*P37)</f>
        <v/>
      </c>
      <c r="R37" s="121">
        <f>IF(P37="",0,E37*P37*(1-N(N37)))</f>
        <v/>
      </c>
      <c r="S37" s="146" t="n"/>
    </row>
    <row r="38">
      <c r="A38" s="95" t="inlineStr">
        <is>
          <t>L07</t>
        </is>
      </c>
      <c r="B38" s="101" t="inlineStr">
        <is>
          <t>Algeria</t>
        </is>
      </c>
      <c r="C38" s="101" t="inlineStr">
        <is>
          <t>B4  500 to 2,000 kg</t>
        </is>
      </c>
      <c r="D38" s="122">
        <f>Volumes!F40</f>
        <v/>
      </c>
      <c r="E38" s="122">
        <f>Volumes!K40</f>
        <v/>
      </c>
      <c r="F38" s="122">
        <f>Volumes!C51</f>
        <v/>
      </c>
      <c r="G38" s="127" t="n"/>
      <c r="H38" s="144" t="n"/>
      <c r="I38" s="143" t="n"/>
      <c r="J38" s="143" t="n"/>
      <c r="K38" s="145" t="n"/>
      <c r="L38" s="143" t="n"/>
      <c r="M38" s="143" t="n"/>
      <c r="N38" s="145" t="n"/>
      <c r="O38" s="127" t="n"/>
      <c r="P38" s="116">
        <f>IF(AND(I38="",J38=""),"",MAX(N(J38),N(I38)*F38)*(1+N(K38))+N(L38)+N(M38))</f>
        <v/>
      </c>
      <c r="Q38" s="121">
        <f>IF(P38="",0,D38*P38)</f>
        <v/>
      </c>
      <c r="R38" s="121">
        <f>IF(P38="",0,E38*P38*(1-N(N38)))</f>
        <v/>
      </c>
      <c r="S38" s="146" t="n"/>
    </row>
    <row r="39">
      <c r="A39" s="24" t="inlineStr">
        <is>
          <t>L07</t>
        </is>
      </c>
      <c r="B39" s="25" t="inlineStr">
        <is>
          <t>Algeria</t>
        </is>
      </c>
      <c r="C39" s="25" t="inlineStr">
        <is>
          <t>B5  over 2,000 kg</t>
        </is>
      </c>
      <c r="D39" s="26">
        <f>Volumes!G40</f>
        <v/>
      </c>
      <c r="E39" s="26">
        <f>Volumes!L40</f>
        <v/>
      </c>
      <c r="F39" s="26">
        <f>Volumes!C52</f>
        <v/>
      </c>
      <c r="G39" s="147" t="n"/>
      <c r="H39" s="148" t="n"/>
      <c r="I39" s="149" t="n"/>
      <c r="J39" s="149" t="n"/>
      <c r="K39" s="150" t="n"/>
      <c r="L39" s="149" t="n"/>
      <c r="M39" s="149" t="n"/>
      <c r="N39" s="150" t="n"/>
      <c r="O39" s="147" t="n"/>
      <c r="P39" s="31">
        <f>IF(AND(I39="",J39=""),"",MAX(N(J39),N(I39)*F39)*(1+N(K39))+N(L39)+N(M39))</f>
        <v/>
      </c>
      <c r="Q39" s="32">
        <f>IF(P39="",0,D39*P39)</f>
        <v/>
      </c>
      <c r="R39" s="32">
        <f>IF(P39="",0,E39*P39*(1-N(N39)))</f>
        <v/>
      </c>
      <c r="S39" s="146" t="n"/>
    </row>
    <row r="40">
      <c r="A40" s="95" t="inlineStr">
        <is>
          <t>L08</t>
        </is>
      </c>
      <c r="B40" s="101" t="inlineStr">
        <is>
          <t>Egypt</t>
        </is>
      </c>
      <c r="C40" s="101" t="inlineStr">
        <is>
          <t>B1  0 to 30 kg</t>
        </is>
      </c>
      <c r="D40" s="122">
        <f>Volumes!C41</f>
        <v/>
      </c>
      <c r="E40" s="122">
        <f>Volumes!H41</f>
        <v/>
      </c>
      <c r="F40" s="122">
        <f>Volumes!C48</f>
        <v/>
      </c>
      <c r="G40" s="127" t="n"/>
      <c r="H40" s="144" t="n"/>
      <c r="I40" s="143" t="n"/>
      <c r="J40" s="143" t="n"/>
      <c r="K40" s="145" t="n"/>
      <c r="L40" s="143" t="n"/>
      <c r="M40" s="143" t="n"/>
      <c r="N40" s="145" t="n"/>
      <c r="O40" s="127" t="n"/>
      <c r="P40" s="116">
        <f>IF(AND(I40="",J40=""),"",MAX(N(J40),N(I40)*F40)*(1+N(K40))+N(L40)+N(M40))</f>
        <v/>
      </c>
      <c r="Q40" s="121">
        <f>IF(P40="",0,D40*P40)</f>
        <v/>
      </c>
      <c r="R40" s="121">
        <f>IF(P40="",0,E40*P40*(1-N(N40)))</f>
        <v/>
      </c>
      <c r="S40" s="146" t="n"/>
    </row>
    <row r="41">
      <c r="A41" s="95" t="inlineStr">
        <is>
          <t>L08</t>
        </is>
      </c>
      <c r="B41" s="101" t="inlineStr">
        <is>
          <t>Egypt</t>
        </is>
      </c>
      <c r="C41" s="101" t="inlineStr">
        <is>
          <t>B2  30 to 100 kg</t>
        </is>
      </c>
      <c r="D41" s="122">
        <f>Volumes!D41</f>
        <v/>
      </c>
      <c r="E41" s="122">
        <f>Volumes!I41</f>
        <v/>
      </c>
      <c r="F41" s="122">
        <f>Volumes!C49</f>
        <v/>
      </c>
      <c r="G41" s="127" t="n"/>
      <c r="H41" s="144" t="n"/>
      <c r="I41" s="143" t="n"/>
      <c r="J41" s="143" t="n"/>
      <c r="K41" s="145" t="n"/>
      <c r="L41" s="143" t="n"/>
      <c r="M41" s="143" t="n"/>
      <c r="N41" s="145" t="n"/>
      <c r="O41" s="127" t="n"/>
      <c r="P41" s="116">
        <f>IF(AND(I41="",J41=""),"",MAX(N(J41),N(I41)*F41)*(1+N(K41))+N(L41)+N(M41))</f>
        <v/>
      </c>
      <c r="Q41" s="121">
        <f>IF(P41="",0,D41*P41)</f>
        <v/>
      </c>
      <c r="R41" s="121">
        <f>IF(P41="",0,E41*P41*(1-N(N41)))</f>
        <v/>
      </c>
      <c r="S41" s="146" t="n"/>
    </row>
    <row r="42">
      <c r="A42" s="95" t="inlineStr">
        <is>
          <t>L08</t>
        </is>
      </c>
      <c r="B42" s="101" t="inlineStr">
        <is>
          <t>Egypt</t>
        </is>
      </c>
      <c r="C42" s="101" t="inlineStr">
        <is>
          <t>B3  100 to 500 kg</t>
        </is>
      </c>
      <c r="D42" s="122">
        <f>Volumes!E41</f>
        <v/>
      </c>
      <c r="E42" s="122">
        <f>Volumes!J41</f>
        <v/>
      </c>
      <c r="F42" s="122">
        <f>Volumes!C50</f>
        <v/>
      </c>
      <c r="G42" s="127" t="n"/>
      <c r="H42" s="144" t="n"/>
      <c r="I42" s="143" t="n"/>
      <c r="J42" s="143" t="n"/>
      <c r="K42" s="145" t="n"/>
      <c r="L42" s="143" t="n"/>
      <c r="M42" s="143" t="n"/>
      <c r="N42" s="145" t="n"/>
      <c r="O42" s="127" t="n"/>
      <c r="P42" s="116">
        <f>IF(AND(I42="",J42=""),"",MAX(N(J42),N(I42)*F42)*(1+N(K42))+N(L42)+N(M42))</f>
        <v/>
      </c>
      <c r="Q42" s="121">
        <f>IF(P42="",0,D42*P42)</f>
        <v/>
      </c>
      <c r="R42" s="121">
        <f>IF(P42="",0,E42*P42*(1-N(N42)))</f>
        <v/>
      </c>
      <c r="S42" s="146" t="n"/>
    </row>
    <row r="43">
      <c r="A43" s="95" t="inlineStr">
        <is>
          <t>L08</t>
        </is>
      </c>
      <c r="B43" s="101" t="inlineStr">
        <is>
          <t>Egypt</t>
        </is>
      </c>
      <c r="C43" s="101" t="inlineStr">
        <is>
          <t>B4  500 to 2,000 kg</t>
        </is>
      </c>
      <c r="D43" s="122">
        <f>Volumes!F41</f>
        <v/>
      </c>
      <c r="E43" s="122">
        <f>Volumes!K41</f>
        <v/>
      </c>
      <c r="F43" s="122">
        <f>Volumes!C51</f>
        <v/>
      </c>
      <c r="G43" s="127" t="n"/>
      <c r="H43" s="144" t="n"/>
      <c r="I43" s="143" t="n"/>
      <c r="J43" s="143" t="n"/>
      <c r="K43" s="145" t="n"/>
      <c r="L43" s="143" t="n"/>
      <c r="M43" s="143" t="n"/>
      <c r="N43" s="145" t="n"/>
      <c r="O43" s="127" t="n"/>
      <c r="P43" s="116">
        <f>IF(AND(I43="",J43=""),"",MAX(N(J43),N(I43)*F43)*(1+N(K43))+N(L43)+N(M43))</f>
        <v/>
      </c>
      <c r="Q43" s="121">
        <f>IF(P43="",0,D43*P43)</f>
        <v/>
      </c>
      <c r="R43" s="121">
        <f>IF(P43="",0,E43*P43*(1-N(N43)))</f>
        <v/>
      </c>
      <c r="S43" s="146" t="n"/>
    </row>
    <row r="44">
      <c r="A44" s="24" t="inlineStr">
        <is>
          <t>L08</t>
        </is>
      </c>
      <c r="B44" s="25" t="inlineStr">
        <is>
          <t>Egypt</t>
        </is>
      </c>
      <c r="C44" s="25" t="inlineStr">
        <is>
          <t>B5  over 2,000 kg</t>
        </is>
      </c>
      <c r="D44" s="26">
        <f>Volumes!G41</f>
        <v/>
      </c>
      <c r="E44" s="26">
        <f>Volumes!L41</f>
        <v/>
      </c>
      <c r="F44" s="26">
        <f>Volumes!C52</f>
        <v/>
      </c>
      <c r="G44" s="147" t="n"/>
      <c r="H44" s="148" t="n"/>
      <c r="I44" s="149" t="n"/>
      <c r="J44" s="149" t="n"/>
      <c r="K44" s="150" t="n"/>
      <c r="L44" s="149" t="n"/>
      <c r="M44" s="149" t="n"/>
      <c r="N44" s="150" t="n"/>
      <c r="O44" s="147" t="n"/>
      <c r="P44" s="31">
        <f>IF(AND(I44="",J44=""),"",MAX(N(J44),N(I44)*F44)*(1+N(K44))+N(L44)+N(M44))</f>
        <v/>
      </c>
      <c r="Q44" s="32">
        <f>IF(P44="",0,D44*P44)</f>
        <v/>
      </c>
      <c r="R44" s="32">
        <f>IF(P44="",0,E44*P44*(1-N(N44)))</f>
        <v/>
      </c>
      <c r="S44" s="146" t="n"/>
    </row>
    <row r="45">
      <c r="A45" s="95" t="inlineStr">
        <is>
          <t>L09</t>
        </is>
      </c>
      <c r="B45" s="101" t="inlineStr">
        <is>
          <t>Tunisia</t>
        </is>
      </c>
      <c r="C45" s="101" t="inlineStr">
        <is>
          <t>B1  0 to 30 kg</t>
        </is>
      </c>
      <c r="D45" s="122">
        <f>Volumes!C42</f>
        <v/>
      </c>
      <c r="E45" s="122">
        <f>Volumes!H42</f>
        <v/>
      </c>
      <c r="F45" s="122">
        <f>Volumes!C48</f>
        <v/>
      </c>
      <c r="G45" s="127" t="n"/>
      <c r="H45" s="144" t="n"/>
      <c r="I45" s="143" t="n"/>
      <c r="J45" s="143" t="n"/>
      <c r="K45" s="145" t="n"/>
      <c r="L45" s="143" t="n"/>
      <c r="M45" s="143" t="n"/>
      <c r="N45" s="145" t="n"/>
      <c r="O45" s="127" t="n"/>
      <c r="P45" s="116">
        <f>IF(AND(I45="",J45=""),"",MAX(N(J45),N(I45)*F45)*(1+N(K45))+N(L45)+N(M45))</f>
        <v/>
      </c>
      <c r="Q45" s="121">
        <f>IF(P45="",0,D45*P45)</f>
        <v/>
      </c>
      <c r="R45" s="121">
        <f>IF(P45="",0,E45*P45*(1-N(N45)))</f>
        <v/>
      </c>
      <c r="S45" s="146" t="n"/>
    </row>
    <row r="46">
      <c r="A46" s="95" t="inlineStr">
        <is>
          <t>L09</t>
        </is>
      </c>
      <c r="B46" s="101" t="inlineStr">
        <is>
          <t>Tunisia</t>
        </is>
      </c>
      <c r="C46" s="101" t="inlineStr">
        <is>
          <t>B2  30 to 100 kg</t>
        </is>
      </c>
      <c r="D46" s="122">
        <f>Volumes!D42</f>
        <v/>
      </c>
      <c r="E46" s="122">
        <f>Volumes!I42</f>
        <v/>
      </c>
      <c r="F46" s="122">
        <f>Volumes!C49</f>
        <v/>
      </c>
      <c r="G46" s="127" t="n"/>
      <c r="H46" s="144" t="n"/>
      <c r="I46" s="143" t="n"/>
      <c r="J46" s="143" t="n"/>
      <c r="K46" s="145" t="n"/>
      <c r="L46" s="143" t="n"/>
      <c r="M46" s="143" t="n"/>
      <c r="N46" s="145" t="n"/>
      <c r="O46" s="127" t="n"/>
      <c r="P46" s="116">
        <f>IF(AND(I46="",J46=""),"",MAX(N(J46),N(I46)*F46)*(1+N(K46))+N(L46)+N(M46))</f>
        <v/>
      </c>
      <c r="Q46" s="121">
        <f>IF(P46="",0,D46*P46)</f>
        <v/>
      </c>
      <c r="R46" s="121">
        <f>IF(P46="",0,E46*P46*(1-N(N46)))</f>
        <v/>
      </c>
      <c r="S46" s="146" t="n"/>
    </row>
    <row r="47">
      <c r="A47" s="95" t="inlineStr">
        <is>
          <t>L09</t>
        </is>
      </c>
      <c r="B47" s="101" t="inlineStr">
        <is>
          <t>Tunisia</t>
        </is>
      </c>
      <c r="C47" s="101" t="inlineStr">
        <is>
          <t>B3  100 to 500 kg</t>
        </is>
      </c>
      <c r="D47" s="122">
        <f>Volumes!E42</f>
        <v/>
      </c>
      <c r="E47" s="122">
        <f>Volumes!J42</f>
        <v/>
      </c>
      <c r="F47" s="122">
        <f>Volumes!C50</f>
        <v/>
      </c>
      <c r="G47" s="127" t="n"/>
      <c r="H47" s="144" t="n"/>
      <c r="I47" s="143" t="n"/>
      <c r="J47" s="143" t="n"/>
      <c r="K47" s="145" t="n"/>
      <c r="L47" s="143" t="n"/>
      <c r="M47" s="143" t="n"/>
      <c r="N47" s="145" t="n"/>
      <c r="O47" s="127" t="n"/>
      <c r="P47" s="116">
        <f>IF(AND(I47="",J47=""),"",MAX(N(J47),N(I47)*F47)*(1+N(K47))+N(L47)+N(M47))</f>
        <v/>
      </c>
      <c r="Q47" s="121">
        <f>IF(P47="",0,D47*P47)</f>
        <v/>
      </c>
      <c r="R47" s="121">
        <f>IF(P47="",0,E47*P47*(1-N(N47)))</f>
        <v/>
      </c>
      <c r="S47" s="146" t="n"/>
    </row>
    <row r="48">
      <c r="A48" s="95" t="inlineStr">
        <is>
          <t>L09</t>
        </is>
      </c>
      <c r="B48" s="101" t="inlineStr">
        <is>
          <t>Tunisia</t>
        </is>
      </c>
      <c r="C48" s="101" t="inlineStr">
        <is>
          <t>B4  500 to 2,000 kg</t>
        </is>
      </c>
      <c r="D48" s="122">
        <f>Volumes!F42</f>
        <v/>
      </c>
      <c r="E48" s="122">
        <f>Volumes!K42</f>
        <v/>
      </c>
      <c r="F48" s="122">
        <f>Volumes!C51</f>
        <v/>
      </c>
      <c r="G48" s="127" t="n"/>
      <c r="H48" s="144" t="n"/>
      <c r="I48" s="143" t="n"/>
      <c r="J48" s="143" t="n"/>
      <c r="K48" s="145" t="n"/>
      <c r="L48" s="143" t="n"/>
      <c r="M48" s="143" t="n"/>
      <c r="N48" s="145" t="n"/>
      <c r="O48" s="127" t="n"/>
      <c r="P48" s="116">
        <f>IF(AND(I48="",J48=""),"",MAX(N(J48),N(I48)*F48)*(1+N(K48))+N(L48)+N(M48))</f>
        <v/>
      </c>
      <c r="Q48" s="121">
        <f>IF(P48="",0,D48*P48)</f>
        <v/>
      </c>
      <c r="R48" s="121">
        <f>IF(P48="",0,E48*P48*(1-N(N48)))</f>
        <v/>
      </c>
      <c r="S48" s="146" t="n"/>
    </row>
    <row r="49">
      <c r="A49" s="24" t="inlineStr">
        <is>
          <t>L09</t>
        </is>
      </c>
      <c r="B49" s="25" t="inlineStr">
        <is>
          <t>Tunisia</t>
        </is>
      </c>
      <c r="C49" s="25" t="inlineStr">
        <is>
          <t>B5  over 2,000 kg</t>
        </is>
      </c>
      <c r="D49" s="26">
        <f>Volumes!G42</f>
        <v/>
      </c>
      <c r="E49" s="26">
        <f>Volumes!L42</f>
        <v/>
      </c>
      <c r="F49" s="26">
        <f>Volumes!C52</f>
        <v/>
      </c>
      <c r="G49" s="147" t="n"/>
      <c r="H49" s="148" t="n"/>
      <c r="I49" s="149" t="n"/>
      <c r="J49" s="149" t="n"/>
      <c r="K49" s="150" t="n"/>
      <c r="L49" s="149" t="n"/>
      <c r="M49" s="149" t="n"/>
      <c r="N49" s="150" t="n"/>
      <c r="O49" s="147" t="n"/>
      <c r="P49" s="31">
        <f>IF(AND(I49="",J49=""),"",MAX(N(J49),N(I49)*F49)*(1+N(K49))+N(L49)+N(M49))</f>
        <v/>
      </c>
      <c r="Q49" s="32">
        <f>IF(P49="",0,D49*P49)</f>
        <v/>
      </c>
      <c r="R49" s="32">
        <f>IF(P49="",0,E49*P49*(1-N(N49)))</f>
        <v/>
      </c>
      <c r="S49" s="146" t="n"/>
    </row>
    <row r="50">
      <c r="A50" s="96" t="inlineStr">
        <is>
          <t>Total</t>
        </is>
      </c>
      <c r="B50" s="118" t="inlineStr"/>
      <c r="C50" s="118" t="inlineStr"/>
      <c r="D50" s="124">
        <f>SUM(D5:D49)</f>
        <v/>
      </c>
      <c r="E50" s="124">
        <f>SUM(E5:E49)</f>
        <v/>
      </c>
      <c r="F50" s="118" t="inlineStr"/>
      <c r="G50" s="118" t="inlineStr"/>
      <c r="H50" s="118" t="inlineStr"/>
      <c r="I50" s="118" t="inlineStr"/>
      <c r="J50" s="118" t="inlineStr"/>
      <c r="K50" s="118" t="inlineStr"/>
      <c r="L50" s="118" t="inlineStr"/>
      <c r="M50" s="118" t="inlineStr"/>
      <c r="N50" s="118" t="inlineStr"/>
      <c r="O50" s="118" t="inlineStr"/>
      <c r="P50" s="118" t="inlineStr"/>
      <c r="Q50" s="119">
        <f>SUM(Q5:Q49)</f>
        <v/>
      </c>
      <c r="R50" s="119">
        <f>SUM(R5:R49)</f>
        <v/>
      </c>
      <c r="S50" s="151" t="inlineStr"/>
    </row>
    <row r="51">
      <c r="A51" s="98" t="inlineStr">
        <is>
          <t>Grey rows have no expected shipments. A rate is still welcome.</t>
        </is>
      </c>
    </row>
  </sheetData>
  <sheetProtection selectLockedCells="0" selectUnlockedCells="0" sheet="1" objects="0" insertRows="1" insertHyperlinks="1" autoFilter="0" scenarios="0" formatColumns="0" deleteColumns="1" insertColumns="1" pivotTables="1" deleteRows="1" formatCells="1" formatRows="0" sort="0"/>
  <conditionalFormatting sqref="A5:F49">
    <cfRule type="expression" priority="1" dxfId="0">
      <formula>AND($D5=0,$E5=0)</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2E75B6"/>
    <outlinePr summaryBelow="1" summaryRight="1"/>
    <pageSetUpPr fitToPage="1"/>
  </sheetPr>
  <dimension ref="A1:U14"/>
  <sheetViews>
    <sheetView showGridLines="0" workbookViewId="0">
      <selection activeCell="A1" sqref="A1"/>
    </sheetView>
  </sheetViews>
  <sheetFormatPr baseColWidth="8" defaultRowHeight="15"/>
  <cols>
    <col width="7" customWidth="1" min="1" max="1"/>
    <col width="20" customWidth="1" min="2" max="2"/>
    <col width="11" customWidth="1" min="3" max="3"/>
    <col width="12" customWidth="1" min="4" max="4"/>
    <col width="13" customWidth="1" min="5" max="5"/>
    <col width="11" customWidth="1" min="6" max="6"/>
    <col width="12" customWidth="1" min="7" max="7"/>
    <col width="11" customWidth="1" min="8" max="8"/>
    <col width="12" customWidth="1" min="9" max="9"/>
    <col width="13" customWidth="1" min="10" max="10"/>
    <col width="11" customWidth="1" min="11" max="11"/>
    <col width="12" customWidth="1" min="12" max="12"/>
    <col width="12" customWidth="1" min="13" max="13"/>
    <col width="11" customWidth="1" min="14" max="14"/>
    <col width="11" customWidth="1" min="15" max="15"/>
    <col width="14" customWidth="1" min="16" max="16"/>
    <col width="14" customWidth="1" min="17" max="17"/>
    <col width="3" customWidth="1" min="18" max="18"/>
    <col width="40" customWidth="1" min="19" max="19"/>
    <col width="14" customWidth="1" min="20" max="20"/>
    <col width="14" customWidth="1" min="21" max="21"/>
  </cols>
  <sheetData>
    <row r="1">
      <c r="A1" s="99" t="inlineStr">
        <is>
          <t>Cost overview (calculates from the Rate Card)</t>
        </is>
      </c>
    </row>
    <row r="2">
      <c r="A2" s="98" t="inlineStr">
        <is>
          <t>EUR excl. VAT. Transit time is weighted by Scenario B shipments.</t>
        </is>
      </c>
    </row>
    <row r="3"/>
    <row r="4" ht="46" customHeight="1">
      <c r="A4" s="10" t="inlineStr">
        <is>
          <t>Lane</t>
        </is>
      </c>
      <c r="B4" s="10" t="inlineStr">
        <is>
          <t>Destination</t>
        </is>
      </c>
      <c r="C4" s="10" t="inlineStr">
        <is>
          <t>Shipments A</t>
        </is>
      </c>
      <c r="D4" s="10" t="inlineStr">
        <is>
          <t>Chargeable kg A</t>
        </is>
      </c>
      <c r="E4" s="10" t="inlineStr">
        <is>
          <t>Annual cost A</t>
        </is>
      </c>
      <c r="F4" s="10" t="inlineStr">
        <is>
          <t>Cost per kg A</t>
        </is>
      </c>
      <c r="G4" s="10" t="inlineStr">
        <is>
          <t>Cost per shipment A</t>
        </is>
      </c>
      <c r="H4" s="10" t="inlineStr">
        <is>
          <t>Shipments B</t>
        </is>
      </c>
      <c r="I4" s="10" t="inlineStr">
        <is>
          <t>Chargeable kg B</t>
        </is>
      </c>
      <c r="J4" s="10" t="inlineStr">
        <is>
          <t>Annual cost B</t>
        </is>
      </c>
      <c r="K4" s="10" t="inlineStr">
        <is>
          <t>Cost per kg B</t>
        </is>
      </c>
      <c r="L4" s="10" t="inlineStr">
        <is>
          <t>Cost per shipment B</t>
        </is>
      </c>
      <c r="M4" s="10" t="inlineStr">
        <is>
          <t>Avg transit days</t>
        </is>
      </c>
      <c r="N4" s="10" t="inlineStr">
        <is>
          <t>Bands without a rate</t>
        </is>
      </c>
      <c r="O4" s="10" t="inlineStr">
        <is>
          <t>Shipments B from other origins</t>
        </is>
      </c>
      <c r="P4" s="10" t="inlineStr">
        <is>
          <t>Direct transport A (from Helmond)</t>
        </is>
      </c>
      <c r="Q4" s="10" t="inlineStr">
        <is>
          <t>Direct transport B (from Helmond)</t>
        </is>
      </c>
      <c r="S4" s="93" t="inlineStr">
        <is>
          <t>Total logistics cost</t>
        </is>
      </c>
    </row>
    <row r="5" ht="30" customHeight="1">
      <c r="A5" s="95" t="inlineStr">
        <is>
          <t>L01</t>
        </is>
      </c>
      <c r="B5" s="101" t="inlineStr">
        <is>
          <t>Saudi Arabia</t>
        </is>
      </c>
      <c r="C5" s="122">
        <f>Volumes!D6</f>
        <v/>
      </c>
      <c r="D5" s="122">
        <f>Volumes!G6</f>
        <v/>
      </c>
      <c r="E5" s="121">
        <f>SUMIFS('Rate Card'!$Q$5:$Q$49,'Rate Card'!$A$5:$A$49,A5)</f>
        <v/>
      </c>
      <c r="F5" s="116">
        <f>IFERROR(E5/D5,0)</f>
        <v/>
      </c>
      <c r="G5" s="116">
        <f>IFERROR(E5/C5,0)</f>
        <v/>
      </c>
      <c r="H5" s="122">
        <f>Volumes!D20</f>
        <v/>
      </c>
      <c r="I5" s="122">
        <f>Volumes!G20</f>
        <v/>
      </c>
      <c r="J5" s="121">
        <f>SUMIFS('Rate Card'!$R$5:$R$49,'Rate Card'!$A$5:$A$49,A5)</f>
        <v/>
      </c>
      <c r="K5" s="116">
        <f>IFERROR(J5/I5,0)</f>
        <v/>
      </c>
      <c r="L5" s="116">
        <f>IFERROR(J5/H5,0)</f>
        <v/>
      </c>
      <c r="M5" s="34">
        <f>IFERROR(SUMPRODUCT(--('Rate Card'!$A$5:$A$49=A5),'Rate Card'!$E$5:$E$49,'Rate Card'!$H$5:$H$49)/SUMPRODUCT(--('Rate Card'!$A$5:$A$49=A5),'Rate Card'!$E$5:$E$49,--ISNUMBER('Rate Card'!$H$5:$H$49)),0)</f>
        <v/>
      </c>
      <c r="N5" s="35">
        <f>COUNTIFS('Rate Card'!$A$5:$A$49,A5,'Rate Card'!$I$5:$I$49,"")</f>
        <v/>
      </c>
      <c r="O5" s="74">
        <f>COUNTIFS(SB_Lane,A5,SB_From,"&lt;&gt;Helmond")</f>
        <v/>
      </c>
      <c r="P5" s="121">
        <f>SUMIFS(SA_Cost,SA_Lane,A5,SA_From,"Helmond")</f>
        <v/>
      </c>
      <c r="Q5" s="121">
        <f>SUMIFS(SB_Cost,SB_Lane,A5,SB_From,"Helmond")</f>
        <v/>
      </c>
      <c r="S5" s="10" t="inlineStr">
        <is>
          <t>Cost block</t>
        </is>
      </c>
      <c r="T5" s="10" t="inlineStr">
        <is>
          <t>Scenario A</t>
        </is>
      </c>
      <c r="U5" s="10" t="inlineStr">
        <is>
          <t>Scenario B</t>
        </is>
      </c>
    </row>
    <row r="6">
      <c r="A6" s="95" t="inlineStr">
        <is>
          <t>L02</t>
        </is>
      </c>
      <c r="B6" s="101" t="inlineStr">
        <is>
          <t>United Arab Emirates</t>
        </is>
      </c>
      <c r="C6" s="122">
        <f>Volumes!D7</f>
        <v/>
      </c>
      <c r="D6" s="122">
        <f>Volumes!G7</f>
        <v/>
      </c>
      <c r="E6" s="121">
        <f>SUMIFS('Rate Card'!$Q$5:$Q$49,'Rate Card'!$A$5:$A$49,A6)</f>
        <v/>
      </c>
      <c r="F6" s="116">
        <f>IFERROR(E6/D6,0)</f>
        <v/>
      </c>
      <c r="G6" s="116">
        <f>IFERROR(E6/C6,0)</f>
        <v/>
      </c>
      <c r="H6" s="122">
        <f>Volumes!D21</f>
        <v/>
      </c>
      <c r="I6" s="122">
        <f>Volumes!G21</f>
        <v/>
      </c>
      <c r="J6" s="121">
        <f>SUMIFS('Rate Card'!$R$5:$R$49,'Rate Card'!$A$5:$A$49,A6)</f>
        <v/>
      </c>
      <c r="K6" s="116">
        <f>IFERROR(J6/I6,0)</f>
        <v/>
      </c>
      <c r="L6" s="116">
        <f>IFERROR(J6/H6,0)</f>
        <v/>
      </c>
      <c r="M6" s="34">
        <f>IFERROR(SUMPRODUCT(--('Rate Card'!$A$5:$A$49=A6),'Rate Card'!$E$5:$E$49,'Rate Card'!$H$5:$H$49)/SUMPRODUCT(--('Rate Card'!$A$5:$A$49=A6),'Rate Card'!$E$5:$E$49,--ISNUMBER('Rate Card'!$H$5:$H$49)),0)</f>
        <v/>
      </c>
      <c r="N6" s="35">
        <f>COUNTIFS('Rate Card'!$A$5:$A$49,A6,'Rate Card'!$I$5:$I$49,"")</f>
        <v/>
      </c>
      <c r="O6" s="74">
        <f>COUNTIFS(SB_Lane,A6,SB_From,"&lt;&gt;Helmond")</f>
        <v/>
      </c>
      <c r="P6" s="121">
        <f>SUMIFS(SA_Cost,SA_Lane,A6,SA_From,"Helmond")</f>
        <v/>
      </c>
      <c r="Q6" s="121">
        <f>SUMIFS(SB_Cost,SB_Lane,A6,SB_From,"Helmond")</f>
        <v/>
      </c>
      <c r="S6" s="95" t="inlineStr">
        <is>
          <t>Direct transport from Helmond</t>
        </is>
      </c>
      <c r="T6" s="121">
        <f>P14</f>
        <v/>
      </c>
      <c r="U6" s="121">
        <f>Q14</f>
        <v/>
      </c>
    </row>
    <row r="7">
      <c r="A7" s="95" t="inlineStr">
        <is>
          <t>L03</t>
        </is>
      </c>
      <c r="B7" s="101" t="inlineStr">
        <is>
          <t>Kuwait</t>
        </is>
      </c>
      <c r="C7" s="122">
        <f>Volumes!D8</f>
        <v/>
      </c>
      <c r="D7" s="122">
        <f>Volumes!G8</f>
        <v/>
      </c>
      <c r="E7" s="121">
        <f>SUMIFS('Rate Card'!$Q$5:$Q$49,'Rate Card'!$A$5:$A$49,A7)</f>
        <v/>
      </c>
      <c r="F7" s="116">
        <f>IFERROR(E7/D7,0)</f>
        <v/>
      </c>
      <c r="G7" s="116">
        <f>IFERROR(E7/C7,0)</f>
        <v/>
      </c>
      <c r="H7" s="122">
        <f>Volumes!D22</f>
        <v/>
      </c>
      <c r="I7" s="122">
        <f>Volumes!G22</f>
        <v/>
      </c>
      <c r="J7" s="121">
        <f>SUMIFS('Rate Card'!$R$5:$R$49,'Rate Card'!$A$5:$A$49,A7)</f>
        <v/>
      </c>
      <c r="K7" s="116">
        <f>IFERROR(J7/I7,0)</f>
        <v/>
      </c>
      <c r="L7" s="116">
        <f>IFERROR(J7/H7,0)</f>
        <v/>
      </c>
      <c r="M7" s="34">
        <f>IFERROR(SUMPRODUCT(--('Rate Card'!$A$5:$A$49=A7),'Rate Card'!$E$5:$E$49,'Rate Card'!$H$5:$H$49)/SUMPRODUCT(--('Rate Card'!$A$5:$A$49=A7),'Rate Card'!$E$5:$E$49,--ISNUMBER('Rate Card'!$H$5:$H$49)),0)</f>
        <v/>
      </c>
      <c r="N7" s="35">
        <f>COUNTIFS('Rate Card'!$A$5:$A$49,A7,'Rate Card'!$I$5:$I$49,"")</f>
        <v/>
      </c>
      <c r="O7" s="74">
        <f>COUNTIFS(SB_Lane,A7,SB_From,"&lt;&gt;Helmond")</f>
        <v/>
      </c>
      <c r="P7" s="121">
        <f>SUMIFS(SA_Cost,SA_Lane,A7,SA_From,"Helmond")</f>
        <v/>
      </c>
      <c r="Q7" s="121">
        <f>SUMIFS(SB_Cost,SB_Lane,A7,SB_From,"Helmond")</f>
        <v/>
      </c>
      <c r="S7" s="95" t="inlineStr">
        <is>
          <t>Other origins (regional stock, supplier or other hubs)</t>
        </is>
      </c>
      <c r="T7" s="121">
        <f>RS_TotA</f>
        <v/>
      </c>
      <c r="U7" s="121">
        <f>RS_TotB</f>
        <v/>
      </c>
    </row>
    <row r="8">
      <c r="A8" s="95" t="inlineStr">
        <is>
          <t>L04</t>
        </is>
      </c>
      <c r="B8" s="101" t="inlineStr">
        <is>
          <t>Qatar</t>
        </is>
      </c>
      <c r="C8" s="122">
        <f>Volumes!D9</f>
        <v/>
      </c>
      <c r="D8" s="122">
        <f>Volumes!G9</f>
        <v/>
      </c>
      <c r="E8" s="121">
        <f>SUMIFS('Rate Card'!$Q$5:$Q$49,'Rate Card'!$A$5:$A$49,A8)</f>
        <v/>
      </c>
      <c r="F8" s="116">
        <f>IFERROR(E8/D8,0)</f>
        <v/>
      </c>
      <c r="G8" s="116">
        <f>IFERROR(E8/C8,0)</f>
        <v/>
      </c>
      <c r="H8" s="122">
        <f>Volumes!D23</f>
        <v/>
      </c>
      <c r="I8" s="122">
        <f>Volumes!G23</f>
        <v/>
      </c>
      <c r="J8" s="121">
        <f>SUMIFS('Rate Card'!$R$5:$R$49,'Rate Card'!$A$5:$A$49,A8)</f>
        <v/>
      </c>
      <c r="K8" s="116">
        <f>IFERROR(J8/I8,0)</f>
        <v/>
      </c>
      <c r="L8" s="116">
        <f>IFERROR(J8/H8,0)</f>
        <v/>
      </c>
      <c r="M8" s="34">
        <f>IFERROR(SUMPRODUCT(--('Rate Card'!$A$5:$A$49=A8),'Rate Card'!$E$5:$E$49,'Rate Card'!$H$5:$H$49)/SUMPRODUCT(--('Rate Card'!$A$5:$A$49=A8),'Rate Card'!$E$5:$E$49,--ISNUMBER('Rate Card'!$H$5:$H$49)),0)</f>
        <v/>
      </c>
      <c r="N8" s="35">
        <f>COUNTIFS('Rate Card'!$A$5:$A$49,A8,'Rate Card'!$I$5:$I$49,"")</f>
        <v/>
      </c>
      <c r="O8" s="74">
        <f>COUNTIFS(SB_Lane,A8,SB_From,"&lt;&gt;Helmond")</f>
        <v/>
      </c>
      <c r="P8" s="121">
        <f>SUMIFS(SA_Cost,SA_Lane,A8,SA_From,"Helmond")</f>
        <v/>
      </c>
      <c r="Q8" s="121">
        <f>SUMIFS(SB_Cost,SB_Lane,A8,SB_From,"Helmond")</f>
        <v/>
      </c>
      <c r="S8" s="96" t="inlineStr">
        <is>
          <t>Total</t>
        </is>
      </c>
      <c r="T8" s="119">
        <f>T6+T7</f>
        <v/>
      </c>
      <c r="U8" s="119">
        <f>U6+U7</f>
        <v/>
      </c>
    </row>
    <row r="9">
      <c r="A9" s="95" t="inlineStr">
        <is>
          <t>L05</t>
        </is>
      </c>
      <c r="B9" s="101" t="inlineStr">
        <is>
          <t>Türkiye</t>
        </is>
      </c>
      <c r="C9" s="122">
        <f>Volumes!D10</f>
        <v/>
      </c>
      <c r="D9" s="122">
        <f>Volumes!G10</f>
        <v/>
      </c>
      <c r="E9" s="121">
        <f>SUMIFS('Rate Card'!$Q$5:$Q$49,'Rate Card'!$A$5:$A$49,A9)</f>
        <v/>
      </c>
      <c r="F9" s="116">
        <f>IFERROR(E9/D9,0)</f>
        <v/>
      </c>
      <c r="G9" s="116">
        <f>IFERROR(E9/C9,0)</f>
        <v/>
      </c>
      <c r="H9" s="122">
        <f>Volumes!D24</f>
        <v/>
      </c>
      <c r="I9" s="122">
        <f>Volumes!G24</f>
        <v/>
      </c>
      <c r="J9" s="121">
        <f>SUMIFS('Rate Card'!$R$5:$R$49,'Rate Card'!$A$5:$A$49,A9)</f>
        <v/>
      </c>
      <c r="K9" s="116">
        <f>IFERROR(J9/I9,0)</f>
        <v/>
      </c>
      <c r="L9" s="116">
        <f>IFERROR(J9/H9,0)</f>
        <v/>
      </c>
      <c r="M9" s="34">
        <f>IFERROR(SUMPRODUCT(--('Rate Card'!$A$5:$A$49=A9),'Rate Card'!$E$5:$E$49,'Rate Card'!$H$5:$H$49)/SUMPRODUCT(--('Rate Card'!$A$5:$A$49=A9),'Rate Card'!$E$5:$E$49,--ISNUMBER('Rate Card'!$H$5:$H$49)),0)</f>
        <v/>
      </c>
      <c r="N9" s="35">
        <f>COUNTIFS('Rate Card'!$A$5:$A$49,A9,'Rate Card'!$I$5:$I$49,"")</f>
        <v/>
      </c>
      <c r="O9" s="74">
        <f>COUNTIFS(SB_Lane,A9,SB_From,"&lt;&gt;Helmond")</f>
        <v/>
      </c>
      <c r="P9" s="121">
        <f>SUMIFS(SA_Cost,SA_Lane,A9,SA_From,"Helmond")</f>
        <v/>
      </c>
      <c r="Q9" s="121">
        <f>SUMIFS(SB_Cost,SB_Lane,A9,SB_From,"Helmond")</f>
        <v/>
      </c>
      <c r="S9" s="98" t="inlineStr">
        <is>
          <t>Columns E and J price every shipment from Helmond. Columns P and Q and the total block follow the origin chosen per shipment. Supplier freight into a regional warehouse is excluded.</t>
        </is>
      </c>
    </row>
    <row r="10">
      <c r="A10" s="95" t="inlineStr">
        <is>
          <t>L06</t>
        </is>
      </c>
      <c r="B10" s="101" t="inlineStr">
        <is>
          <t>Morocco</t>
        </is>
      </c>
      <c r="C10" s="122">
        <f>Volumes!D11</f>
        <v/>
      </c>
      <c r="D10" s="122">
        <f>Volumes!G11</f>
        <v/>
      </c>
      <c r="E10" s="121">
        <f>SUMIFS('Rate Card'!$Q$5:$Q$49,'Rate Card'!$A$5:$A$49,A10)</f>
        <v/>
      </c>
      <c r="F10" s="116">
        <f>IFERROR(E10/D10,0)</f>
        <v/>
      </c>
      <c r="G10" s="116">
        <f>IFERROR(E10/C10,0)</f>
        <v/>
      </c>
      <c r="H10" s="122">
        <f>Volumes!D25</f>
        <v/>
      </c>
      <c r="I10" s="122">
        <f>Volumes!G25</f>
        <v/>
      </c>
      <c r="J10" s="121">
        <f>SUMIFS('Rate Card'!$R$5:$R$49,'Rate Card'!$A$5:$A$49,A10)</f>
        <v/>
      </c>
      <c r="K10" s="116">
        <f>IFERROR(J10/I10,0)</f>
        <v/>
      </c>
      <c r="L10" s="116">
        <f>IFERROR(J10/H10,0)</f>
        <v/>
      </c>
      <c r="M10" s="34">
        <f>IFERROR(SUMPRODUCT(--('Rate Card'!$A$5:$A$49=A10),'Rate Card'!$E$5:$E$49,'Rate Card'!$H$5:$H$49)/SUMPRODUCT(--('Rate Card'!$A$5:$A$49=A10),'Rate Card'!$E$5:$E$49,--ISNUMBER('Rate Card'!$H$5:$H$49)),0)</f>
        <v/>
      </c>
      <c r="N10" s="35">
        <f>COUNTIFS('Rate Card'!$A$5:$A$49,A10,'Rate Card'!$I$5:$I$49,"")</f>
        <v/>
      </c>
      <c r="O10" s="74">
        <f>COUNTIFS(SB_Lane,A10,SB_From,"&lt;&gt;Helmond")</f>
        <v/>
      </c>
      <c r="P10" s="121">
        <f>SUMIFS(SA_Cost,SA_Lane,A10,SA_From,"Helmond")</f>
        <v/>
      </c>
      <c r="Q10" s="121">
        <f>SUMIFS(SB_Cost,SB_Lane,A10,SB_From,"Helmond")</f>
        <v/>
      </c>
    </row>
    <row r="11">
      <c r="A11" s="95" t="inlineStr">
        <is>
          <t>L07</t>
        </is>
      </c>
      <c r="B11" s="101" t="inlineStr">
        <is>
          <t>Algeria</t>
        </is>
      </c>
      <c r="C11" s="122">
        <f>Volumes!D12</f>
        <v/>
      </c>
      <c r="D11" s="122">
        <f>Volumes!G12</f>
        <v/>
      </c>
      <c r="E11" s="121">
        <f>SUMIFS('Rate Card'!$Q$5:$Q$49,'Rate Card'!$A$5:$A$49,A11)</f>
        <v/>
      </c>
      <c r="F11" s="116">
        <f>IFERROR(E11/D11,0)</f>
        <v/>
      </c>
      <c r="G11" s="116">
        <f>IFERROR(E11/C11,0)</f>
        <v/>
      </c>
      <c r="H11" s="122">
        <f>Volumes!D26</f>
        <v/>
      </c>
      <c r="I11" s="122">
        <f>Volumes!G26</f>
        <v/>
      </c>
      <c r="J11" s="121">
        <f>SUMIFS('Rate Card'!$R$5:$R$49,'Rate Card'!$A$5:$A$49,A11)</f>
        <v/>
      </c>
      <c r="K11" s="116">
        <f>IFERROR(J11/I11,0)</f>
        <v/>
      </c>
      <c r="L11" s="116">
        <f>IFERROR(J11/H11,0)</f>
        <v/>
      </c>
      <c r="M11" s="34">
        <f>IFERROR(SUMPRODUCT(--('Rate Card'!$A$5:$A$49=A11),'Rate Card'!$E$5:$E$49,'Rate Card'!$H$5:$H$49)/SUMPRODUCT(--('Rate Card'!$A$5:$A$49=A11),'Rate Card'!$E$5:$E$49,--ISNUMBER('Rate Card'!$H$5:$H$49)),0)</f>
        <v/>
      </c>
      <c r="N11" s="35">
        <f>COUNTIFS('Rate Card'!$A$5:$A$49,A11,'Rate Card'!$I$5:$I$49,"")</f>
        <v/>
      </c>
      <c r="O11" s="74">
        <f>COUNTIFS(SB_Lane,A11,SB_From,"&lt;&gt;Helmond")</f>
        <v/>
      </c>
      <c r="P11" s="121">
        <f>SUMIFS(SA_Cost,SA_Lane,A11,SA_From,"Helmond")</f>
        <v/>
      </c>
      <c r="Q11" s="121">
        <f>SUMIFS(SB_Cost,SB_Lane,A11,SB_From,"Helmond")</f>
        <v/>
      </c>
    </row>
    <row r="12">
      <c r="A12" s="95" t="inlineStr">
        <is>
          <t>L08</t>
        </is>
      </c>
      <c r="B12" s="101" t="inlineStr">
        <is>
          <t>Egypt</t>
        </is>
      </c>
      <c r="C12" s="122">
        <f>Volumes!D13</f>
        <v/>
      </c>
      <c r="D12" s="122">
        <f>Volumes!G13</f>
        <v/>
      </c>
      <c r="E12" s="121">
        <f>SUMIFS('Rate Card'!$Q$5:$Q$49,'Rate Card'!$A$5:$A$49,A12)</f>
        <v/>
      </c>
      <c r="F12" s="116">
        <f>IFERROR(E12/D12,0)</f>
        <v/>
      </c>
      <c r="G12" s="116">
        <f>IFERROR(E12/C12,0)</f>
        <v/>
      </c>
      <c r="H12" s="122">
        <f>Volumes!D27</f>
        <v/>
      </c>
      <c r="I12" s="122">
        <f>Volumes!G27</f>
        <v/>
      </c>
      <c r="J12" s="121">
        <f>SUMIFS('Rate Card'!$R$5:$R$49,'Rate Card'!$A$5:$A$49,A12)</f>
        <v/>
      </c>
      <c r="K12" s="116">
        <f>IFERROR(J12/I12,0)</f>
        <v/>
      </c>
      <c r="L12" s="116">
        <f>IFERROR(J12/H12,0)</f>
        <v/>
      </c>
      <c r="M12" s="34">
        <f>IFERROR(SUMPRODUCT(--('Rate Card'!$A$5:$A$49=A12),'Rate Card'!$E$5:$E$49,'Rate Card'!$H$5:$H$49)/SUMPRODUCT(--('Rate Card'!$A$5:$A$49=A12),'Rate Card'!$E$5:$E$49,--ISNUMBER('Rate Card'!$H$5:$H$49)),0)</f>
        <v/>
      </c>
      <c r="N12" s="35">
        <f>COUNTIFS('Rate Card'!$A$5:$A$49,A12,'Rate Card'!$I$5:$I$49,"")</f>
        <v/>
      </c>
      <c r="O12" s="74">
        <f>COUNTIFS(SB_Lane,A12,SB_From,"&lt;&gt;Helmond")</f>
        <v/>
      </c>
      <c r="P12" s="121">
        <f>SUMIFS(SA_Cost,SA_Lane,A12,SA_From,"Helmond")</f>
        <v/>
      </c>
      <c r="Q12" s="121">
        <f>SUMIFS(SB_Cost,SB_Lane,A12,SB_From,"Helmond")</f>
        <v/>
      </c>
    </row>
    <row r="13">
      <c r="A13" s="95" t="inlineStr">
        <is>
          <t>L09</t>
        </is>
      </c>
      <c r="B13" s="101" t="inlineStr">
        <is>
          <t>Tunisia</t>
        </is>
      </c>
      <c r="C13" s="122">
        <f>Volumes!D14</f>
        <v/>
      </c>
      <c r="D13" s="122">
        <f>Volumes!G14</f>
        <v/>
      </c>
      <c r="E13" s="121">
        <f>SUMIFS('Rate Card'!$Q$5:$Q$49,'Rate Card'!$A$5:$A$49,A13)</f>
        <v/>
      </c>
      <c r="F13" s="116">
        <f>IFERROR(E13/D13,0)</f>
        <v/>
      </c>
      <c r="G13" s="116">
        <f>IFERROR(E13/C13,0)</f>
        <v/>
      </c>
      <c r="H13" s="122">
        <f>Volumes!D28</f>
        <v/>
      </c>
      <c r="I13" s="122">
        <f>Volumes!G28</f>
        <v/>
      </c>
      <c r="J13" s="121">
        <f>SUMIFS('Rate Card'!$R$5:$R$49,'Rate Card'!$A$5:$A$49,A13)</f>
        <v/>
      </c>
      <c r="K13" s="116">
        <f>IFERROR(J13/I13,0)</f>
        <v/>
      </c>
      <c r="L13" s="116">
        <f>IFERROR(J13/H13,0)</f>
        <v/>
      </c>
      <c r="M13" s="34">
        <f>IFERROR(SUMPRODUCT(--('Rate Card'!$A$5:$A$49=A13),'Rate Card'!$E$5:$E$49,'Rate Card'!$H$5:$H$49)/SUMPRODUCT(--('Rate Card'!$A$5:$A$49=A13),'Rate Card'!$E$5:$E$49,--ISNUMBER('Rate Card'!$H$5:$H$49)),0)</f>
        <v/>
      </c>
      <c r="N13" s="35">
        <f>COUNTIFS('Rate Card'!$A$5:$A$49,A13,'Rate Card'!$I$5:$I$49,"")</f>
        <v/>
      </c>
      <c r="O13" s="74">
        <f>COUNTIFS(SB_Lane,A13,SB_From,"&lt;&gt;Helmond")</f>
        <v/>
      </c>
      <c r="P13" s="121">
        <f>SUMIFS(SA_Cost,SA_Lane,A13,SA_From,"Helmond")</f>
        <v/>
      </c>
      <c r="Q13" s="121">
        <f>SUMIFS(SB_Cost,SB_Lane,A13,SB_From,"Helmond")</f>
        <v/>
      </c>
    </row>
    <row r="14">
      <c r="A14" s="96" t="inlineStr">
        <is>
          <t>Total</t>
        </is>
      </c>
      <c r="B14" s="118" t="inlineStr"/>
      <c r="C14" s="124">
        <f>SUM(C5:C13)</f>
        <v/>
      </c>
      <c r="D14" s="124">
        <f>SUM(D5:D13)</f>
        <v/>
      </c>
      <c r="E14" s="119">
        <f>SUM(E5:E13)</f>
        <v/>
      </c>
      <c r="F14" s="36">
        <f>IFERROR(E14/D14,0)</f>
        <v/>
      </c>
      <c r="G14" s="36">
        <f>IFERROR(E14/C14,0)</f>
        <v/>
      </c>
      <c r="H14" s="124">
        <f>SUM(H5:H13)</f>
        <v/>
      </c>
      <c r="I14" s="124">
        <f>SUM(I5:I13)</f>
        <v/>
      </c>
      <c r="J14" s="119">
        <f>SUM(J5:J13)</f>
        <v/>
      </c>
      <c r="K14" s="36">
        <f>IFERROR(J14/I14,0)</f>
        <v/>
      </c>
      <c r="L14" s="36">
        <f>IFERROR(J14/H14,0)</f>
        <v/>
      </c>
      <c r="M14" s="118" t="inlineStr"/>
      <c r="N14" s="37">
        <f>SUM(N5:N13)</f>
        <v/>
      </c>
      <c r="O14" s="120">
        <f>SUM(O5:O13)</f>
        <v/>
      </c>
      <c r="P14" s="119">
        <f>SUM(P5:P13)</f>
        <v/>
      </c>
      <c r="Q14" s="119">
        <f>SUM(Q5:Q13)</f>
        <v/>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BF9000"/>
    <outlinePr summaryBelow="1" summaryRight="1"/>
    <pageSetUpPr fitToPage="1"/>
  </sheetPr>
  <dimension ref="A1:H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62" customWidth="1" min="3" max="3"/>
    <col width="16" customWidth="1" min="4" max="4"/>
    <col width="14" customWidth="1" min="5" max="5"/>
    <col width="38" customWidth="1" min="6" max="6"/>
    <col width="11" customWidth="1" min="7" max="7"/>
    <col width="30" customWidth="1" min="8" max="8"/>
  </cols>
  <sheetData>
    <row r="1">
      <c r="A1" s="129" t="inlineStr">
        <is>
          <t>Reliability, quality and ease of working</t>
        </is>
      </c>
    </row>
    <row r="2">
      <c r="A2" s="130" t="inlineStr">
        <is>
          <t>Answer in the fixed format of column E. Add context in Details. Mark whether you can share evidence (KPI report, certificate, reference customer).</t>
        </is>
      </c>
    </row>
    <row r="3"/>
    <row r="4" ht="40" customHeight="1">
      <c r="A4" s="10" t="inlineStr">
        <is>
          <t>#</t>
        </is>
      </c>
      <c r="B4" s="10" t="inlineStr">
        <is>
          <t>Area</t>
        </is>
      </c>
      <c r="C4" s="10" t="inlineStr">
        <is>
          <t>Question</t>
        </is>
      </c>
      <c r="D4" s="10" t="inlineStr">
        <is>
          <t>Answer format</t>
        </is>
      </c>
      <c r="E4" s="18" t="inlineStr">
        <is>
          <t>Your answer</t>
        </is>
      </c>
      <c r="F4" s="18" t="inlineStr">
        <is>
          <t>Details</t>
        </is>
      </c>
      <c r="G4" s="18" t="inlineStr">
        <is>
          <t>Evidence available</t>
        </is>
      </c>
      <c r="H4" s="18" t="inlineStr">
        <is>
          <t>Evidence description</t>
        </is>
      </c>
    </row>
    <row r="5" ht="32" customHeight="1">
      <c r="A5" s="152" t="inlineStr">
        <is>
          <t>R1</t>
        </is>
      </c>
      <c r="B5" s="132" t="inlineStr">
        <is>
          <t>Reliability</t>
        </is>
      </c>
      <c r="C5" s="6" t="inlineStr">
        <is>
          <t>On-time delivery rate on these lanes over the last 12 months (on or before the promised date).</t>
        </is>
      </c>
      <c r="D5" s="153" t="inlineStr">
        <is>
          <t>Percent</t>
        </is>
      </c>
      <c r="E5" s="154" t="n"/>
      <c r="F5" s="155" t="n"/>
      <c r="G5" s="138" t="n"/>
      <c r="H5" s="155" t="n"/>
    </row>
    <row r="6" ht="32" customHeight="1">
      <c r="A6" s="152" t="inlineStr">
        <is>
          <t>R2</t>
        </is>
      </c>
      <c r="B6" s="132" t="inlineStr">
        <is>
          <t>Reliability</t>
        </is>
      </c>
      <c r="C6" s="6" t="inlineStr">
        <is>
          <t>Share of shipments delivered within the transit time quoted on the Rate Card.</t>
        </is>
      </c>
      <c r="D6" s="153" t="inlineStr">
        <is>
          <t>Percent</t>
        </is>
      </c>
      <c r="E6" s="154" t="n"/>
      <c r="F6" s="155" t="n"/>
      <c r="G6" s="138" t="n"/>
      <c r="H6" s="155" t="n"/>
    </row>
    <row r="7" ht="32" customHeight="1">
      <c r="A7" s="152" t="inlineStr">
        <is>
          <t>R3</t>
        </is>
      </c>
      <c r="B7" s="132" t="inlineStr">
        <is>
          <t>Reliability</t>
        </is>
      </c>
      <c r="C7" s="6" t="inlineStr">
        <is>
          <t>Pickups per week at Helmond. State your daily cut-off time in Details.</t>
        </is>
      </c>
      <c r="D7" s="153" t="inlineStr">
        <is>
          <t>Number</t>
        </is>
      </c>
      <c r="E7" s="156" t="n"/>
      <c r="F7" s="155" t="n"/>
      <c r="G7" s="138" t="n"/>
      <c r="H7" s="155" t="n"/>
    </row>
    <row r="8" ht="32" customHeight="1">
      <c r="A8" s="152" t="inlineStr">
        <is>
          <t>R4</t>
        </is>
      </c>
      <c r="B8" s="132" t="inlineStr">
        <is>
          <t>Reliability</t>
        </is>
      </c>
      <c r="C8" s="6" t="inlineStr">
        <is>
          <t>Guaranteed capacity in peak months (1.5 times the average month).</t>
        </is>
      </c>
      <c r="D8" s="153" t="inlineStr">
        <is>
          <t>Yes/Partial/No</t>
        </is>
      </c>
      <c r="E8" s="138" t="n"/>
      <c r="F8" s="155" t="n"/>
      <c r="G8" s="138" t="n"/>
      <c r="H8" s="155" t="n"/>
    </row>
    <row r="9" ht="32" customHeight="1">
      <c r="A9" s="152" t="inlineStr">
        <is>
          <t>R5</t>
        </is>
      </c>
      <c r="B9" s="132" t="inlineStr">
        <is>
          <t>Reliability</t>
        </is>
      </c>
      <c r="C9" s="6" t="inlineStr">
        <is>
          <t>Documented contingency routing for disruptions (Red Sea / Suez, airspace, port congestion).</t>
        </is>
      </c>
      <c r="D9" s="153" t="inlineStr">
        <is>
          <t>Yes/Partial/No</t>
        </is>
      </c>
      <c r="E9" s="138" t="n"/>
      <c r="F9" s="155" t="n"/>
      <c r="G9" s="138" t="n"/>
      <c r="H9" s="155" t="n"/>
    </row>
    <row r="10" ht="32" customHeight="1">
      <c r="A10" s="152" t="inlineStr">
        <is>
          <t>R6</t>
        </is>
      </c>
      <c r="B10" s="132" t="inlineStr">
        <is>
          <t>Reliability</t>
        </is>
      </c>
      <c r="C10" s="6" t="inlineStr">
        <is>
          <t>Average import clearance time across the nine countries. Per country in Details.</t>
        </is>
      </c>
      <c r="D10" s="153" t="inlineStr">
        <is>
          <t>Days</t>
        </is>
      </c>
      <c r="E10" s="146" t="n"/>
      <c r="F10" s="155" t="n"/>
      <c r="G10" s="138" t="n"/>
      <c r="H10" s="155" t="n"/>
    </row>
    <row r="11" ht="32" customHeight="1">
      <c r="A11" s="152" t="inlineStr">
        <is>
          <t>R7</t>
        </is>
      </c>
      <c r="B11" s="132" t="inlineStr">
        <is>
          <t>Reliability</t>
        </is>
      </c>
      <c r="C11" s="6" t="inlineStr">
        <is>
          <t>Share of shipments held in customs more than 2 working days over the last 12 months.</t>
        </is>
      </c>
      <c r="D11" s="153" t="inlineStr">
        <is>
          <t>Percent</t>
        </is>
      </c>
      <c r="E11" s="154" t="n"/>
      <c r="F11" s="155" t="n"/>
      <c r="G11" s="138" t="n"/>
      <c r="H11" s="155" t="n"/>
    </row>
    <row r="12" ht="32" customHeight="1">
      <c r="A12" s="152" t="inlineStr">
        <is>
          <t>R8</t>
        </is>
      </c>
      <c r="B12" s="132" t="inlineStr">
        <is>
          <t>Reliability</t>
        </is>
      </c>
      <c r="C12" s="6" t="inlineStr">
        <is>
          <t>Next-day delivery in the GCC, from Helmond or from regional stock.</t>
        </is>
      </c>
      <c r="D12" s="153" t="inlineStr">
        <is>
          <t>Yes/Partial/No</t>
        </is>
      </c>
      <c r="E12" s="138" t="n"/>
      <c r="F12" s="155" t="n"/>
      <c r="G12" s="138" t="n"/>
      <c r="H12" s="155" t="n"/>
    </row>
    <row r="13" ht="32" customHeight="1">
      <c r="A13" s="152" t="inlineStr">
        <is>
          <t>Q1</t>
        </is>
      </c>
      <c r="B13" s="132" t="inlineStr">
        <is>
          <t>Quality</t>
        </is>
      </c>
      <c r="C13" s="6" t="inlineStr">
        <is>
          <t>Damage and loss rate over the last 12 months.</t>
        </is>
      </c>
      <c r="D13" s="153" t="inlineStr">
        <is>
          <t>Percent</t>
        </is>
      </c>
      <c r="E13" s="154" t="n"/>
      <c r="F13" s="155" t="n"/>
      <c r="G13" s="138" t="n"/>
      <c r="H13" s="155" t="n"/>
    </row>
    <row r="14" ht="32" customHeight="1">
      <c r="A14" s="152" t="inlineStr">
        <is>
          <t>Q2</t>
        </is>
      </c>
      <c r="B14" s="132" t="inlineStr">
        <is>
          <t>Quality</t>
        </is>
      </c>
      <c r="C14" s="6" t="inlineStr">
        <is>
          <t>Average claim settlement time.</t>
        </is>
      </c>
      <c r="D14" s="153" t="inlineStr">
        <is>
          <t>Days</t>
        </is>
      </c>
      <c r="E14" s="146" t="n"/>
      <c r="F14" s="155" t="n"/>
      <c r="G14" s="138" t="n"/>
      <c r="H14" s="155" t="n"/>
    </row>
    <row r="15" ht="32" customHeight="1">
      <c r="A15" s="152" t="inlineStr">
        <is>
          <t>Q3</t>
        </is>
      </c>
      <c r="B15" s="132" t="inlineStr">
        <is>
          <t>Quality</t>
        </is>
      </c>
      <c r="C15" s="6" t="inlineStr">
        <is>
          <t>Liability limit per kg (SDR). Name the convention or terms in Details.</t>
        </is>
      </c>
      <c r="D15" s="153" t="inlineStr">
        <is>
          <t>Number</t>
        </is>
      </c>
      <c r="E15" s="156" t="n"/>
      <c r="F15" s="155" t="n"/>
      <c r="G15" s="138" t="n"/>
      <c r="H15" s="155" t="n"/>
    </row>
    <row r="16" ht="32" customHeight="1">
      <c r="A16" s="152" t="inlineStr">
        <is>
          <t>Q4</t>
        </is>
      </c>
      <c r="B16" s="132" t="inlineStr">
        <is>
          <t>Quality</t>
        </is>
      </c>
      <c r="C16" s="6" t="inlineStr">
        <is>
          <t>Track and trace with API or EDI integration.</t>
        </is>
      </c>
      <c r="D16" s="153" t="inlineStr">
        <is>
          <t>Yes/Partial/No</t>
        </is>
      </c>
      <c r="E16" s="138" t="n"/>
      <c r="F16" s="155" t="n"/>
      <c r="G16" s="138" t="n"/>
      <c r="H16" s="155" t="n"/>
    </row>
    <row r="17" ht="32" customHeight="1">
      <c r="A17" s="152" t="inlineStr">
        <is>
          <t>Q5</t>
        </is>
      </c>
      <c r="B17" s="132" t="inlineStr">
        <is>
          <t>Quality</t>
        </is>
      </c>
      <c r="C17" s="6" t="inlineStr">
        <is>
          <t>e-POD with signature or photo.</t>
        </is>
      </c>
      <c r="D17" s="153" t="inlineStr">
        <is>
          <t>Yes/Partial/No</t>
        </is>
      </c>
      <c r="E17" s="138" t="n"/>
      <c r="F17" s="155" t="n"/>
      <c r="G17" s="138" t="n"/>
      <c r="H17" s="155" t="n"/>
    </row>
    <row r="18" ht="32" customHeight="1">
      <c r="A18" s="152" t="inlineStr">
        <is>
          <t>Q6</t>
        </is>
      </c>
      <c r="B18" s="132" t="inlineStr">
        <is>
          <t>Quality</t>
        </is>
      </c>
      <c r="C18" s="6" t="inlineStr">
        <is>
          <t>Monthly KPI report per lane.</t>
        </is>
      </c>
      <c r="D18" s="153" t="inlineStr">
        <is>
          <t>Yes/Partial/No</t>
        </is>
      </c>
      <c r="E18" s="138" t="n"/>
      <c r="F18" s="155" t="n"/>
      <c r="G18" s="138" t="n"/>
      <c r="H18" s="155" t="n"/>
    </row>
    <row r="19" ht="32" customHeight="1">
      <c r="A19" s="152" t="inlineStr">
        <is>
          <t>Q7</t>
        </is>
      </c>
      <c r="B19" s="132" t="inlineStr">
        <is>
          <t>Quality</t>
        </is>
      </c>
      <c r="C19" s="6" t="inlineStr">
        <is>
          <t>Dedicated account manager.</t>
        </is>
      </c>
      <c r="D19" s="153" t="inlineStr">
        <is>
          <t>Yes/No</t>
        </is>
      </c>
      <c r="E19" s="138" t="n"/>
      <c r="F19" s="155" t="n"/>
      <c r="G19" s="138" t="n"/>
      <c r="H19" s="155" t="n"/>
    </row>
    <row r="20" ht="32" customHeight="1">
      <c r="A20" s="152" t="inlineStr">
        <is>
          <t>Q8</t>
        </is>
      </c>
      <c r="B20" s="132" t="inlineStr">
        <is>
          <t>Quality</t>
        </is>
      </c>
      <c r="C20" s="6" t="inlineStr">
        <is>
          <t>Customer service in English, Arabic, Turkish and French.</t>
        </is>
      </c>
      <c r="D20" s="153" t="inlineStr">
        <is>
          <t>Yes/Partial/No</t>
        </is>
      </c>
      <c r="E20" s="138" t="n"/>
      <c r="F20" s="155" t="n"/>
      <c r="G20" s="138" t="n"/>
      <c r="H20" s="155" t="n"/>
    </row>
    <row r="21" ht="32" customHeight="1">
      <c r="A21" s="152" t="inlineStr">
        <is>
          <t>N1</t>
        </is>
      </c>
      <c r="B21" s="132" t="inlineStr">
        <is>
          <t>Compliance</t>
        </is>
      </c>
      <c r="C21" s="6" t="inlineStr">
        <is>
          <t>Experience with Saudi SASO / SABER conformity for textiles and footwear.</t>
        </is>
      </c>
      <c r="D21" s="153" t="inlineStr">
        <is>
          <t>Yes/Partial/No</t>
        </is>
      </c>
      <c r="E21" s="138" t="n"/>
      <c r="F21" s="155" t="n"/>
      <c r="G21" s="138" t="n"/>
      <c r="H21" s="155" t="n"/>
    </row>
    <row r="22" ht="32" customHeight="1">
      <c r="A22" s="152" t="inlineStr">
        <is>
          <t>N2</t>
        </is>
      </c>
      <c r="B22" s="132" t="inlineStr">
        <is>
          <t>Compliance</t>
        </is>
      </c>
      <c r="C22" s="6" t="inlineStr">
        <is>
          <t>Support for preferential origin documents EUR.1 and A.TR.</t>
        </is>
      </c>
      <c r="D22" s="153" t="inlineStr">
        <is>
          <t>Yes/Partial/No</t>
        </is>
      </c>
      <c r="E22" s="138" t="n"/>
      <c r="F22" s="155" t="n"/>
      <c r="G22" s="138" t="n"/>
      <c r="H22" s="155" t="n"/>
    </row>
    <row r="23" ht="32" customHeight="1">
      <c r="A23" s="152" t="inlineStr">
        <is>
          <t>N3</t>
        </is>
      </c>
      <c r="B23" s="132" t="inlineStr">
        <is>
          <t>Compliance</t>
        </is>
      </c>
      <c r="C23" s="6" t="inlineStr">
        <is>
          <t>Process to collect import duty and VAT from the consignee under DAP, including failed deliveries.</t>
        </is>
      </c>
      <c r="D23" s="153" t="inlineStr">
        <is>
          <t>Yes/Partial/No</t>
        </is>
      </c>
      <c r="E23" s="138" t="n"/>
      <c r="F23" s="155" t="n"/>
      <c r="G23" s="138" t="n"/>
      <c r="H23" s="155" t="n"/>
    </row>
    <row r="24" ht="32" customHeight="1">
      <c r="A24" s="152" t="inlineStr">
        <is>
          <t>N4</t>
        </is>
      </c>
      <c r="B24" s="132" t="inlineStr">
        <is>
          <t>Compliance</t>
        </is>
      </c>
      <c r="C24" s="6" t="inlineStr">
        <is>
          <t>Handling of advance cargo information and pre-registration (for example Egypt ACI).</t>
        </is>
      </c>
      <c r="D24" s="153" t="inlineStr">
        <is>
          <t>Yes/Partial/No</t>
        </is>
      </c>
      <c r="E24" s="138" t="n"/>
      <c r="F24" s="155" t="n"/>
      <c r="G24" s="138" t="n"/>
      <c r="H24" s="155" t="n"/>
    </row>
    <row r="25" ht="32" customHeight="1">
      <c r="A25" s="152" t="inlineStr">
        <is>
          <t>C1</t>
        </is>
      </c>
      <c r="B25" s="132" t="inlineStr">
        <is>
          <t>Commercial</t>
        </is>
      </c>
      <c r="C25" s="6" t="inlineStr">
        <is>
          <t>Number of surcharges outside the Rate Card. List them in Details.</t>
        </is>
      </c>
      <c r="D25" s="153" t="inlineStr">
        <is>
          <t>Number</t>
        </is>
      </c>
      <c r="E25" s="156" t="n"/>
      <c r="F25" s="155" t="n"/>
      <c r="G25" s="138" t="n"/>
      <c r="H25" s="155" t="n"/>
    </row>
    <row r="26" ht="32" customHeight="1">
      <c r="A26" s="152" t="inlineStr">
        <is>
          <t>C2</t>
        </is>
      </c>
      <c r="B26" s="132" t="inlineStr">
        <is>
          <t>Commercial</t>
        </is>
      </c>
      <c r="C26" s="6" t="inlineStr">
        <is>
          <t>Fuel surcharge linked to a published index. Name the index in Details.</t>
        </is>
      </c>
      <c r="D26" s="153" t="inlineStr">
        <is>
          <t>Yes/No</t>
        </is>
      </c>
      <c r="E26" s="138" t="n"/>
      <c r="F26" s="155" t="n"/>
      <c r="G26" s="138" t="n"/>
      <c r="H26" s="155" t="n"/>
    </row>
    <row r="27" ht="32" customHeight="1">
      <c r="A27" s="152" t="inlineStr">
        <is>
          <t>C3</t>
        </is>
      </c>
      <c r="B27" s="132" t="inlineStr">
        <is>
          <t>Commercial</t>
        </is>
      </c>
      <c r="C27" s="6" t="inlineStr">
        <is>
          <t>Payment terms.</t>
        </is>
      </c>
      <c r="D27" s="153" t="inlineStr">
        <is>
          <t>Days</t>
        </is>
      </c>
      <c r="E27" s="146" t="n"/>
      <c r="F27" s="155" t="n"/>
      <c r="G27" s="138" t="n"/>
      <c r="H27" s="155" t="n"/>
    </row>
    <row r="28" ht="32" customHeight="1">
      <c r="A28" s="152" t="inlineStr">
        <is>
          <t>C4</t>
        </is>
      </c>
      <c r="B28" s="132" t="inlineStr">
        <is>
          <t>Commercial</t>
        </is>
      </c>
      <c r="C28" s="6" t="inlineStr">
        <is>
          <t>Cargo insurance premium as % of invoice value.</t>
        </is>
      </c>
      <c r="D28" s="153" t="inlineStr">
        <is>
          <t>Percent</t>
        </is>
      </c>
      <c r="E28" s="154" t="n"/>
      <c r="F28" s="155" t="n"/>
      <c r="G28" s="138" t="n"/>
      <c r="H28" s="155" t="n"/>
    </row>
    <row r="29" ht="32" customHeight="1">
      <c r="A29" s="152" t="inlineStr">
        <is>
          <t>C5</t>
        </is>
      </c>
      <c r="B29" s="132" t="inlineStr">
        <is>
          <t>Commercial</t>
        </is>
      </c>
      <c r="C29" s="6" t="inlineStr">
        <is>
          <t>Better rates if annual volume ends between Scenario A and Scenario B. Describe tiers in Details.</t>
        </is>
      </c>
      <c r="D29" s="153" t="inlineStr">
        <is>
          <t>Yes/Partial/No</t>
        </is>
      </c>
      <c r="E29" s="138" t="n"/>
      <c r="F29" s="155" t="n"/>
      <c r="G29" s="138" t="n"/>
      <c r="H29" s="155" t="n"/>
    </row>
    <row r="30" ht="32" customHeight="1">
      <c r="A30" s="152" t="inlineStr">
        <is>
          <t>S1</t>
        </is>
      </c>
      <c r="B30" s="132" t="inlineStr">
        <is>
          <t>Sustainability</t>
        </is>
      </c>
      <c r="C30" s="6" t="inlineStr">
        <is>
          <t>CO2e reporting per shipment (ISO 14083 / GLEC).</t>
        </is>
      </c>
      <c r="D30" s="153" t="inlineStr">
        <is>
          <t>Yes/Partial/No</t>
        </is>
      </c>
      <c r="E30" s="138" t="n"/>
      <c r="F30" s="155" t="n"/>
      <c r="G30" s="138" t="n"/>
      <c r="H30" s="155" t="n"/>
    </row>
    <row r="31" ht="32" customHeight="1">
      <c r="A31" s="152" t="inlineStr">
        <is>
          <t>H1</t>
        </is>
      </c>
      <c r="B31" s="132" t="inlineStr">
        <is>
          <t>Ease of working</t>
        </is>
      </c>
      <c r="C31" s="6" t="inlineStr">
        <is>
          <t>Who clears import customs at destination.</t>
        </is>
      </c>
      <c r="D31" s="153" t="inlineStr">
        <is>
          <t>Provider / Consignee broker / Mixed</t>
        </is>
      </c>
      <c r="E31" s="138" t="n"/>
      <c r="F31" s="155" t="n"/>
      <c r="G31" s="138" t="n"/>
      <c r="H31" s="155" t="n"/>
    </row>
    <row r="32" ht="32" customHeight="1">
      <c r="A32" s="152" t="inlineStr">
        <is>
          <t>H2</t>
        </is>
      </c>
      <c r="B32" s="132" t="inlineStr">
        <is>
          <t>Ease of working</t>
        </is>
      </c>
      <c r="C32" s="6" t="inlineStr">
        <is>
          <t>Number of parties handling a shipment from Helmond to the consignee door.</t>
        </is>
      </c>
      <c r="D32" s="153" t="inlineStr">
        <is>
          <t>Number</t>
        </is>
      </c>
      <c r="E32" s="156" t="n"/>
      <c r="F32" s="155" t="n"/>
      <c r="G32" s="138" t="n"/>
      <c r="H32" s="155" t="n"/>
    </row>
    <row r="33" ht="32" customHeight="1">
      <c r="A33" s="152" t="inlineStr">
        <is>
          <t>H3</t>
        </is>
      </c>
      <c r="B33" s="132" t="inlineStr">
        <is>
          <t>Ease of working</t>
        </is>
      </c>
      <c r="C33" s="6" t="inlineStr">
        <is>
          <t>One invoice covering all lanes.</t>
        </is>
      </c>
      <c r="D33" s="153" t="inlineStr">
        <is>
          <t>Yes/No</t>
        </is>
      </c>
      <c r="E33" s="138" t="n"/>
      <c r="F33" s="155" t="n"/>
      <c r="G33" s="138" t="n"/>
      <c r="H33" s="155" t="n"/>
    </row>
    <row r="34" ht="32" customHeight="1">
      <c r="A34" s="152" t="inlineStr">
        <is>
          <t>H4</t>
        </is>
      </c>
      <c r="B34" s="132" t="inlineStr">
        <is>
          <t>Ease of working</t>
        </is>
      </c>
      <c r="C34" s="6" t="inlineStr">
        <is>
          <t>Self-service booking portal.</t>
        </is>
      </c>
      <c r="D34" s="153" t="inlineStr">
        <is>
          <t>Yes/No</t>
        </is>
      </c>
      <c r="E34" s="138" t="n"/>
      <c r="F34" s="155" t="n"/>
      <c r="G34" s="138" t="n"/>
      <c r="H34" s="155" t="n"/>
    </row>
    <row r="35" ht="32" customHeight="1">
      <c r="A35" s="152" t="inlineStr">
        <is>
          <t>H5</t>
        </is>
      </c>
      <c r="B35" s="132" t="inlineStr">
        <is>
          <t>Ease of working</t>
        </is>
      </c>
      <c r="C35" s="6" t="inlineStr">
        <is>
          <t>One contact person for all lanes.</t>
        </is>
      </c>
      <c r="D35" s="153" t="inlineStr">
        <is>
          <t>Yes/No</t>
        </is>
      </c>
      <c r="E35" s="138" t="n"/>
      <c r="F35" s="155" t="n"/>
      <c r="G35" s="138" t="n"/>
      <c r="H35" s="155" t="n"/>
    </row>
  </sheetData>
  <sheetProtection selectLockedCells="0" selectUnlockedCells="0" sheet="1" objects="0" insertRows="1" insertHyperlinks="1" autoFilter="0" scenarios="0" formatColumns="0" deleteColumns="1" insertColumns="1" pivotTables="1" deleteRows="1" formatCells="1" formatRows="0" sort="0"/>
  <dataValidations count="6">
    <dataValidation sqref="B21 B22 B23 B24 B25 B26 B27 B31 B32 B33 B34 B35 B36 B37 B38 B39 B40 B41 B42 B43 B44 B45 B46 B47 B48 B49 B65 B66 B67 B68 B69 B70 F53 F54 F55 F56 F57 F58 F59 F60 F61 G53 G54 G55 G56 G57 G58 G59 G60 G61" showDropDown="0" showInputMessage="0" showErrorMessage="0" allowBlank="1" type="list">
      <formula1>"Yes,No"</formula1>
    </dataValidation>
    <dataValidation sqref="E19 E26 E33 E34 E35 G5 G6 G7 G8 G9 G10 G11 G12 G13 G14 G15 G16 G17 G18 G19 G20 G21 G22 G23 G24 G25 G26 G27 G28 G29 G30 G31 G32 G33 G34 G35" showDropDown="0" showInputMessage="0" showErrorMessage="0" allowBlank="1" type="list">
      <formula1>"Yes,No"</formula1>
    </dataValidation>
    <dataValidation sqref="E8 E9 E12 E16 E17 E18 E20 E21 E22 E23 E24 E29 E30" showDropDown="0" showInputMessage="0" showErrorMessage="0" allowBlank="1" type="list">
      <formula1>"Yes,Partial,No"</formula1>
    </dataValidation>
    <dataValidation sqref="E31" showDropDown="0" showInputMessage="0" showErrorMessage="0" allowBlank="1" type="list">
      <formula1>"Provider,Consignee broker,Mixed by country"</formula1>
    </dataValidation>
    <dataValidation sqref="E5 E6 E11 E13 E28" showDropDown="0" showInputMessage="0" showErrorMessage="1" allowBlank="1" error="Enter a percentage between 0% and 100%" type="decimal" operator="between">
      <formula1>0</formula1>
      <formula2>1</formula2>
    </dataValidation>
    <dataValidation sqref="E7 E10 E14 E15 E25 E27 E32" showDropDown="0" showInputMessage="0" showErrorMessage="1" allowBlank="1" error="Enter a number of 0 or more" type="decimal" operator="greaterThanOrEqual">
      <formula1>0</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BF9000"/>
    <outlinePr summaryBelow="1" summaryRight="1"/>
    <pageSetUpPr fitToPage="1"/>
  </sheetPr>
  <dimension ref="A1:T49"/>
  <sheetViews>
    <sheetView showGridLines="0" workbookViewId="0">
      <selection activeCell="A1" sqref="A1"/>
    </sheetView>
  </sheetViews>
  <sheetFormatPr baseColWidth="8" defaultRowHeight="15"/>
  <cols>
    <col width="46" customWidth="1" min="1" max="1"/>
    <col width="22" customWidth="1" min="2" max="2"/>
    <col width="20" customWidth="1" min="3" max="3"/>
    <col width="22" customWidth="1" min="4" max="4"/>
    <col width="26" customWidth="1" min="5" max="5"/>
    <col width="26" customWidth="1" min="6" max="6"/>
    <col width="12" customWidth="1" min="7" max="7"/>
    <col width="10" customWidth="1" min="8" max="8"/>
    <col width="12" customWidth="1" min="9" max="9"/>
    <col width="12" customWidth="1" min="10" max="10"/>
    <col width="12" customWidth="1" min="11" max="11"/>
    <col width="14" customWidth="1" min="12" max="12"/>
    <col width="14" customWidth="1" min="13" max="13"/>
    <col width="14" customWidth="1" min="14" max="14"/>
    <col width="12" customWidth="1" min="15" max="15"/>
    <col width="12" customWidth="1" min="16" max="16"/>
    <col width="12" customWidth="1" min="17" max="17"/>
    <col width="12" customWidth="1" min="18" max="18"/>
    <col width="12" customWidth="1" min="19" max="19"/>
    <col width="12" customWidth="1" min="20" max="20"/>
  </cols>
  <sheetData>
    <row r="1">
      <c r="A1" s="99" t="inlineStr">
        <is>
          <t>Optional: regional stock held by you</t>
        </is>
      </c>
    </row>
    <row r="2">
      <c r="A2" s="98" t="inlineStr">
        <is>
          <t>You may propose to hold FlexiTog stock in the region and deliver from there. FlexiTog then directs supplier deliveries to your warehouse, so replenishment arrives from our suppliers as well as from Helmond.</t>
        </is>
      </c>
    </row>
    <row r="3"/>
    <row r="4">
      <c r="A4" s="93" t="inlineStr">
        <is>
          <t>1. Proposed stock location(s)</t>
        </is>
      </c>
    </row>
    <row r="5" ht="44" customHeight="1">
      <c r="A5" s="10" t="inlineStr">
        <is>
          <t>#</t>
        </is>
      </c>
      <c r="B5" s="18" t="inlineStr">
        <is>
          <t>Location (city, country)</t>
        </is>
      </c>
      <c r="C5" s="18" t="inlineStr">
        <is>
          <t>Type (free zone, bonded, duty-paid)</t>
        </is>
      </c>
      <c r="D5" s="18" t="inlineStr">
        <is>
          <t>Receiving hours and booking lead time</t>
        </is>
      </c>
      <c r="E5" s="18" t="inlineStr">
        <is>
          <t>Inbound formats accepted (FCL 20/40ft, LCL, pallets, parcels)</t>
        </is>
      </c>
      <c r="F5" s="18" t="inlineStr">
        <is>
          <t>Labelling and ASN requirements for supplier deliveries</t>
        </is>
      </c>
    </row>
    <row r="6" ht="30" customHeight="1">
      <c r="A6" s="100" t="inlineStr">
        <is>
          <t>W1</t>
        </is>
      </c>
      <c r="B6" s="155" t="n"/>
      <c r="C6" s="155" t="n"/>
      <c r="D6" s="155" t="n"/>
      <c r="E6" s="155" t="n"/>
      <c r="F6" s="155" t="n"/>
    </row>
    <row r="7" ht="30" customHeight="1">
      <c r="A7" s="100" t="inlineStr">
        <is>
          <t>W2</t>
        </is>
      </c>
      <c r="B7" s="155" t="n"/>
      <c r="C7" s="155" t="n"/>
      <c r="D7" s="155" t="n"/>
      <c r="E7" s="155" t="n"/>
      <c r="F7" s="155" t="n"/>
    </row>
    <row r="8" ht="30" customHeight="1">
      <c r="A8" s="100" t="inlineStr">
        <is>
          <t>W3</t>
        </is>
      </c>
      <c r="B8" s="155" t="n"/>
      <c r="C8" s="155" t="n"/>
      <c r="D8" s="155" t="n"/>
      <c r="E8" s="155" t="n"/>
      <c r="F8" s="155" t="n"/>
    </row>
    <row r="9"/>
    <row r="10"/>
    <row r="11">
      <c r="A11" s="93" t="inlineStr">
        <is>
          <t>2. Lanes served from your stock</t>
        </is>
      </c>
    </row>
    <row r="12">
      <c r="A12" s="98" t="inlineStr">
        <is>
          <t>Set "Yes" for lanes you would serve from your stock by default. Single shipments can also move to another origin in the yellow columns of the schedules. Volumes, picks and delivery cost below follow the schedules.</t>
        </is>
      </c>
    </row>
    <row r="13" ht="58" customHeight="1">
      <c r="A13" s="10" t="inlineStr">
        <is>
          <t>Lane</t>
        </is>
      </c>
      <c r="B13" s="10" t="inlineStr">
        <is>
          <t>Destination</t>
        </is>
      </c>
      <c r="C13" s="10" t="inlineStr">
        <is>
          <t>Orders A</t>
        </is>
      </c>
      <c r="D13" s="10" t="inlineStr">
        <is>
          <t>Order lines (picks) A</t>
        </is>
      </c>
      <c r="E13" s="10" t="inlineStr">
        <is>
          <t>m3 A</t>
        </is>
      </c>
      <c r="F13" s="10" t="inlineStr">
        <is>
          <t>Orders B</t>
        </is>
      </c>
      <c r="G13" s="10" t="inlineStr">
        <is>
          <t>Order lines (picks) B</t>
        </is>
      </c>
      <c r="H13" s="10" t="inlineStr">
        <is>
          <t>m3 B</t>
        </is>
      </c>
      <c r="I13" s="18" t="inlineStr">
        <is>
          <t>Serve from your stock?</t>
        </is>
      </c>
      <c r="J13" s="18" t="inlineStr">
        <is>
          <t>Stock location (W1, W2, W3)</t>
        </is>
      </c>
      <c r="K13" s="18" t="inlineStr">
        <is>
          <t>Transit days from stock (working days)</t>
        </is>
      </c>
      <c r="L13" s="18" t="inlineStr">
        <is>
          <t>Delivery rate per shipment from stock (EUR)</t>
        </is>
      </c>
      <c r="M13" s="10" t="inlineStr">
        <is>
          <t>Delivery cost from other origins A</t>
        </is>
      </c>
      <c r="N13" s="10" t="inlineStr">
        <is>
          <t>Delivery cost from other origins B</t>
        </is>
      </c>
      <c r="O13" s="10" t="inlineStr">
        <is>
          <t>Shipments from your stock A</t>
        </is>
      </c>
      <c r="P13" s="10" t="inlineStr">
        <is>
          <t>Shipments from your stock B</t>
        </is>
      </c>
      <c r="Q13" s="10" t="inlineStr">
        <is>
          <t>m3 from stock A</t>
        </is>
      </c>
      <c r="R13" s="10" t="inlineStr">
        <is>
          <t>m3 from stock B</t>
        </is>
      </c>
      <c r="S13" s="10" t="inlineStr">
        <is>
          <t>Picks from stock A</t>
        </is>
      </c>
      <c r="T13" s="10" t="inlineStr">
        <is>
          <t>Picks from stock B</t>
        </is>
      </c>
    </row>
    <row r="14">
      <c r="A14" s="95" t="inlineStr">
        <is>
          <t>L01</t>
        </is>
      </c>
      <c r="B14" s="101" t="inlineStr">
        <is>
          <t>Saudi Arabia</t>
        </is>
      </c>
      <c r="C14" s="122">
        <f>Volumes!D6</f>
        <v/>
      </c>
      <c r="D14" s="122" t="n">
        <v>308</v>
      </c>
      <c r="E14" s="123">
        <f>Volumes!F6</f>
        <v/>
      </c>
      <c r="F14" s="122">
        <f>Volumes!D20</f>
        <v/>
      </c>
      <c r="G14" s="122" t="n">
        <v>721</v>
      </c>
      <c r="H14" s="123">
        <f>Volumes!F20</f>
        <v/>
      </c>
      <c r="I14" s="141" t="n"/>
      <c r="J14" s="141" t="n"/>
      <c r="K14" s="142" t="n"/>
      <c r="L14" s="143" t="n"/>
      <c r="M14" s="121">
        <f>SUMIFS(SA_Cost,SA_Lane,A14,SA_From,"&lt;&gt;Helmond")</f>
        <v/>
      </c>
      <c r="N14" s="121">
        <f>SUMIFS(SB_Cost,SB_Lane,A14,SB_From,"&lt;&gt;Helmond")</f>
        <v/>
      </c>
      <c r="O14" s="122">
        <f>COUNTIFS(SA_Lane,A14,SA_From,"&lt;&gt;Helmond",SA_From,"&lt;&gt;Other")</f>
        <v/>
      </c>
      <c r="P14" s="122">
        <f>COUNTIFS(SB_Lane,A14,SB_From,"&lt;&gt;Helmond",SB_From,"&lt;&gt;Other")</f>
        <v/>
      </c>
      <c r="Q14" s="123">
        <f>SUMIFS(SA_M3,SA_Lane,A14,SA_From,"&lt;&gt;Helmond",SA_From,"&lt;&gt;Other")</f>
        <v/>
      </c>
      <c r="R14" s="123">
        <f>SUMIFS(SB_M3,SB_Lane,A14,SB_From,"&lt;&gt;Helmond",SB_From,"&lt;&gt;Other")</f>
        <v/>
      </c>
      <c r="S14" s="122">
        <f>IFERROR(ROUND(O14*D14/C14,0),0)</f>
        <v/>
      </c>
      <c r="T14" s="122">
        <f>IFERROR(ROUND(P14*G14/F14,0),0)</f>
        <v/>
      </c>
    </row>
    <row r="15">
      <c r="A15" s="95" t="inlineStr">
        <is>
          <t>L02</t>
        </is>
      </c>
      <c r="B15" s="101" t="inlineStr">
        <is>
          <t>United Arab Emirates</t>
        </is>
      </c>
      <c r="C15" s="122">
        <f>Volumes!D7</f>
        <v/>
      </c>
      <c r="D15" s="122" t="n">
        <v>160</v>
      </c>
      <c r="E15" s="123">
        <f>Volumes!F7</f>
        <v/>
      </c>
      <c r="F15" s="122">
        <f>Volumes!D21</f>
        <v/>
      </c>
      <c r="G15" s="122" t="n">
        <v>373</v>
      </c>
      <c r="H15" s="123">
        <f>Volumes!F21</f>
        <v/>
      </c>
      <c r="I15" s="141" t="n"/>
      <c r="J15" s="141" t="n"/>
      <c r="K15" s="142" t="n"/>
      <c r="L15" s="143" t="n"/>
      <c r="M15" s="121">
        <f>SUMIFS(SA_Cost,SA_Lane,A15,SA_From,"&lt;&gt;Helmond")</f>
        <v/>
      </c>
      <c r="N15" s="121">
        <f>SUMIFS(SB_Cost,SB_Lane,A15,SB_From,"&lt;&gt;Helmond")</f>
        <v/>
      </c>
      <c r="O15" s="122">
        <f>COUNTIFS(SA_Lane,A15,SA_From,"&lt;&gt;Helmond",SA_From,"&lt;&gt;Other")</f>
        <v/>
      </c>
      <c r="P15" s="122">
        <f>COUNTIFS(SB_Lane,A15,SB_From,"&lt;&gt;Helmond",SB_From,"&lt;&gt;Other")</f>
        <v/>
      </c>
      <c r="Q15" s="123">
        <f>SUMIFS(SA_M3,SA_Lane,A15,SA_From,"&lt;&gt;Helmond",SA_From,"&lt;&gt;Other")</f>
        <v/>
      </c>
      <c r="R15" s="123">
        <f>SUMIFS(SB_M3,SB_Lane,A15,SB_From,"&lt;&gt;Helmond",SB_From,"&lt;&gt;Other")</f>
        <v/>
      </c>
      <c r="S15" s="122">
        <f>IFERROR(ROUND(O15*D15/C15,0),0)</f>
        <v/>
      </c>
      <c r="T15" s="122">
        <f>IFERROR(ROUND(P15*G15/F15,0),0)</f>
        <v/>
      </c>
    </row>
    <row r="16">
      <c r="A16" s="95" t="inlineStr">
        <is>
          <t>L03</t>
        </is>
      </c>
      <c r="B16" s="101" t="inlineStr">
        <is>
          <t>Kuwait</t>
        </is>
      </c>
      <c r="C16" s="122">
        <f>Volumes!D8</f>
        <v/>
      </c>
      <c r="D16" s="122" t="n">
        <v>64</v>
      </c>
      <c r="E16" s="123">
        <f>Volumes!F8</f>
        <v/>
      </c>
      <c r="F16" s="122">
        <f>Volumes!D22</f>
        <v/>
      </c>
      <c r="G16" s="122" t="n">
        <v>155</v>
      </c>
      <c r="H16" s="123">
        <f>Volumes!F22</f>
        <v/>
      </c>
      <c r="I16" s="141" t="n"/>
      <c r="J16" s="141" t="n"/>
      <c r="K16" s="142" t="n"/>
      <c r="L16" s="143" t="n"/>
      <c r="M16" s="121">
        <f>SUMIFS(SA_Cost,SA_Lane,A16,SA_From,"&lt;&gt;Helmond")</f>
        <v/>
      </c>
      <c r="N16" s="121">
        <f>SUMIFS(SB_Cost,SB_Lane,A16,SB_From,"&lt;&gt;Helmond")</f>
        <v/>
      </c>
      <c r="O16" s="122">
        <f>COUNTIFS(SA_Lane,A16,SA_From,"&lt;&gt;Helmond",SA_From,"&lt;&gt;Other")</f>
        <v/>
      </c>
      <c r="P16" s="122">
        <f>COUNTIFS(SB_Lane,A16,SB_From,"&lt;&gt;Helmond",SB_From,"&lt;&gt;Other")</f>
        <v/>
      </c>
      <c r="Q16" s="123">
        <f>SUMIFS(SA_M3,SA_Lane,A16,SA_From,"&lt;&gt;Helmond",SA_From,"&lt;&gt;Other")</f>
        <v/>
      </c>
      <c r="R16" s="123">
        <f>SUMIFS(SB_M3,SB_Lane,A16,SB_From,"&lt;&gt;Helmond",SB_From,"&lt;&gt;Other")</f>
        <v/>
      </c>
      <c r="S16" s="122">
        <f>IFERROR(ROUND(O16*D16/C16,0),0)</f>
        <v/>
      </c>
      <c r="T16" s="122">
        <f>IFERROR(ROUND(P16*G16/F16,0),0)</f>
        <v/>
      </c>
    </row>
    <row r="17">
      <c r="A17" s="95" t="inlineStr">
        <is>
          <t>L04</t>
        </is>
      </c>
      <c r="B17" s="101" t="inlineStr">
        <is>
          <t>Qatar</t>
        </is>
      </c>
      <c r="C17" s="122">
        <f>Volumes!D9</f>
        <v/>
      </c>
      <c r="D17" s="122" t="n">
        <v>42</v>
      </c>
      <c r="E17" s="123">
        <f>Volumes!F9</f>
        <v/>
      </c>
      <c r="F17" s="122">
        <f>Volumes!D23</f>
        <v/>
      </c>
      <c r="G17" s="122" t="n">
        <v>97</v>
      </c>
      <c r="H17" s="123">
        <f>Volumes!F23</f>
        <v/>
      </c>
      <c r="I17" s="141" t="n"/>
      <c r="J17" s="141" t="n"/>
      <c r="K17" s="142" t="n"/>
      <c r="L17" s="143" t="n"/>
      <c r="M17" s="121">
        <f>SUMIFS(SA_Cost,SA_Lane,A17,SA_From,"&lt;&gt;Helmond")</f>
        <v/>
      </c>
      <c r="N17" s="121">
        <f>SUMIFS(SB_Cost,SB_Lane,A17,SB_From,"&lt;&gt;Helmond")</f>
        <v/>
      </c>
      <c r="O17" s="122">
        <f>COUNTIFS(SA_Lane,A17,SA_From,"&lt;&gt;Helmond",SA_From,"&lt;&gt;Other")</f>
        <v/>
      </c>
      <c r="P17" s="122">
        <f>COUNTIFS(SB_Lane,A17,SB_From,"&lt;&gt;Helmond",SB_From,"&lt;&gt;Other")</f>
        <v/>
      </c>
      <c r="Q17" s="123">
        <f>SUMIFS(SA_M3,SA_Lane,A17,SA_From,"&lt;&gt;Helmond",SA_From,"&lt;&gt;Other")</f>
        <v/>
      </c>
      <c r="R17" s="123">
        <f>SUMIFS(SB_M3,SB_Lane,A17,SB_From,"&lt;&gt;Helmond",SB_From,"&lt;&gt;Other")</f>
        <v/>
      </c>
      <c r="S17" s="122">
        <f>IFERROR(ROUND(O17*D17/C17,0),0)</f>
        <v/>
      </c>
      <c r="T17" s="122">
        <f>IFERROR(ROUND(P17*G17/F17,0),0)</f>
        <v/>
      </c>
    </row>
    <row r="18">
      <c r="A18" s="95" t="inlineStr">
        <is>
          <t>L05</t>
        </is>
      </c>
      <c r="B18" s="101" t="inlineStr">
        <is>
          <t>Türkiye</t>
        </is>
      </c>
      <c r="C18" s="122">
        <f>Volumes!D10</f>
        <v/>
      </c>
      <c r="D18" s="122" t="n">
        <v>58</v>
      </c>
      <c r="E18" s="123">
        <f>Volumes!F10</f>
        <v/>
      </c>
      <c r="F18" s="122">
        <f>Volumes!D24</f>
        <v/>
      </c>
      <c r="G18" s="122" t="n">
        <v>134</v>
      </c>
      <c r="H18" s="123">
        <f>Volumes!F24</f>
        <v/>
      </c>
      <c r="I18" s="141" t="n"/>
      <c r="J18" s="141" t="n"/>
      <c r="K18" s="142" t="n"/>
      <c r="L18" s="143" t="n"/>
      <c r="M18" s="121">
        <f>SUMIFS(SA_Cost,SA_Lane,A18,SA_From,"&lt;&gt;Helmond")</f>
        <v/>
      </c>
      <c r="N18" s="121">
        <f>SUMIFS(SB_Cost,SB_Lane,A18,SB_From,"&lt;&gt;Helmond")</f>
        <v/>
      </c>
      <c r="O18" s="122">
        <f>COUNTIFS(SA_Lane,A18,SA_From,"&lt;&gt;Helmond",SA_From,"&lt;&gt;Other")</f>
        <v/>
      </c>
      <c r="P18" s="122">
        <f>COUNTIFS(SB_Lane,A18,SB_From,"&lt;&gt;Helmond",SB_From,"&lt;&gt;Other")</f>
        <v/>
      </c>
      <c r="Q18" s="123">
        <f>SUMIFS(SA_M3,SA_Lane,A18,SA_From,"&lt;&gt;Helmond",SA_From,"&lt;&gt;Other")</f>
        <v/>
      </c>
      <c r="R18" s="123">
        <f>SUMIFS(SB_M3,SB_Lane,A18,SB_From,"&lt;&gt;Helmond",SB_From,"&lt;&gt;Other")</f>
        <v/>
      </c>
      <c r="S18" s="122">
        <f>IFERROR(ROUND(O18*D18/C18,0),0)</f>
        <v/>
      </c>
      <c r="T18" s="122">
        <f>IFERROR(ROUND(P18*G18/F18,0),0)</f>
        <v/>
      </c>
    </row>
    <row r="19">
      <c r="A19" s="95" t="inlineStr">
        <is>
          <t>L06</t>
        </is>
      </c>
      <c r="B19" s="101" t="inlineStr">
        <is>
          <t>Morocco</t>
        </is>
      </c>
      <c r="C19" s="122">
        <f>Volumes!D11</f>
        <v/>
      </c>
      <c r="D19" s="122" t="n">
        <v>48</v>
      </c>
      <c r="E19" s="123">
        <f>Volumes!F11</f>
        <v/>
      </c>
      <c r="F19" s="122">
        <f>Volumes!D25</f>
        <v/>
      </c>
      <c r="G19" s="122" t="n">
        <v>104</v>
      </c>
      <c r="H19" s="123">
        <f>Volumes!F25</f>
        <v/>
      </c>
      <c r="I19" s="141" t="n"/>
      <c r="J19" s="141" t="n"/>
      <c r="K19" s="142" t="n"/>
      <c r="L19" s="143" t="n"/>
      <c r="M19" s="121">
        <f>SUMIFS(SA_Cost,SA_Lane,A19,SA_From,"&lt;&gt;Helmond")</f>
        <v/>
      </c>
      <c r="N19" s="121">
        <f>SUMIFS(SB_Cost,SB_Lane,A19,SB_From,"&lt;&gt;Helmond")</f>
        <v/>
      </c>
      <c r="O19" s="122">
        <f>COUNTIFS(SA_Lane,A19,SA_From,"&lt;&gt;Helmond",SA_From,"&lt;&gt;Other")</f>
        <v/>
      </c>
      <c r="P19" s="122">
        <f>COUNTIFS(SB_Lane,A19,SB_From,"&lt;&gt;Helmond",SB_From,"&lt;&gt;Other")</f>
        <v/>
      </c>
      <c r="Q19" s="123">
        <f>SUMIFS(SA_M3,SA_Lane,A19,SA_From,"&lt;&gt;Helmond",SA_From,"&lt;&gt;Other")</f>
        <v/>
      </c>
      <c r="R19" s="123">
        <f>SUMIFS(SB_M3,SB_Lane,A19,SB_From,"&lt;&gt;Helmond",SB_From,"&lt;&gt;Other")</f>
        <v/>
      </c>
      <c r="S19" s="122">
        <f>IFERROR(ROUND(O19*D19/C19,0),0)</f>
        <v/>
      </c>
      <c r="T19" s="122">
        <f>IFERROR(ROUND(P19*G19/F19,0),0)</f>
        <v/>
      </c>
    </row>
    <row r="20">
      <c r="A20" s="95" t="inlineStr">
        <is>
          <t>L07</t>
        </is>
      </c>
      <c r="B20" s="101" t="inlineStr">
        <is>
          <t>Algeria</t>
        </is>
      </c>
      <c r="C20" s="122">
        <f>Volumes!D12</f>
        <v/>
      </c>
      <c r="D20" s="122" t="n">
        <v>128</v>
      </c>
      <c r="E20" s="123">
        <f>Volumes!F12</f>
        <v/>
      </c>
      <c r="F20" s="122">
        <f>Volumes!D26</f>
        <v/>
      </c>
      <c r="G20" s="122" t="n">
        <v>288</v>
      </c>
      <c r="H20" s="123">
        <f>Volumes!F26</f>
        <v/>
      </c>
      <c r="I20" s="141" t="n"/>
      <c r="J20" s="141" t="n"/>
      <c r="K20" s="142" t="n"/>
      <c r="L20" s="143" t="n"/>
      <c r="M20" s="121">
        <f>SUMIFS(SA_Cost,SA_Lane,A20,SA_From,"&lt;&gt;Helmond")</f>
        <v/>
      </c>
      <c r="N20" s="121">
        <f>SUMIFS(SB_Cost,SB_Lane,A20,SB_From,"&lt;&gt;Helmond")</f>
        <v/>
      </c>
      <c r="O20" s="122">
        <f>COUNTIFS(SA_Lane,A20,SA_From,"&lt;&gt;Helmond",SA_From,"&lt;&gt;Other")</f>
        <v/>
      </c>
      <c r="P20" s="122">
        <f>COUNTIFS(SB_Lane,A20,SB_From,"&lt;&gt;Helmond",SB_From,"&lt;&gt;Other")</f>
        <v/>
      </c>
      <c r="Q20" s="123">
        <f>SUMIFS(SA_M3,SA_Lane,A20,SA_From,"&lt;&gt;Helmond",SA_From,"&lt;&gt;Other")</f>
        <v/>
      </c>
      <c r="R20" s="123">
        <f>SUMIFS(SB_M3,SB_Lane,A20,SB_From,"&lt;&gt;Helmond",SB_From,"&lt;&gt;Other")</f>
        <v/>
      </c>
      <c r="S20" s="122">
        <f>IFERROR(ROUND(O20*D20/C20,0),0)</f>
        <v/>
      </c>
      <c r="T20" s="122">
        <f>IFERROR(ROUND(P20*G20/F20,0),0)</f>
        <v/>
      </c>
    </row>
    <row r="21">
      <c r="A21" s="95" t="inlineStr">
        <is>
          <t>L08</t>
        </is>
      </c>
      <c r="B21" s="101" t="inlineStr">
        <is>
          <t>Egypt</t>
        </is>
      </c>
      <c r="C21" s="122">
        <f>Volumes!D13</f>
        <v/>
      </c>
      <c r="D21" s="122" t="n">
        <v>26</v>
      </c>
      <c r="E21" s="123">
        <f>Volumes!F13</f>
        <v/>
      </c>
      <c r="F21" s="122">
        <f>Volumes!D27</f>
        <v/>
      </c>
      <c r="G21" s="122" t="n">
        <v>56</v>
      </c>
      <c r="H21" s="123">
        <f>Volumes!F27</f>
        <v/>
      </c>
      <c r="I21" s="141" t="n"/>
      <c r="J21" s="141" t="n"/>
      <c r="K21" s="142" t="n"/>
      <c r="L21" s="143" t="n"/>
      <c r="M21" s="121">
        <f>SUMIFS(SA_Cost,SA_Lane,A21,SA_From,"&lt;&gt;Helmond")</f>
        <v/>
      </c>
      <c r="N21" s="121">
        <f>SUMIFS(SB_Cost,SB_Lane,A21,SB_From,"&lt;&gt;Helmond")</f>
        <v/>
      </c>
      <c r="O21" s="122">
        <f>COUNTIFS(SA_Lane,A21,SA_From,"&lt;&gt;Helmond",SA_From,"&lt;&gt;Other")</f>
        <v/>
      </c>
      <c r="P21" s="122">
        <f>COUNTIFS(SB_Lane,A21,SB_From,"&lt;&gt;Helmond",SB_From,"&lt;&gt;Other")</f>
        <v/>
      </c>
      <c r="Q21" s="123">
        <f>SUMIFS(SA_M3,SA_Lane,A21,SA_From,"&lt;&gt;Helmond",SA_From,"&lt;&gt;Other")</f>
        <v/>
      </c>
      <c r="R21" s="123">
        <f>SUMIFS(SB_M3,SB_Lane,A21,SB_From,"&lt;&gt;Helmond",SB_From,"&lt;&gt;Other")</f>
        <v/>
      </c>
      <c r="S21" s="122">
        <f>IFERROR(ROUND(O21*D21/C21,0),0)</f>
        <v/>
      </c>
      <c r="T21" s="122">
        <f>IFERROR(ROUND(P21*G21/F21,0),0)</f>
        <v/>
      </c>
    </row>
    <row r="22">
      <c r="A22" s="95" t="inlineStr">
        <is>
          <t>L09</t>
        </is>
      </c>
      <c r="B22" s="101" t="inlineStr">
        <is>
          <t>Tunisia</t>
        </is>
      </c>
      <c r="C22" s="122">
        <f>Volumes!D14</f>
        <v/>
      </c>
      <c r="D22" s="122" t="n">
        <v>6</v>
      </c>
      <c r="E22" s="123">
        <f>Volumes!F14</f>
        <v/>
      </c>
      <c r="F22" s="122">
        <f>Volumes!D28</f>
        <v/>
      </c>
      <c r="G22" s="122" t="n">
        <v>24</v>
      </c>
      <c r="H22" s="123">
        <f>Volumes!F28</f>
        <v/>
      </c>
      <c r="I22" s="141" t="n"/>
      <c r="J22" s="141" t="n"/>
      <c r="K22" s="142" t="n"/>
      <c r="L22" s="143" t="n"/>
      <c r="M22" s="121">
        <f>SUMIFS(SA_Cost,SA_Lane,A22,SA_From,"&lt;&gt;Helmond")</f>
        <v/>
      </c>
      <c r="N22" s="121">
        <f>SUMIFS(SB_Cost,SB_Lane,A22,SB_From,"&lt;&gt;Helmond")</f>
        <v/>
      </c>
      <c r="O22" s="122">
        <f>COUNTIFS(SA_Lane,A22,SA_From,"&lt;&gt;Helmond",SA_From,"&lt;&gt;Other")</f>
        <v/>
      </c>
      <c r="P22" s="122">
        <f>COUNTIFS(SB_Lane,A22,SB_From,"&lt;&gt;Helmond",SB_From,"&lt;&gt;Other")</f>
        <v/>
      </c>
      <c r="Q22" s="123">
        <f>SUMIFS(SA_M3,SA_Lane,A22,SA_From,"&lt;&gt;Helmond",SA_From,"&lt;&gt;Other")</f>
        <v/>
      </c>
      <c r="R22" s="123">
        <f>SUMIFS(SB_M3,SB_Lane,A22,SB_From,"&lt;&gt;Helmond",SB_From,"&lt;&gt;Other")</f>
        <v/>
      </c>
      <c r="S22" s="122">
        <f>IFERROR(ROUND(O22*D22/C22,0),0)</f>
        <v/>
      </c>
      <c r="T22" s="122">
        <f>IFERROR(ROUND(P22*G22/F22,0),0)</f>
        <v/>
      </c>
    </row>
    <row r="23">
      <c r="A23" s="96" t="inlineStr">
        <is>
          <t>Total</t>
        </is>
      </c>
      <c r="B23" s="118" t="inlineStr"/>
      <c r="C23" s="124">
        <f>SUM(C14:C22)</f>
        <v/>
      </c>
      <c r="D23" s="124">
        <f>SUM(D14:D22)</f>
        <v/>
      </c>
      <c r="E23" s="125">
        <f>SUM(E14:E22)</f>
        <v/>
      </c>
      <c r="F23" s="124">
        <f>SUM(F14:F22)</f>
        <v/>
      </c>
      <c r="G23" s="124">
        <f>SUM(G14:G22)</f>
        <v/>
      </c>
      <c r="H23" s="125">
        <f>SUM(H14:H22)</f>
        <v/>
      </c>
      <c r="I23" s="117">
        <f>COUNTIF(I14:I22,"Yes")&amp;" lanes"</f>
        <v/>
      </c>
      <c r="J23" s="118" t="inlineStr"/>
      <c r="K23" s="118" t="inlineStr"/>
      <c r="L23" s="118" t="inlineStr"/>
      <c r="M23" s="119">
        <f>SUM(M14:M22)</f>
        <v/>
      </c>
      <c r="N23" s="119">
        <f>SUM(N14:N22)</f>
        <v/>
      </c>
      <c r="O23" s="124">
        <f>SUM(O14:O22)</f>
        <v/>
      </c>
      <c r="P23" s="124">
        <f>SUM(P14:P22)</f>
        <v/>
      </c>
      <c r="Q23" s="125">
        <f>SUM(Q14:Q22)</f>
        <v/>
      </c>
      <c r="R23" s="125">
        <f>SUM(R14:R22)</f>
        <v/>
      </c>
      <c r="S23" s="124">
        <f>SUM(S14:S22)</f>
        <v/>
      </c>
      <c r="T23" s="124">
        <f>SUM(T14:T22)</f>
        <v/>
      </c>
    </row>
    <row r="24"/>
    <row r="25"/>
    <row r="26">
      <c r="A26" s="93" t="inlineStr">
        <is>
          <t>3. Warehouse volumes for shipments served from your stock</t>
        </is>
      </c>
    </row>
    <row r="27" ht="44" customHeight="1">
      <c r="A27" s="10" t="inlineStr">
        <is>
          <t>Item</t>
        </is>
      </c>
      <c r="B27" s="10" t="inlineStr">
        <is>
          <t>Scenario A</t>
        </is>
      </c>
      <c r="C27" s="10" t="inlineStr">
        <is>
          <t>Scenario B</t>
        </is>
      </c>
      <c r="D27" s="10" t="inlineStr">
        <is>
          <t>Unit</t>
        </is>
      </c>
    </row>
    <row r="28">
      <c r="A28" s="95" t="inlineStr">
        <is>
          <t>Average stock pallet positions (indicative)</t>
        </is>
      </c>
      <c r="B28" s="122">
        <f>ROUNDUP(Q23/52*6/1.5,0)</f>
        <v/>
      </c>
      <c r="C28" s="122">
        <f>ROUNDUP(R23/52*6/1.5,0)</f>
        <v/>
      </c>
      <c r="D28" s="110" t="inlineStr">
        <is>
          <t>pallets</t>
        </is>
      </c>
    </row>
    <row r="29">
      <c r="A29" s="95" t="inlineStr">
        <is>
          <t>Inbound pallets per year (supplier and Helmond deliveries)</t>
        </is>
      </c>
      <c r="B29" s="122">
        <f>ROUND(Q23/1.5,0)</f>
        <v/>
      </c>
      <c r="C29" s="122">
        <f>ROUND(R23/1.5,0)</f>
        <v/>
      </c>
      <c r="D29" s="110" t="inlineStr">
        <is>
          <t>pallets</t>
        </is>
      </c>
    </row>
    <row r="30">
      <c r="A30" s="95" t="inlineStr">
        <is>
          <t>Order lines picked per year</t>
        </is>
      </c>
      <c r="B30" s="122">
        <f>S23</f>
        <v/>
      </c>
      <c r="C30" s="122">
        <f>T23</f>
        <v/>
      </c>
      <c r="D30" s="110" t="inlineStr">
        <is>
          <t>lines</t>
        </is>
      </c>
    </row>
    <row r="31">
      <c r="A31" s="95" t="inlineStr">
        <is>
          <t>Outbound orders per year</t>
        </is>
      </c>
      <c r="B31" s="122">
        <f>O23</f>
        <v/>
      </c>
      <c r="C31" s="122">
        <f>P23</f>
        <v/>
      </c>
      <c r="D31" s="110" t="inlineStr">
        <is>
          <t>orders</t>
        </is>
      </c>
    </row>
    <row r="32"/>
    <row r="33">
      <c r="A33" s="93" t="inlineStr">
        <is>
          <t>4. Your warehouse rates (EUR excl. VAT)</t>
        </is>
      </c>
    </row>
    <row r="34" ht="44" customHeight="1">
      <c r="A34" s="10" t="inlineStr">
        <is>
          <t>Rate</t>
        </is>
      </c>
      <c r="B34" s="18" t="inlineStr">
        <is>
          <t>Your rate</t>
        </is>
      </c>
      <c r="C34" s="10" t="inlineStr">
        <is>
          <t>Unit</t>
        </is>
      </c>
      <c r="D34" s="10" t="inlineStr">
        <is>
          <t>Annual cost A</t>
        </is>
      </c>
      <c r="E34" s="10" t="inlineStr">
        <is>
          <t>Annual cost B</t>
        </is>
      </c>
    </row>
    <row r="35">
      <c r="A35" s="95" t="inlineStr">
        <is>
          <t>Storage per pallet position per month</t>
        </is>
      </c>
      <c r="B35" s="143" t="n"/>
      <c r="C35" s="110" t="inlineStr">
        <is>
          <t>per pallet per month</t>
        </is>
      </c>
      <c r="D35" s="121">
        <f>N(B35)*B28*12</f>
        <v/>
      </c>
      <c r="E35" s="121">
        <f>N(B35)*C28*12</f>
        <v/>
      </c>
    </row>
    <row r="36">
      <c r="A36" s="95" t="inlineStr">
        <is>
          <t>Inbound receiving per pallet (any origin)</t>
        </is>
      </c>
      <c r="B36" s="143" t="n"/>
      <c r="C36" s="110" t="inlineStr">
        <is>
          <t>per pallet</t>
        </is>
      </c>
      <c r="D36" s="121">
        <f>N(B36)*B29</f>
        <v/>
      </c>
      <c r="E36" s="121">
        <f>N(B36)*C29</f>
        <v/>
      </c>
    </row>
    <row r="37">
      <c r="A37" s="95" t="inlineStr">
        <is>
          <t>Container devanning, 20ft (information only)</t>
        </is>
      </c>
      <c r="B37" s="143" t="n"/>
      <c r="C37" s="110" t="inlineStr">
        <is>
          <t>per container</t>
        </is>
      </c>
      <c r="D37" s="121" t="n"/>
      <c r="E37" s="121" t="n"/>
    </row>
    <row r="38">
      <c r="A38" s="95" t="inlineStr">
        <is>
          <t>Container devanning, 40ft (information only)</t>
        </is>
      </c>
      <c r="B38" s="143" t="n"/>
      <c r="C38" s="110" t="inlineStr">
        <is>
          <t>per container</t>
        </is>
      </c>
      <c r="D38" s="121" t="n"/>
      <c r="E38" s="121" t="n"/>
    </row>
    <row r="39">
      <c r="A39" s="95" t="inlineStr">
        <is>
          <t>Pick per order line</t>
        </is>
      </c>
      <c r="B39" s="143" t="n"/>
      <c r="C39" s="110" t="inlineStr">
        <is>
          <t>per line</t>
        </is>
      </c>
      <c r="D39" s="121">
        <f>N(B39)*B30</f>
        <v/>
      </c>
      <c r="E39" s="121">
        <f>N(B39)*C30</f>
        <v/>
      </c>
    </row>
    <row r="40">
      <c r="A40" s="95" t="inlineStr">
        <is>
          <t>Pack and dispatch per order</t>
        </is>
      </c>
      <c r="B40" s="143" t="n"/>
      <c r="C40" s="110" t="inlineStr">
        <is>
          <t>per order</t>
        </is>
      </c>
      <c r="D40" s="121">
        <f>N(B40)*B31</f>
        <v/>
      </c>
      <c r="E40" s="121">
        <f>N(B40)*C31</f>
        <v/>
      </c>
    </row>
    <row r="41">
      <c r="A41" s="95" t="inlineStr">
        <is>
          <t>Fixed monthly fee (account, WMS, minimum)</t>
        </is>
      </c>
      <c r="B41" s="143" t="n"/>
      <c r="C41" s="110" t="inlineStr">
        <is>
          <t>per month</t>
        </is>
      </c>
      <c r="D41" s="121">
        <f>IF(O23=0,0,N(B41)*12)</f>
        <v/>
      </c>
      <c r="E41" s="121">
        <f>IF(P23=0,0,N(B41)*12)</f>
        <v/>
      </c>
    </row>
    <row r="42">
      <c r="A42" s="95" t="inlineStr">
        <is>
          <t>Line haul Helmond to your warehouse per pallet (information only)</t>
        </is>
      </c>
      <c r="B42" s="143" t="n"/>
      <c r="C42" s="110" t="inlineStr">
        <is>
          <t>per pallet</t>
        </is>
      </c>
      <c r="D42" s="121" t="n"/>
      <c r="E42" s="121" t="n"/>
    </row>
    <row r="43">
      <c r="A43" s="95" t="inlineStr">
        <is>
          <t>Deliveries from other origins (from the schedules)</t>
        </is>
      </c>
      <c r="B43" s="110" t="inlineStr">
        <is>
          <t>see section 2</t>
        </is>
      </c>
      <c r="C43" s="110" t="inlineStr">
        <is>
          <t>per shipment</t>
        </is>
      </c>
      <c r="D43" s="121">
        <f>M23</f>
        <v/>
      </c>
      <c r="E43" s="121">
        <f>N23</f>
        <v/>
      </c>
    </row>
    <row r="44">
      <c r="A44" s="96" t="inlineStr">
        <is>
          <t>Total other-origin cost</t>
        </is>
      </c>
      <c r="B44" s="118" t="inlineStr"/>
      <c r="C44" s="118" t="inlineStr"/>
      <c r="D44" s="119">
        <f>SUM(D35:D43)</f>
        <v/>
      </c>
      <c r="E44" s="119">
        <f>SUM(E35:E43)</f>
        <v/>
      </c>
    </row>
    <row r="45"/>
    <row r="46">
      <c r="A46" s="93" t="inlineStr">
        <is>
          <t>5. Replenishment</t>
        </is>
      </c>
    </row>
    <row r="47">
      <c r="A47" s="111" t="inlineStr">
        <is>
          <t>• FlexiTog arranges and pays the supplier deliveries into your warehouse. Supplier origins are shared after selection.</t>
        </is>
      </c>
    </row>
    <row r="48">
      <c r="A48" s="111" t="inlineStr">
        <is>
          <t>• Please describe in section 1 what you need from a supplier delivery: booking lead time, advance shipping notice, pallet type, labels and documents.</t>
        </is>
      </c>
    </row>
    <row r="49">
      <c r="A49" s="111" t="inlineStr">
        <is>
          <t>• Please state whether your warehouse holds goods duty-unpaid (free zone or bonded) and how you clear each outbound delivery into the destination country.</t>
        </is>
      </c>
    </row>
  </sheetData>
  <sheetProtection selectLockedCells="0" selectUnlockedCells="0" sheet="1" objects="0" insertRows="1" insertHyperlinks="1" autoFilter="0" scenarios="0" formatColumns="0" deleteColumns="1" insertColumns="1" pivotTables="1" deleteRows="1" formatCells="1" formatRows="0" sort="0"/>
  <dataValidations count="2">
    <dataValidation sqref="I14 I15 I16 I17 I18 I19 I20 I21 I22" showDropDown="0" showInputMessage="0" showErrorMessage="0" allowBlank="1" type="list">
      <formula1>"Yes,No"</formula1>
    </dataValidation>
    <dataValidation sqref="J14 J15 J16 J17 J18 J19 J20 J21 J22" showDropDown="0" showInputMessage="0" showErrorMessage="0" allowBlank="1" type="list">
      <formula1>"W1,W2,W3"</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D737"/>
  <sheetViews>
    <sheetView workbookViewId="0">
      <selection activeCell="A1" sqref="A1"/>
    </sheetView>
  </sheetViews>
  <sheetFormatPr baseColWidth="8" defaultRowHeight="15"/>
  <cols>
    <col width="38" customWidth="1" min="1" max="1"/>
    <col width="22" customWidth="1" min="2" max="2"/>
    <col width="9" customWidth="1" min="3" max="3"/>
    <col width="60" customWidth="1" min="4" max="4"/>
  </cols>
  <sheetData>
    <row r="1">
      <c r="A1" s="157" t="inlineStr">
        <is>
          <t>key</t>
        </is>
      </c>
      <c r="B1" s="157" t="inlineStr">
        <is>
          <t>value</t>
        </is>
      </c>
      <c r="C1" s="157" t="inlineStr">
        <is>
          <t>type</t>
        </is>
      </c>
      <c r="D1" s="157" t="inlineStr">
        <is>
          <t>description</t>
        </is>
      </c>
    </row>
    <row r="2">
      <c r="A2" s="158" t="inlineStr">
        <is>
          <t>meta.rfq_version</t>
        </is>
      </c>
      <c r="B2" t="inlineStr">
        <is>
          <t>RFQ-MENA-TR v1.0</t>
        </is>
      </c>
      <c r="C2" s="158" t="inlineStr">
        <is>
          <t>text</t>
        </is>
      </c>
      <c r="D2" s="158" t="inlineStr">
        <is>
          <t>Template version</t>
        </is>
      </c>
    </row>
    <row r="3">
      <c r="A3" s="158" t="inlineStr">
        <is>
          <t>meta.export_rows</t>
        </is>
      </c>
      <c r="B3" t="n">
        <v>734</v>
      </c>
      <c r="C3" t="inlineStr">
        <is>
          <t>number</t>
        </is>
      </c>
      <c r="D3" t="inlineStr">
        <is>
          <t>Number of key rows below</t>
        </is>
      </c>
    </row>
    <row r="4">
      <c r="A4" t="inlineStr">
        <is>
          <t>provider.provider_id</t>
        </is>
      </c>
      <c r="B4">
        <f>IF('Provider Profile'!B6="","",'Provider Profile'!B6)</f>
        <v/>
      </c>
      <c r="C4" t="inlineStr">
        <is>
          <t>text</t>
        </is>
      </c>
      <c r="D4" t="inlineStr">
        <is>
          <t>Provider ID (filled in by FlexiTog)</t>
        </is>
      </c>
    </row>
    <row r="5">
      <c r="A5" t="inlineStr">
        <is>
          <t>provider.name</t>
        </is>
      </c>
      <c r="B5">
        <f>IF('Provider Profile'!B7="","",'Provider Profile'!B7)</f>
        <v/>
      </c>
      <c r="C5" t="inlineStr">
        <is>
          <t>text</t>
        </is>
      </c>
      <c r="D5" t="inlineStr">
        <is>
          <t>Company name</t>
        </is>
      </c>
    </row>
    <row r="6">
      <c r="A6" t="inlineStr">
        <is>
          <t>provider.website</t>
        </is>
      </c>
      <c r="B6">
        <f>IF('Provider Profile'!B8="","",'Provider Profile'!B8)</f>
        <v/>
      </c>
      <c r="C6" t="inlineStr">
        <is>
          <t>text</t>
        </is>
      </c>
      <c r="D6" t="inlineStr">
        <is>
          <t>Website</t>
        </is>
      </c>
    </row>
    <row r="7">
      <c r="A7" t="inlineStr">
        <is>
          <t>provider.contact_name</t>
        </is>
      </c>
      <c r="B7">
        <f>IF('Provider Profile'!B9="","",'Provider Profile'!B9)</f>
        <v/>
      </c>
      <c r="C7" t="inlineStr">
        <is>
          <t>text</t>
        </is>
      </c>
      <c r="D7" t="inlineStr">
        <is>
          <t>Contact person</t>
        </is>
      </c>
    </row>
    <row r="8">
      <c r="A8" t="inlineStr">
        <is>
          <t>provider.contact_phone</t>
        </is>
      </c>
      <c r="B8">
        <f>IF('Provider Profile'!B10="","",'Provider Profile'!B10)</f>
        <v/>
      </c>
      <c r="C8" t="inlineStr">
        <is>
          <t>text</t>
        </is>
      </c>
      <c r="D8" t="inlineStr">
        <is>
          <t>Contact phone</t>
        </is>
      </c>
    </row>
    <row r="9">
      <c r="A9" t="inlineStr">
        <is>
          <t>provider.contact_email</t>
        </is>
      </c>
      <c r="B9">
        <f>IF('Provider Profile'!B11="","",'Provider Profile'!B11)</f>
        <v/>
      </c>
      <c r="C9" t="inlineStr">
        <is>
          <t>text</t>
        </is>
      </c>
      <c r="D9" t="inlineStr">
        <is>
          <t>Contact e-mail</t>
        </is>
      </c>
    </row>
    <row r="10">
      <c r="A10" t="inlineStr">
        <is>
          <t>provider.hq_country</t>
        </is>
      </c>
      <c r="B10">
        <f>IF('Provider Profile'!B12="","",'Provider Profile'!B12)</f>
        <v/>
      </c>
      <c r="C10" t="inlineStr">
        <is>
          <t>text</t>
        </is>
      </c>
      <c r="D10" t="inlineStr">
        <is>
          <t>Head office country</t>
        </is>
      </c>
    </row>
    <row r="11">
      <c r="A11" t="inlineStr">
        <is>
          <t>provider.quote_reference</t>
        </is>
      </c>
      <c r="B11">
        <f>IF('Provider Profile'!B13="","",'Provider Profile'!B13)</f>
        <v/>
      </c>
      <c r="C11" t="inlineStr">
        <is>
          <t>text</t>
        </is>
      </c>
      <c r="D11" t="inlineStr">
        <is>
          <t>Your quote reference</t>
        </is>
      </c>
    </row>
    <row r="12">
      <c r="A12" t="inlineStr">
        <is>
          <t>provider.quote_valid_until</t>
        </is>
      </c>
      <c r="B12">
        <f>IF('Provider Profile'!B14="","",'Provider Profile'!B14)</f>
        <v/>
      </c>
      <c r="C12" t="inlineStr">
        <is>
          <t>date</t>
        </is>
      </c>
      <c r="D12" t="inlineStr">
        <is>
          <t>Quote valid until</t>
        </is>
      </c>
    </row>
    <row r="13">
      <c r="A13" t="inlineStr">
        <is>
          <t>provider.response_date</t>
        </is>
      </c>
      <c r="B13">
        <f>IF('Provider Profile'!B15="","",'Provider Profile'!B15)</f>
        <v/>
      </c>
      <c r="C13" t="inlineStr">
        <is>
          <t>date</t>
        </is>
      </c>
      <c r="D13" t="inlineStr">
        <is>
          <t>Response date</t>
        </is>
      </c>
    </row>
    <row r="14">
      <c r="A14" t="inlineStr">
        <is>
          <t>provider.currency</t>
        </is>
      </c>
      <c r="B14">
        <f>IF('Provider Profile'!B16="","",'Provider Profile'!B16)</f>
        <v/>
      </c>
      <c r="C14" t="inlineStr">
        <is>
          <t>text</t>
        </is>
      </c>
      <c r="D14" t="inlineStr">
        <is>
          <t>Quote currency</t>
        </is>
      </c>
    </row>
    <row r="15">
      <c r="A15" t="inlineStr">
        <is>
          <t>type.freight_forwarder</t>
        </is>
      </c>
      <c r="B15">
        <f>IF('Provider Profile'!B21="","",'Provider Profile'!B21)</f>
        <v/>
      </c>
      <c r="C15" t="inlineStr">
        <is>
          <t>yesno</t>
        </is>
      </c>
      <c r="D15" t="inlineStr">
        <is>
          <t>Freight forwarder</t>
        </is>
      </c>
    </row>
    <row r="16">
      <c r="A16" t="inlineStr">
        <is>
          <t>type.3pl_contract_logistics</t>
        </is>
      </c>
      <c r="B16">
        <f>IF('Provider Profile'!B22="","",'Provider Profile'!B22)</f>
        <v/>
      </c>
      <c r="C16" t="inlineStr">
        <is>
          <t>yesno</t>
        </is>
      </c>
      <c r="D16" t="inlineStr">
        <is>
          <t>3PL / contract logistics</t>
        </is>
      </c>
    </row>
    <row r="17">
      <c r="A17" t="inlineStr">
        <is>
          <t>type.carrier_own_fleet</t>
        </is>
      </c>
      <c r="B17">
        <f>IF('Provider Profile'!B23="","",'Provider Profile'!B23)</f>
        <v/>
      </c>
      <c r="C17" t="inlineStr">
        <is>
          <t>yesno</t>
        </is>
      </c>
      <c r="D17" t="inlineStr">
        <is>
          <t>Carrier (own fleet)</t>
        </is>
      </c>
    </row>
    <row r="18">
      <c r="A18" t="inlineStr">
        <is>
          <t>type.courier_express</t>
        </is>
      </c>
      <c r="B18">
        <f>IF('Provider Profile'!B24="","",'Provider Profile'!B24)</f>
        <v/>
      </c>
      <c r="C18" t="inlineStr">
        <is>
          <t>yesno</t>
        </is>
      </c>
      <c r="D18" t="inlineStr">
        <is>
          <t>Courier / express</t>
        </is>
      </c>
    </row>
    <row r="19">
      <c r="A19" t="inlineStr">
        <is>
          <t>type.customs_broker</t>
        </is>
      </c>
      <c r="B19">
        <f>IF('Provider Profile'!B25="","",'Provider Profile'!B25)</f>
        <v/>
      </c>
      <c r="C19" t="inlineStr">
        <is>
          <t>yesno</t>
        </is>
      </c>
      <c r="D19" t="inlineStr">
        <is>
          <t>Customs broker</t>
        </is>
      </c>
    </row>
    <row r="20">
      <c r="A20" t="inlineStr">
        <is>
          <t>type.distributor</t>
        </is>
      </c>
      <c r="B20">
        <f>IF('Provider Profile'!B26="","",'Provider Profile'!B26)</f>
        <v/>
      </c>
      <c r="C20" t="inlineStr">
        <is>
          <t>yesno</t>
        </is>
      </c>
      <c r="D20" t="inlineStr">
        <is>
          <t>Distributor</t>
        </is>
      </c>
    </row>
    <row r="21">
      <c r="A21" t="inlineStr">
        <is>
          <t>type.4pl_lead_logistics_provider</t>
        </is>
      </c>
      <c r="B21">
        <f>IF('Provider Profile'!B27="","",'Provider Profile'!B27)</f>
        <v/>
      </c>
      <c r="C21" t="inlineStr">
        <is>
          <t>yesno</t>
        </is>
      </c>
      <c r="D21" t="inlineStr">
        <is>
          <t>4PL / lead logistics provider</t>
        </is>
      </c>
    </row>
    <row r="22">
      <c r="A22" t="inlineStr">
        <is>
          <t>service.road_ftl</t>
        </is>
      </c>
      <c r="B22">
        <f>IF('Provider Profile'!B31="","",'Provider Profile'!B31)</f>
        <v/>
      </c>
      <c r="C22" t="inlineStr">
        <is>
          <t>yesno</t>
        </is>
      </c>
      <c r="D22" t="inlineStr">
        <is>
          <t>Road FTL</t>
        </is>
      </c>
    </row>
    <row r="23">
      <c r="A23" t="inlineStr">
        <is>
          <t>service.road_groupage_ltl</t>
        </is>
      </c>
      <c r="B23">
        <f>IF('Provider Profile'!B32="","",'Provider Profile'!B32)</f>
        <v/>
      </c>
      <c r="C23" t="inlineStr">
        <is>
          <t>yesno</t>
        </is>
      </c>
      <c r="D23" t="inlineStr">
        <is>
          <t>Road groupage (LTL)</t>
        </is>
      </c>
    </row>
    <row r="24">
      <c r="A24" t="inlineStr">
        <is>
          <t>service.sea_fcl</t>
        </is>
      </c>
      <c r="B24">
        <f>IF('Provider Profile'!B33="","",'Provider Profile'!B33)</f>
        <v/>
      </c>
      <c r="C24" t="inlineStr">
        <is>
          <t>yesno</t>
        </is>
      </c>
      <c r="D24" t="inlineStr">
        <is>
          <t>Sea FCL</t>
        </is>
      </c>
    </row>
    <row r="25">
      <c r="A25" t="inlineStr">
        <is>
          <t>service.sea_lcl</t>
        </is>
      </c>
      <c r="B25">
        <f>IF('Provider Profile'!B34="","",'Provider Profile'!B34)</f>
        <v/>
      </c>
      <c r="C25" t="inlineStr">
        <is>
          <t>yesno</t>
        </is>
      </c>
      <c r="D25" t="inlineStr">
        <is>
          <t>Sea LCL</t>
        </is>
      </c>
    </row>
    <row r="26">
      <c r="A26" t="inlineStr">
        <is>
          <t>service.air_freight</t>
        </is>
      </c>
      <c r="B26">
        <f>IF('Provider Profile'!B35="","",'Provider Profile'!B35)</f>
        <v/>
      </c>
      <c r="C26" t="inlineStr">
        <is>
          <t>yesno</t>
        </is>
      </c>
      <c r="D26" t="inlineStr">
        <is>
          <t>Air freight</t>
        </is>
      </c>
    </row>
    <row r="27">
      <c r="A27" t="inlineStr">
        <is>
          <t>service.express_courier</t>
        </is>
      </c>
      <c r="B27">
        <f>IF('Provider Profile'!B36="","",'Provider Profile'!B36)</f>
        <v/>
      </c>
      <c r="C27" t="inlineStr">
        <is>
          <t>yesno</t>
        </is>
      </c>
      <c r="D27" t="inlineStr">
        <is>
          <t>Express / courier</t>
        </is>
      </c>
    </row>
    <row r="28">
      <c r="A28" t="inlineStr">
        <is>
          <t>service.export_customs_clearance_nl</t>
        </is>
      </c>
      <c r="B28">
        <f>IF('Provider Profile'!B37="","",'Provider Profile'!B37)</f>
        <v/>
      </c>
      <c r="C28" t="inlineStr">
        <is>
          <t>yesno</t>
        </is>
      </c>
      <c r="D28" t="inlineStr">
        <is>
          <t>Export customs clearance (NL)</t>
        </is>
      </c>
    </row>
    <row r="29">
      <c r="A29" t="inlineStr">
        <is>
          <t>service.import_customs_brokerage</t>
        </is>
      </c>
      <c r="B29">
        <f>IF('Provider Profile'!B38="","",'Provider Profile'!B38)</f>
        <v/>
      </c>
      <c r="C29" t="inlineStr">
        <is>
          <t>yesno</t>
        </is>
      </c>
      <c r="D29" t="inlineStr">
        <is>
          <t>Import customs brokerage</t>
        </is>
      </c>
    </row>
    <row r="30">
      <c r="A30" t="inlineStr">
        <is>
          <t>service.ddp_service</t>
        </is>
      </c>
      <c r="B30">
        <f>IF('Provider Profile'!B39="","",'Provider Profile'!B39)</f>
        <v/>
      </c>
      <c r="C30" t="inlineStr">
        <is>
          <t>yesno</t>
        </is>
      </c>
      <c r="D30" t="inlineStr">
        <is>
          <t>DDP service</t>
        </is>
      </c>
    </row>
    <row r="31">
      <c r="A31" t="inlineStr">
        <is>
          <t>service.warehousing</t>
        </is>
      </c>
      <c r="B31">
        <f>IF('Provider Profile'!B40="","",'Provider Profile'!B40)</f>
        <v/>
      </c>
      <c r="C31" t="inlineStr">
        <is>
          <t>yesno</t>
        </is>
      </c>
      <c r="D31" t="inlineStr">
        <is>
          <t>Warehousing</t>
        </is>
      </c>
    </row>
    <row r="32">
      <c r="A32" t="inlineStr">
        <is>
          <t>service.cross_docking</t>
        </is>
      </c>
      <c r="B32">
        <f>IF('Provider Profile'!B41="","",'Provider Profile'!B41)</f>
        <v/>
      </c>
      <c r="C32" t="inlineStr">
        <is>
          <t>yesno</t>
        </is>
      </c>
      <c r="D32" t="inlineStr">
        <is>
          <t>Cross-docking</t>
        </is>
      </c>
    </row>
    <row r="33">
      <c r="A33" t="inlineStr">
        <is>
          <t>service.last_mile_delivery</t>
        </is>
      </c>
      <c r="B33">
        <f>IF('Provider Profile'!B42="","",'Provider Profile'!B42)</f>
        <v/>
      </c>
      <c r="C33" t="inlineStr">
        <is>
          <t>yesno</t>
        </is>
      </c>
      <c r="D33" t="inlineStr">
        <is>
          <t>Last-mile delivery</t>
        </is>
      </c>
    </row>
    <row r="34">
      <c r="A34" t="inlineStr">
        <is>
          <t>service.returns_handling</t>
        </is>
      </c>
      <c r="B34">
        <f>IF('Provider Profile'!B43="","",'Provider Profile'!B43)</f>
        <v/>
      </c>
      <c r="C34" t="inlineStr">
        <is>
          <t>yesno</t>
        </is>
      </c>
      <c r="D34" t="inlineStr">
        <is>
          <t>Returns handling</t>
        </is>
      </c>
    </row>
    <row r="35">
      <c r="A35" t="inlineStr">
        <is>
          <t>service.value_added_services_labelling_kitting</t>
        </is>
      </c>
      <c r="B35">
        <f>IF('Provider Profile'!B44="","",'Provider Profile'!B44)</f>
        <v/>
      </c>
      <c r="C35" t="inlineStr">
        <is>
          <t>yesno</t>
        </is>
      </c>
      <c r="D35" t="inlineStr">
        <is>
          <t>Value-added services (labelling, kitting)</t>
        </is>
      </c>
    </row>
    <row r="36">
      <c r="A36" t="inlineStr">
        <is>
          <t>service.track_and_trace_portal</t>
        </is>
      </c>
      <c r="B36">
        <f>IF('Provider Profile'!B45="","",'Provider Profile'!B45)</f>
        <v/>
      </c>
      <c r="C36" t="inlineStr">
        <is>
          <t>yesno</t>
        </is>
      </c>
      <c r="D36" t="inlineStr">
        <is>
          <t>Track and trace portal</t>
        </is>
      </c>
    </row>
    <row r="37">
      <c r="A37" t="inlineStr">
        <is>
          <t>service.api_edi_integration</t>
        </is>
      </c>
      <c r="B37">
        <f>IF('Provider Profile'!B46="","",'Provider Profile'!B46)</f>
        <v/>
      </c>
      <c r="C37" t="inlineStr">
        <is>
          <t>yesno</t>
        </is>
      </c>
      <c r="D37" t="inlineStr">
        <is>
          <t>API / EDI integration</t>
        </is>
      </c>
    </row>
    <row r="38">
      <c r="A38" t="inlineStr">
        <is>
          <t>service.e_pod</t>
        </is>
      </c>
      <c r="B38">
        <f>IF('Provider Profile'!B47="","",'Provider Profile'!B47)</f>
        <v/>
      </c>
      <c r="C38" t="inlineStr">
        <is>
          <t>yesno</t>
        </is>
      </c>
      <c r="D38" t="inlineStr">
        <is>
          <t>e-POD</t>
        </is>
      </c>
    </row>
    <row r="39">
      <c r="A39" t="inlineStr">
        <is>
          <t>service.cargo_insurance</t>
        </is>
      </c>
      <c r="B39">
        <f>IF('Provider Profile'!B48="","",'Provider Profile'!B48)</f>
        <v/>
      </c>
      <c r="C39" t="inlineStr">
        <is>
          <t>yesno</t>
        </is>
      </c>
      <c r="D39" t="inlineStr">
        <is>
          <t>Cargo insurance</t>
        </is>
      </c>
    </row>
    <row r="40">
      <c r="A40" t="inlineStr">
        <is>
          <t>service.co2e_reporting</t>
        </is>
      </c>
      <c r="B40">
        <f>IF('Provider Profile'!B49="","",'Provider Profile'!B49)</f>
        <v/>
      </c>
      <c r="C40" t="inlineStr">
        <is>
          <t>yesno</t>
        </is>
      </c>
      <c r="D40" t="inlineStr">
        <is>
          <t>CO2e reporting</t>
        </is>
      </c>
    </row>
    <row r="41">
      <c r="A41" t="inlineStr">
        <is>
          <t>coverage.L01.presence</t>
        </is>
      </c>
      <c r="B41">
        <f>IF('Provider Profile'!D53="","",'Provider Profile'!D53)</f>
        <v/>
      </c>
      <c r="C41" t="inlineStr">
        <is>
          <t>text</t>
        </is>
      </c>
      <c r="D41" t="inlineStr">
        <is>
          <t>Saudi Arabia: presence</t>
        </is>
      </c>
    </row>
    <row r="42">
      <c r="A42" t="inlineStr">
        <is>
          <t>coverage.L01.partner</t>
        </is>
      </c>
      <c r="B42">
        <f>IF('Provider Profile'!E53="","",'Provider Profile'!E53)</f>
        <v/>
      </c>
      <c r="C42" t="inlineStr">
        <is>
          <t>text</t>
        </is>
      </c>
      <c r="D42" t="inlineStr">
        <is>
          <t>Saudi Arabia: partner</t>
        </is>
      </c>
    </row>
    <row r="43">
      <c r="A43" t="inlineStr">
        <is>
          <t>coverage.L01.import_brokerage</t>
        </is>
      </c>
      <c r="B43">
        <f>IF('Provider Profile'!F53="","",'Provider Profile'!F53)</f>
        <v/>
      </c>
      <c r="C43" t="inlineStr">
        <is>
          <t>yesno</t>
        </is>
      </c>
      <c r="D43" t="inlineStr">
        <is>
          <t>Saudi Arabia: import brokerage</t>
        </is>
      </c>
    </row>
    <row r="44">
      <c r="A44" t="inlineStr">
        <is>
          <t>coverage.L01.ddp</t>
        </is>
      </c>
      <c r="B44">
        <f>IF('Provider Profile'!G53="","",'Provider Profile'!G53)</f>
        <v/>
      </c>
      <c r="C44" t="inlineStr">
        <is>
          <t>yesno</t>
        </is>
      </c>
      <c r="D44" t="inlineStr">
        <is>
          <t>Saudi Arabia: ddp</t>
        </is>
      </c>
    </row>
    <row r="45">
      <c r="A45" t="inlineStr">
        <is>
          <t>coverage.L02.presence</t>
        </is>
      </c>
      <c r="B45">
        <f>IF('Provider Profile'!D54="","",'Provider Profile'!D54)</f>
        <v/>
      </c>
      <c r="C45" t="inlineStr">
        <is>
          <t>text</t>
        </is>
      </c>
      <c r="D45" t="inlineStr">
        <is>
          <t>United Arab Emirates: presence</t>
        </is>
      </c>
    </row>
    <row r="46">
      <c r="A46" t="inlineStr">
        <is>
          <t>coverage.L02.partner</t>
        </is>
      </c>
      <c r="B46">
        <f>IF('Provider Profile'!E54="","",'Provider Profile'!E54)</f>
        <v/>
      </c>
      <c r="C46" t="inlineStr">
        <is>
          <t>text</t>
        </is>
      </c>
      <c r="D46" t="inlineStr">
        <is>
          <t>United Arab Emirates: partner</t>
        </is>
      </c>
    </row>
    <row r="47">
      <c r="A47" t="inlineStr">
        <is>
          <t>coverage.L02.import_brokerage</t>
        </is>
      </c>
      <c r="B47">
        <f>IF('Provider Profile'!F54="","",'Provider Profile'!F54)</f>
        <v/>
      </c>
      <c r="C47" t="inlineStr">
        <is>
          <t>yesno</t>
        </is>
      </c>
      <c r="D47" t="inlineStr">
        <is>
          <t>United Arab Emirates: import brokerage</t>
        </is>
      </c>
    </row>
    <row r="48">
      <c r="A48" t="inlineStr">
        <is>
          <t>coverage.L02.ddp</t>
        </is>
      </c>
      <c r="B48">
        <f>IF('Provider Profile'!G54="","",'Provider Profile'!G54)</f>
        <v/>
      </c>
      <c r="C48" t="inlineStr">
        <is>
          <t>yesno</t>
        </is>
      </c>
      <c r="D48" t="inlineStr">
        <is>
          <t>United Arab Emirates: ddp</t>
        </is>
      </c>
    </row>
    <row r="49">
      <c r="A49" t="inlineStr">
        <is>
          <t>coverage.L03.presence</t>
        </is>
      </c>
      <c r="B49">
        <f>IF('Provider Profile'!D55="","",'Provider Profile'!D55)</f>
        <v/>
      </c>
      <c r="C49" t="inlineStr">
        <is>
          <t>text</t>
        </is>
      </c>
      <c r="D49" t="inlineStr">
        <is>
          <t>Kuwait: presence</t>
        </is>
      </c>
    </row>
    <row r="50">
      <c r="A50" t="inlineStr">
        <is>
          <t>coverage.L03.partner</t>
        </is>
      </c>
      <c r="B50">
        <f>IF('Provider Profile'!E55="","",'Provider Profile'!E55)</f>
        <v/>
      </c>
      <c r="C50" t="inlineStr">
        <is>
          <t>text</t>
        </is>
      </c>
      <c r="D50" t="inlineStr">
        <is>
          <t>Kuwait: partner</t>
        </is>
      </c>
    </row>
    <row r="51">
      <c r="A51" t="inlineStr">
        <is>
          <t>coverage.L03.import_brokerage</t>
        </is>
      </c>
      <c r="B51">
        <f>IF('Provider Profile'!F55="","",'Provider Profile'!F55)</f>
        <v/>
      </c>
      <c r="C51" t="inlineStr">
        <is>
          <t>yesno</t>
        </is>
      </c>
      <c r="D51" t="inlineStr">
        <is>
          <t>Kuwait: import brokerage</t>
        </is>
      </c>
    </row>
    <row r="52">
      <c r="A52" t="inlineStr">
        <is>
          <t>coverage.L03.ddp</t>
        </is>
      </c>
      <c r="B52">
        <f>IF('Provider Profile'!G55="","",'Provider Profile'!G55)</f>
        <v/>
      </c>
      <c r="C52" t="inlineStr">
        <is>
          <t>yesno</t>
        </is>
      </c>
      <c r="D52" t="inlineStr">
        <is>
          <t>Kuwait: ddp</t>
        </is>
      </c>
    </row>
    <row r="53">
      <c r="A53" t="inlineStr">
        <is>
          <t>coverage.L04.presence</t>
        </is>
      </c>
      <c r="B53">
        <f>IF('Provider Profile'!D56="","",'Provider Profile'!D56)</f>
        <v/>
      </c>
      <c r="C53" t="inlineStr">
        <is>
          <t>text</t>
        </is>
      </c>
      <c r="D53" t="inlineStr">
        <is>
          <t>Qatar: presence</t>
        </is>
      </c>
    </row>
    <row r="54">
      <c r="A54" t="inlineStr">
        <is>
          <t>coverage.L04.partner</t>
        </is>
      </c>
      <c r="B54">
        <f>IF('Provider Profile'!E56="","",'Provider Profile'!E56)</f>
        <v/>
      </c>
      <c r="C54" t="inlineStr">
        <is>
          <t>text</t>
        </is>
      </c>
      <c r="D54" t="inlineStr">
        <is>
          <t>Qatar: partner</t>
        </is>
      </c>
    </row>
    <row r="55">
      <c r="A55" t="inlineStr">
        <is>
          <t>coverage.L04.import_brokerage</t>
        </is>
      </c>
      <c r="B55">
        <f>IF('Provider Profile'!F56="","",'Provider Profile'!F56)</f>
        <v/>
      </c>
      <c r="C55" t="inlineStr">
        <is>
          <t>yesno</t>
        </is>
      </c>
      <c r="D55" t="inlineStr">
        <is>
          <t>Qatar: import brokerage</t>
        </is>
      </c>
    </row>
    <row r="56">
      <c r="A56" t="inlineStr">
        <is>
          <t>coverage.L04.ddp</t>
        </is>
      </c>
      <c r="B56">
        <f>IF('Provider Profile'!G56="","",'Provider Profile'!G56)</f>
        <v/>
      </c>
      <c r="C56" t="inlineStr">
        <is>
          <t>yesno</t>
        </is>
      </c>
      <c r="D56" t="inlineStr">
        <is>
          <t>Qatar: ddp</t>
        </is>
      </c>
    </row>
    <row r="57">
      <c r="A57" t="inlineStr">
        <is>
          <t>coverage.L05.presence</t>
        </is>
      </c>
      <c r="B57">
        <f>IF('Provider Profile'!D57="","",'Provider Profile'!D57)</f>
        <v/>
      </c>
      <c r="C57" t="inlineStr">
        <is>
          <t>text</t>
        </is>
      </c>
      <c r="D57" t="inlineStr">
        <is>
          <t>Türkiye: presence</t>
        </is>
      </c>
    </row>
    <row r="58">
      <c r="A58" t="inlineStr">
        <is>
          <t>coverage.L05.partner</t>
        </is>
      </c>
      <c r="B58">
        <f>IF('Provider Profile'!E57="","",'Provider Profile'!E57)</f>
        <v/>
      </c>
      <c r="C58" t="inlineStr">
        <is>
          <t>text</t>
        </is>
      </c>
      <c r="D58" t="inlineStr">
        <is>
          <t>Türkiye: partner</t>
        </is>
      </c>
    </row>
    <row r="59">
      <c r="A59" t="inlineStr">
        <is>
          <t>coverage.L05.import_brokerage</t>
        </is>
      </c>
      <c r="B59">
        <f>IF('Provider Profile'!F57="","",'Provider Profile'!F57)</f>
        <v/>
      </c>
      <c r="C59" t="inlineStr">
        <is>
          <t>yesno</t>
        </is>
      </c>
      <c r="D59" t="inlineStr">
        <is>
          <t>Türkiye: import brokerage</t>
        </is>
      </c>
    </row>
    <row r="60">
      <c r="A60" t="inlineStr">
        <is>
          <t>coverage.L05.ddp</t>
        </is>
      </c>
      <c r="B60">
        <f>IF('Provider Profile'!G57="","",'Provider Profile'!G57)</f>
        <v/>
      </c>
      <c r="C60" t="inlineStr">
        <is>
          <t>yesno</t>
        </is>
      </c>
      <c r="D60" t="inlineStr">
        <is>
          <t>Türkiye: ddp</t>
        </is>
      </c>
    </row>
    <row r="61">
      <c r="A61" t="inlineStr">
        <is>
          <t>coverage.L06.presence</t>
        </is>
      </c>
      <c r="B61">
        <f>IF('Provider Profile'!D58="","",'Provider Profile'!D58)</f>
        <v/>
      </c>
      <c r="C61" t="inlineStr">
        <is>
          <t>text</t>
        </is>
      </c>
      <c r="D61" t="inlineStr">
        <is>
          <t>Morocco: presence</t>
        </is>
      </c>
    </row>
    <row r="62">
      <c r="A62" t="inlineStr">
        <is>
          <t>coverage.L06.partner</t>
        </is>
      </c>
      <c r="B62">
        <f>IF('Provider Profile'!E58="","",'Provider Profile'!E58)</f>
        <v/>
      </c>
      <c r="C62" t="inlineStr">
        <is>
          <t>text</t>
        </is>
      </c>
      <c r="D62" t="inlineStr">
        <is>
          <t>Morocco: partner</t>
        </is>
      </c>
    </row>
    <row r="63">
      <c r="A63" t="inlineStr">
        <is>
          <t>coverage.L06.import_brokerage</t>
        </is>
      </c>
      <c r="B63">
        <f>IF('Provider Profile'!F58="","",'Provider Profile'!F58)</f>
        <v/>
      </c>
      <c r="C63" t="inlineStr">
        <is>
          <t>yesno</t>
        </is>
      </c>
      <c r="D63" t="inlineStr">
        <is>
          <t>Morocco: import brokerage</t>
        </is>
      </c>
    </row>
    <row r="64">
      <c r="A64" t="inlineStr">
        <is>
          <t>coverage.L06.ddp</t>
        </is>
      </c>
      <c r="B64">
        <f>IF('Provider Profile'!G58="","",'Provider Profile'!G58)</f>
        <v/>
      </c>
      <c r="C64" t="inlineStr">
        <is>
          <t>yesno</t>
        </is>
      </c>
      <c r="D64" t="inlineStr">
        <is>
          <t>Morocco: ddp</t>
        </is>
      </c>
    </row>
    <row r="65">
      <c r="A65" t="inlineStr">
        <is>
          <t>coverage.L07.presence</t>
        </is>
      </c>
      <c r="B65">
        <f>IF('Provider Profile'!D59="","",'Provider Profile'!D59)</f>
        <v/>
      </c>
      <c r="C65" t="inlineStr">
        <is>
          <t>text</t>
        </is>
      </c>
      <c r="D65" t="inlineStr">
        <is>
          <t>Algeria: presence</t>
        </is>
      </c>
    </row>
    <row r="66">
      <c r="A66" t="inlineStr">
        <is>
          <t>coverage.L07.partner</t>
        </is>
      </c>
      <c r="B66">
        <f>IF('Provider Profile'!E59="","",'Provider Profile'!E59)</f>
        <v/>
      </c>
      <c r="C66" t="inlineStr">
        <is>
          <t>text</t>
        </is>
      </c>
      <c r="D66" t="inlineStr">
        <is>
          <t>Algeria: partner</t>
        </is>
      </c>
    </row>
    <row r="67">
      <c r="A67" t="inlineStr">
        <is>
          <t>coverage.L07.import_brokerage</t>
        </is>
      </c>
      <c r="B67">
        <f>IF('Provider Profile'!F59="","",'Provider Profile'!F59)</f>
        <v/>
      </c>
      <c r="C67" t="inlineStr">
        <is>
          <t>yesno</t>
        </is>
      </c>
      <c r="D67" t="inlineStr">
        <is>
          <t>Algeria: import brokerage</t>
        </is>
      </c>
    </row>
    <row r="68">
      <c r="A68" t="inlineStr">
        <is>
          <t>coverage.L07.ddp</t>
        </is>
      </c>
      <c r="B68">
        <f>IF('Provider Profile'!G59="","",'Provider Profile'!G59)</f>
        <v/>
      </c>
      <c r="C68" t="inlineStr">
        <is>
          <t>yesno</t>
        </is>
      </c>
      <c r="D68" t="inlineStr">
        <is>
          <t>Algeria: ddp</t>
        </is>
      </c>
    </row>
    <row r="69">
      <c r="A69" t="inlineStr">
        <is>
          <t>coverage.L08.presence</t>
        </is>
      </c>
      <c r="B69">
        <f>IF('Provider Profile'!D60="","",'Provider Profile'!D60)</f>
        <v/>
      </c>
      <c r="C69" t="inlineStr">
        <is>
          <t>text</t>
        </is>
      </c>
      <c r="D69" t="inlineStr">
        <is>
          <t>Egypt: presence</t>
        </is>
      </c>
    </row>
    <row r="70">
      <c r="A70" t="inlineStr">
        <is>
          <t>coverage.L08.partner</t>
        </is>
      </c>
      <c r="B70">
        <f>IF('Provider Profile'!E60="","",'Provider Profile'!E60)</f>
        <v/>
      </c>
      <c r="C70" t="inlineStr">
        <is>
          <t>text</t>
        </is>
      </c>
      <c r="D70" t="inlineStr">
        <is>
          <t>Egypt: partner</t>
        </is>
      </c>
    </row>
    <row r="71">
      <c r="A71" t="inlineStr">
        <is>
          <t>coverage.L08.import_brokerage</t>
        </is>
      </c>
      <c r="B71">
        <f>IF('Provider Profile'!F60="","",'Provider Profile'!F60)</f>
        <v/>
      </c>
      <c r="C71" t="inlineStr">
        <is>
          <t>yesno</t>
        </is>
      </c>
      <c r="D71" t="inlineStr">
        <is>
          <t>Egypt: import brokerage</t>
        </is>
      </c>
    </row>
    <row r="72">
      <c r="A72" t="inlineStr">
        <is>
          <t>coverage.L08.ddp</t>
        </is>
      </c>
      <c r="B72">
        <f>IF('Provider Profile'!G60="","",'Provider Profile'!G60)</f>
        <v/>
      </c>
      <c r="C72" t="inlineStr">
        <is>
          <t>yesno</t>
        </is>
      </c>
      <c r="D72" t="inlineStr">
        <is>
          <t>Egypt: ddp</t>
        </is>
      </c>
    </row>
    <row r="73">
      <c r="A73" t="inlineStr">
        <is>
          <t>coverage.L09.presence</t>
        </is>
      </c>
      <c r="B73">
        <f>IF('Provider Profile'!D61="","",'Provider Profile'!D61)</f>
        <v/>
      </c>
      <c r="C73" t="inlineStr">
        <is>
          <t>text</t>
        </is>
      </c>
      <c r="D73" t="inlineStr">
        <is>
          <t>Tunisia: presence</t>
        </is>
      </c>
    </row>
    <row r="74">
      <c r="A74" t="inlineStr">
        <is>
          <t>coverage.L09.partner</t>
        </is>
      </c>
      <c r="B74">
        <f>IF('Provider Profile'!E61="","",'Provider Profile'!E61)</f>
        <v/>
      </c>
      <c r="C74" t="inlineStr">
        <is>
          <t>text</t>
        </is>
      </c>
      <c r="D74" t="inlineStr">
        <is>
          <t>Tunisia: partner</t>
        </is>
      </c>
    </row>
    <row r="75">
      <c r="A75" t="inlineStr">
        <is>
          <t>coverage.L09.import_brokerage</t>
        </is>
      </c>
      <c r="B75">
        <f>IF('Provider Profile'!F61="","",'Provider Profile'!F61)</f>
        <v/>
      </c>
      <c r="C75" t="inlineStr">
        <is>
          <t>yesno</t>
        </is>
      </c>
      <c r="D75" t="inlineStr">
        <is>
          <t>Tunisia: import brokerage</t>
        </is>
      </c>
    </row>
    <row r="76">
      <c r="A76" t="inlineStr">
        <is>
          <t>coverage.L09.ddp</t>
        </is>
      </c>
      <c r="B76">
        <f>IF('Provider Profile'!G61="","",'Provider Profile'!G61)</f>
        <v/>
      </c>
      <c r="C76" t="inlineStr">
        <is>
          <t>yesno</t>
        </is>
      </c>
      <c r="D76" t="inlineStr">
        <is>
          <t>Tunisia: ddp</t>
        </is>
      </c>
    </row>
    <row r="77">
      <c r="A77" t="inlineStr">
        <is>
          <t>region.turkiye</t>
        </is>
      </c>
      <c r="B77">
        <f>IF(AND('Provider Profile'!D57&lt;&gt;"",'Provider Profile'!D57&lt;&gt;"Not served")*1&gt;0,"Yes","No")</f>
        <v/>
      </c>
      <c r="C77" t="inlineStr">
        <is>
          <t>yesno</t>
        </is>
      </c>
      <c r="D77" t="inlineStr">
        <is>
          <t>Region covered: turkiye</t>
        </is>
      </c>
    </row>
    <row r="78">
      <c r="A78" t="inlineStr">
        <is>
          <t>region.north_africa</t>
        </is>
      </c>
      <c r="B78">
        <f>IF(AND('Provider Profile'!D58&lt;&gt;"",'Provider Profile'!D58&lt;&gt;"Not served")*1+AND('Provider Profile'!D59&lt;&gt;"",'Provider Profile'!D59&lt;&gt;"Not served")*1+AND('Provider Profile'!D60&lt;&gt;"",'Provider Profile'!D60&lt;&gt;"Not served")*1+AND('Provider Profile'!D61&lt;&gt;"",'Provider Profile'!D61&lt;&gt;"Not served")*1&gt;0,"Yes","No")</f>
        <v/>
      </c>
      <c r="C78" t="inlineStr">
        <is>
          <t>yesno</t>
        </is>
      </c>
      <c r="D78" t="inlineStr">
        <is>
          <t>Region covered: north_africa</t>
        </is>
      </c>
    </row>
    <row r="79">
      <c r="A79" t="inlineStr">
        <is>
          <t>region.gulf_gcc</t>
        </is>
      </c>
      <c r="B79">
        <f>IF(AND('Provider Profile'!D53&lt;&gt;"",'Provider Profile'!D53&lt;&gt;"Not served")*1+AND('Provider Profile'!D54&lt;&gt;"",'Provider Profile'!D54&lt;&gt;"Not served")*1+AND('Provider Profile'!D55&lt;&gt;"",'Provider Profile'!D55&lt;&gt;"Not served")*1+AND('Provider Profile'!D56&lt;&gt;"",'Provider Profile'!D56&lt;&gt;"Not served")*1&gt;0,"Yes","No")</f>
        <v/>
      </c>
      <c r="C79" t="inlineStr">
        <is>
          <t>yesno</t>
        </is>
      </c>
      <c r="D79" t="inlineStr">
        <is>
          <t>Region covered: gulf_gcc</t>
        </is>
      </c>
    </row>
    <row r="80">
      <c r="A80" t="inlineStr">
        <is>
          <t>cert.iso_9001</t>
        </is>
      </c>
      <c r="B80">
        <f>IF('Provider Profile'!B65="","",'Provider Profile'!B65)</f>
        <v/>
      </c>
      <c r="C80" t="inlineStr">
        <is>
          <t>yesno</t>
        </is>
      </c>
      <c r="D80" t="inlineStr">
        <is>
          <t>ISO 9001</t>
        </is>
      </c>
    </row>
    <row r="81">
      <c r="A81" t="inlineStr">
        <is>
          <t>cert.iso_14001</t>
        </is>
      </c>
      <c r="B81">
        <f>IF('Provider Profile'!B66="","",'Provider Profile'!B66)</f>
        <v/>
      </c>
      <c r="C81" t="inlineStr">
        <is>
          <t>yesno</t>
        </is>
      </c>
      <c r="D81" t="inlineStr">
        <is>
          <t>ISO 14001</t>
        </is>
      </c>
    </row>
    <row r="82">
      <c r="A82" t="inlineStr">
        <is>
          <t>cert.iso_45001</t>
        </is>
      </c>
      <c r="B82">
        <f>IF('Provider Profile'!B67="","",'Provider Profile'!B67)</f>
        <v/>
      </c>
      <c r="C82" t="inlineStr">
        <is>
          <t>yesno</t>
        </is>
      </c>
      <c r="D82" t="inlineStr">
        <is>
          <t>ISO 45001</t>
        </is>
      </c>
    </row>
    <row r="83">
      <c r="A83" t="inlineStr">
        <is>
          <t>cert.aeo_authorised_economic_operator</t>
        </is>
      </c>
      <c r="B83">
        <f>IF('Provider Profile'!B68="","",'Provider Profile'!B68)</f>
        <v/>
      </c>
      <c r="C83" t="inlineStr">
        <is>
          <t>yesno</t>
        </is>
      </c>
      <c r="D83" t="inlineStr">
        <is>
          <t>AEO (authorised economic operator)</t>
        </is>
      </c>
    </row>
    <row r="84">
      <c r="A84" t="inlineStr">
        <is>
          <t>cert.tapa</t>
        </is>
      </c>
      <c r="B84">
        <f>IF('Provider Profile'!B69="","",'Provider Profile'!B69)</f>
        <v/>
      </c>
      <c r="C84" t="inlineStr">
        <is>
          <t>yesno</t>
        </is>
      </c>
      <c r="D84" t="inlineStr">
        <is>
          <t>TAPA</t>
        </is>
      </c>
    </row>
    <row r="85">
      <c r="A85" t="inlineStr">
        <is>
          <t>cert.iata_cargo_agent</t>
        </is>
      </c>
      <c r="B85">
        <f>IF('Provider Profile'!B70="","",'Provider Profile'!B70)</f>
        <v/>
      </c>
      <c r="C85" t="inlineStr">
        <is>
          <t>yesno</t>
        </is>
      </c>
      <c r="D85" t="inlineStr">
        <is>
          <t>IATA cargo agent</t>
        </is>
      </c>
    </row>
    <row r="86">
      <c r="A86" t="inlineStr">
        <is>
          <t>cert.other</t>
        </is>
      </c>
      <c r="B86">
        <f>IF('Provider Profile'!B71="","",'Provider Profile'!B71)</f>
        <v/>
      </c>
      <c r="C86" t="inlineStr">
        <is>
          <t>text</t>
        </is>
      </c>
      <c r="D86" t="inlineStr">
        <is>
          <t>Other certifications</t>
        </is>
      </c>
    </row>
    <row r="87">
      <c r="A87" t="inlineStr">
        <is>
          <t>kpi.R1</t>
        </is>
      </c>
      <c r="B87">
        <f>IF('Reliability &amp; Quality'!E5="","",'Reliability &amp; Quality'!E5)</f>
        <v/>
      </c>
      <c r="C87" t="inlineStr">
        <is>
          <t>percent</t>
        </is>
      </c>
      <c r="D87" t="inlineStr">
        <is>
          <t>On-time delivery rate on these lanes over the last 12 months (on or before the promised date).</t>
        </is>
      </c>
    </row>
    <row r="88">
      <c r="A88" t="inlineStr">
        <is>
          <t>kpi.R1.evidence</t>
        </is>
      </c>
      <c r="B88">
        <f>IF('Reliability &amp; Quality'!G5="","",'Reliability &amp; Quality'!G5)</f>
        <v/>
      </c>
      <c r="C88" t="inlineStr">
        <is>
          <t>yesno</t>
        </is>
      </c>
      <c r="D88" t="inlineStr">
        <is>
          <t>R1 evidence available</t>
        </is>
      </c>
    </row>
    <row r="89">
      <c r="A89" t="inlineStr">
        <is>
          <t>kpi.R1.details</t>
        </is>
      </c>
      <c r="B89">
        <f>IF('Reliability &amp; Quality'!F5="","",'Reliability &amp; Quality'!F5)</f>
        <v/>
      </c>
      <c r="C89" t="inlineStr">
        <is>
          <t>text</t>
        </is>
      </c>
      <c r="D89" t="inlineStr">
        <is>
          <t>R1 details</t>
        </is>
      </c>
    </row>
    <row r="90">
      <c r="A90" t="inlineStr">
        <is>
          <t>kpi.R2</t>
        </is>
      </c>
      <c r="B90">
        <f>IF('Reliability &amp; Quality'!E6="","",'Reliability &amp; Quality'!E6)</f>
        <v/>
      </c>
      <c r="C90" t="inlineStr">
        <is>
          <t>percent</t>
        </is>
      </c>
      <c r="D90" t="inlineStr">
        <is>
          <t>Share of shipments delivered within the transit time quoted on the Rate Card.</t>
        </is>
      </c>
    </row>
    <row r="91">
      <c r="A91" t="inlineStr">
        <is>
          <t>kpi.R2.evidence</t>
        </is>
      </c>
      <c r="B91">
        <f>IF('Reliability &amp; Quality'!G6="","",'Reliability &amp; Quality'!G6)</f>
        <v/>
      </c>
      <c r="C91" t="inlineStr">
        <is>
          <t>yesno</t>
        </is>
      </c>
      <c r="D91" t="inlineStr">
        <is>
          <t>R2 evidence available</t>
        </is>
      </c>
    </row>
    <row r="92">
      <c r="A92" t="inlineStr">
        <is>
          <t>kpi.R2.details</t>
        </is>
      </c>
      <c r="B92">
        <f>IF('Reliability &amp; Quality'!F6="","",'Reliability &amp; Quality'!F6)</f>
        <v/>
      </c>
      <c r="C92" t="inlineStr">
        <is>
          <t>text</t>
        </is>
      </c>
      <c r="D92" t="inlineStr">
        <is>
          <t>R2 details</t>
        </is>
      </c>
    </row>
    <row r="93">
      <c r="A93" t="inlineStr">
        <is>
          <t>kpi.R3</t>
        </is>
      </c>
      <c r="B93">
        <f>IF('Reliability &amp; Quality'!E7="","",'Reliability &amp; Quality'!E7)</f>
        <v/>
      </c>
      <c r="C93" t="inlineStr">
        <is>
          <t>number</t>
        </is>
      </c>
      <c r="D93" t="inlineStr">
        <is>
          <t>Pickups per week at Helmond. State your daily cut-off time in Details.</t>
        </is>
      </c>
    </row>
    <row r="94">
      <c r="A94" t="inlineStr">
        <is>
          <t>kpi.R3.evidence</t>
        </is>
      </c>
      <c r="B94">
        <f>IF('Reliability &amp; Quality'!G7="","",'Reliability &amp; Quality'!G7)</f>
        <v/>
      </c>
      <c r="C94" t="inlineStr">
        <is>
          <t>yesno</t>
        </is>
      </c>
      <c r="D94" t="inlineStr">
        <is>
          <t>R3 evidence available</t>
        </is>
      </c>
    </row>
    <row r="95">
      <c r="A95" t="inlineStr">
        <is>
          <t>kpi.R3.details</t>
        </is>
      </c>
      <c r="B95">
        <f>IF('Reliability &amp; Quality'!F7="","",'Reliability &amp; Quality'!F7)</f>
        <v/>
      </c>
      <c r="C95" t="inlineStr">
        <is>
          <t>text</t>
        </is>
      </c>
      <c r="D95" t="inlineStr">
        <is>
          <t>R3 details</t>
        </is>
      </c>
    </row>
    <row r="96">
      <c r="A96" t="inlineStr">
        <is>
          <t>kpi.R4</t>
        </is>
      </c>
      <c r="B96">
        <f>IF('Reliability &amp; Quality'!E8="","",'Reliability &amp; Quality'!E8)</f>
        <v/>
      </c>
      <c r="C96" t="inlineStr">
        <is>
          <t>ypn</t>
        </is>
      </c>
      <c r="D96" t="inlineStr">
        <is>
          <t>Guaranteed capacity in peak months (1.5 times the average month).</t>
        </is>
      </c>
    </row>
    <row r="97">
      <c r="A97" t="inlineStr">
        <is>
          <t>kpi.R4.evidence</t>
        </is>
      </c>
      <c r="B97">
        <f>IF('Reliability &amp; Quality'!G8="","",'Reliability &amp; Quality'!G8)</f>
        <v/>
      </c>
      <c r="C97" t="inlineStr">
        <is>
          <t>yesno</t>
        </is>
      </c>
      <c r="D97" t="inlineStr">
        <is>
          <t>R4 evidence available</t>
        </is>
      </c>
    </row>
    <row r="98">
      <c r="A98" t="inlineStr">
        <is>
          <t>kpi.R4.details</t>
        </is>
      </c>
      <c r="B98">
        <f>IF('Reliability &amp; Quality'!F8="","",'Reliability &amp; Quality'!F8)</f>
        <v/>
      </c>
      <c r="C98" t="inlineStr">
        <is>
          <t>text</t>
        </is>
      </c>
      <c r="D98" t="inlineStr">
        <is>
          <t>R4 details</t>
        </is>
      </c>
    </row>
    <row r="99">
      <c r="A99" t="inlineStr">
        <is>
          <t>kpi.R5</t>
        </is>
      </c>
      <c r="B99">
        <f>IF('Reliability &amp; Quality'!E9="","",'Reliability &amp; Quality'!E9)</f>
        <v/>
      </c>
      <c r="C99" t="inlineStr">
        <is>
          <t>ypn</t>
        </is>
      </c>
      <c r="D99" t="inlineStr">
        <is>
          <t>Documented contingency routing for disruptions (Red Sea / Suez, airspace, port congestion).</t>
        </is>
      </c>
    </row>
    <row r="100">
      <c r="A100" t="inlineStr">
        <is>
          <t>kpi.R5.evidence</t>
        </is>
      </c>
      <c r="B100">
        <f>IF('Reliability &amp; Quality'!G9="","",'Reliability &amp; Quality'!G9)</f>
        <v/>
      </c>
      <c r="C100" t="inlineStr">
        <is>
          <t>yesno</t>
        </is>
      </c>
      <c r="D100" t="inlineStr">
        <is>
          <t>R5 evidence available</t>
        </is>
      </c>
    </row>
    <row r="101">
      <c r="A101" t="inlineStr">
        <is>
          <t>kpi.R5.details</t>
        </is>
      </c>
      <c r="B101">
        <f>IF('Reliability &amp; Quality'!F9="","",'Reliability &amp; Quality'!F9)</f>
        <v/>
      </c>
      <c r="C101" t="inlineStr">
        <is>
          <t>text</t>
        </is>
      </c>
      <c r="D101" t="inlineStr">
        <is>
          <t>R5 details</t>
        </is>
      </c>
    </row>
    <row r="102">
      <c r="A102" t="inlineStr">
        <is>
          <t>kpi.R6</t>
        </is>
      </c>
      <c r="B102">
        <f>IF('Reliability &amp; Quality'!E10="","",'Reliability &amp; Quality'!E10)</f>
        <v/>
      </c>
      <c r="C102" t="inlineStr">
        <is>
          <t>number</t>
        </is>
      </c>
      <c r="D102" t="inlineStr">
        <is>
          <t>Average import clearance time across the nine countries. Per country in Details.</t>
        </is>
      </c>
    </row>
    <row r="103">
      <c r="A103" t="inlineStr">
        <is>
          <t>kpi.R6.evidence</t>
        </is>
      </c>
      <c r="B103">
        <f>IF('Reliability &amp; Quality'!G10="","",'Reliability &amp; Quality'!G10)</f>
        <v/>
      </c>
      <c r="C103" t="inlineStr">
        <is>
          <t>yesno</t>
        </is>
      </c>
      <c r="D103" t="inlineStr">
        <is>
          <t>R6 evidence available</t>
        </is>
      </c>
    </row>
    <row r="104">
      <c r="A104" t="inlineStr">
        <is>
          <t>kpi.R6.details</t>
        </is>
      </c>
      <c r="B104">
        <f>IF('Reliability &amp; Quality'!F10="","",'Reliability &amp; Quality'!F10)</f>
        <v/>
      </c>
      <c r="C104" t="inlineStr">
        <is>
          <t>text</t>
        </is>
      </c>
      <c r="D104" t="inlineStr">
        <is>
          <t>R6 details</t>
        </is>
      </c>
    </row>
    <row r="105">
      <c r="A105" t="inlineStr">
        <is>
          <t>kpi.R7</t>
        </is>
      </c>
      <c r="B105">
        <f>IF('Reliability &amp; Quality'!E11="","",'Reliability &amp; Quality'!E11)</f>
        <v/>
      </c>
      <c r="C105" t="inlineStr">
        <is>
          <t>percent</t>
        </is>
      </c>
      <c r="D105" t="inlineStr">
        <is>
          <t>Share of shipments held in customs more than 2 working days over the last 12 months.</t>
        </is>
      </c>
    </row>
    <row r="106">
      <c r="A106" t="inlineStr">
        <is>
          <t>kpi.R7.evidence</t>
        </is>
      </c>
      <c r="B106">
        <f>IF('Reliability &amp; Quality'!G11="","",'Reliability &amp; Quality'!G11)</f>
        <v/>
      </c>
      <c r="C106" t="inlineStr">
        <is>
          <t>yesno</t>
        </is>
      </c>
      <c r="D106" t="inlineStr">
        <is>
          <t>R7 evidence available</t>
        </is>
      </c>
    </row>
    <row r="107">
      <c r="A107" t="inlineStr">
        <is>
          <t>kpi.R7.details</t>
        </is>
      </c>
      <c r="B107">
        <f>IF('Reliability &amp; Quality'!F11="","",'Reliability &amp; Quality'!F11)</f>
        <v/>
      </c>
      <c r="C107" t="inlineStr">
        <is>
          <t>text</t>
        </is>
      </c>
      <c r="D107" t="inlineStr">
        <is>
          <t>R7 details</t>
        </is>
      </c>
    </row>
    <row r="108">
      <c r="A108" t="inlineStr">
        <is>
          <t>kpi.R8</t>
        </is>
      </c>
      <c r="B108">
        <f>IF('Reliability &amp; Quality'!E12="","",'Reliability &amp; Quality'!E12)</f>
        <v/>
      </c>
      <c r="C108" t="inlineStr">
        <is>
          <t>ypn</t>
        </is>
      </c>
      <c r="D108" t="inlineStr">
        <is>
          <t>Next-day delivery in the GCC, from Helmond or from regional stock.</t>
        </is>
      </c>
    </row>
    <row r="109">
      <c r="A109" t="inlineStr">
        <is>
          <t>kpi.R8.evidence</t>
        </is>
      </c>
      <c r="B109">
        <f>IF('Reliability &amp; Quality'!G12="","",'Reliability &amp; Quality'!G12)</f>
        <v/>
      </c>
      <c r="C109" t="inlineStr">
        <is>
          <t>yesno</t>
        </is>
      </c>
      <c r="D109" t="inlineStr">
        <is>
          <t>R8 evidence available</t>
        </is>
      </c>
    </row>
    <row r="110">
      <c r="A110" t="inlineStr">
        <is>
          <t>kpi.R8.details</t>
        </is>
      </c>
      <c r="B110">
        <f>IF('Reliability &amp; Quality'!F12="","",'Reliability &amp; Quality'!F12)</f>
        <v/>
      </c>
      <c r="C110" t="inlineStr">
        <is>
          <t>text</t>
        </is>
      </c>
      <c r="D110" t="inlineStr">
        <is>
          <t>R8 details</t>
        </is>
      </c>
    </row>
    <row r="111">
      <c r="A111" t="inlineStr">
        <is>
          <t>kpi.Q1</t>
        </is>
      </c>
      <c r="B111">
        <f>IF('Reliability &amp; Quality'!E13="","",'Reliability &amp; Quality'!E13)</f>
        <v/>
      </c>
      <c r="C111" t="inlineStr">
        <is>
          <t>percent</t>
        </is>
      </c>
      <c r="D111" t="inlineStr">
        <is>
          <t>Damage and loss rate over the last 12 months.</t>
        </is>
      </c>
    </row>
    <row r="112">
      <c r="A112" t="inlineStr">
        <is>
          <t>kpi.Q1.evidence</t>
        </is>
      </c>
      <c r="B112">
        <f>IF('Reliability &amp; Quality'!G13="","",'Reliability &amp; Quality'!G13)</f>
        <v/>
      </c>
      <c r="C112" t="inlineStr">
        <is>
          <t>yesno</t>
        </is>
      </c>
      <c r="D112" t="inlineStr">
        <is>
          <t>Q1 evidence available</t>
        </is>
      </c>
    </row>
    <row r="113">
      <c r="A113" t="inlineStr">
        <is>
          <t>kpi.Q1.details</t>
        </is>
      </c>
      <c r="B113">
        <f>IF('Reliability &amp; Quality'!F13="","",'Reliability &amp; Quality'!F13)</f>
        <v/>
      </c>
      <c r="C113" t="inlineStr">
        <is>
          <t>text</t>
        </is>
      </c>
      <c r="D113" t="inlineStr">
        <is>
          <t>Q1 details</t>
        </is>
      </c>
    </row>
    <row r="114">
      <c r="A114" t="inlineStr">
        <is>
          <t>kpi.Q2</t>
        </is>
      </c>
      <c r="B114">
        <f>IF('Reliability &amp; Quality'!E14="","",'Reliability &amp; Quality'!E14)</f>
        <v/>
      </c>
      <c r="C114" t="inlineStr">
        <is>
          <t>number</t>
        </is>
      </c>
      <c r="D114" t="inlineStr">
        <is>
          <t>Average claim settlement time.</t>
        </is>
      </c>
    </row>
    <row r="115">
      <c r="A115" t="inlineStr">
        <is>
          <t>kpi.Q2.evidence</t>
        </is>
      </c>
      <c r="B115">
        <f>IF('Reliability &amp; Quality'!G14="","",'Reliability &amp; Quality'!G14)</f>
        <v/>
      </c>
      <c r="C115" t="inlineStr">
        <is>
          <t>yesno</t>
        </is>
      </c>
      <c r="D115" t="inlineStr">
        <is>
          <t>Q2 evidence available</t>
        </is>
      </c>
    </row>
    <row r="116">
      <c r="A116" t="inlineStr">
        <is>
          <t>kpi.Q2.details</t>
        </is>
      </c>
      <c r="B116">
        <f>IF('Reliability &amp; Quality'!F14="","",'Reliability &amp; Quality'!F14)</f>
        <v/>
      </c>
      <c r="C116" t="inlineStr">
        <is>
          <t>text</t>
        </is>
      </c>
      <c r="D116" t="inlineStr">
        <is>
          <t>Q2 details</t>
        </is>
      </c>
    </row>
    <row r="117">
      <c r="A117" t="inlineStr">
        <is>
          <t>kpi.Q3</t>
        </is>
      </c>
      <c r="B117">
        <f>IF('Reliability &amp; Quality'!E15="","",'Reliability &amp; Quality'!E15)</f>
        <v/>
      </c>
      <c r="C117" t="inlineStr">
        <is>
          <t>number</t>
        </is>
      </c>
      <c r="D117" t="inlineStr">
        <is>
          <t>Liability limit per kg (SDR). Name the convention or terms in Details.</t>
        </is>
      </c>
    </row>
    <row r="118">
      <c r="A118" t="inlineStr">
        <is>
          <t>kpi.Q3.evidence</t>
        </is>
      </c>
      <c r="B118">
        <f>IF('Reliability &amp; Quality'!G15="","",'Reliability &amp; Quality'!G15)</f>
        <v/>
      </c>
      <c r="C118" t="inlineStr">
        <is>
          <t>yesno</t>
        </is>
      </c>
      <c r="D118" t="inlineStr">
        <is>
          <t>Q3 evidence available</t>
        </is>
      </c>
    </row>
    <row r="119">
      <c r="A119" t="inlineStr">
        <is>
          <t>kpi.Q3.details</t>
        </is>
      </c>
      <c r="B119">
        <f>IF('Reliability &amp; Quality'!F15="","",'Reliability &amp; Quality'!F15)</f>
        <v/>
      </c>
      <c r="C119" t="inlineStr">
        <is>
          <t>text</t>
        </is>
      </c>
      <c r="D119" t="inlineStr">
        <is>
          <t>Q3 details</t>
        </is>
      </c>
    </row>
    <row r="120">
      <c r="A120" t="inlineStr">
        <is>
          <t>kpi.Q4</t>
        </is>
      </c>
      <c r="B120">
        <f>IF('Reliability &amp; Quality'!E16="","",'Reliability &amp; Quality'!E16)</f>
        <v/>
      </c>
      <c r="C120" t="inlineStr">
        <is>
          <t>ypn</t>
        </is>
      </c>
      <c r="D120" t="inlineStr">
        <is>
          <t>Track and trace with API or EDI integration.</t>
        </is>
      </c>
    </row>
    <row r="121">
      <c r="A121" t="inlineStr">
        <is>
          <t>kpi.Q4.evidence</t>
        </is>
      </c>
      <c r="B121">
        <f>IF('Reliability &amp; Quality'!G16="","",'Reliability &amp; Quality'!G16)</f>
        <v/>
      </c>
      <c r="C121" t="inlineStr">
        <is>
          <t>yesno</t>
        </is>
      </c>
      <c r="D121" t="inlineStr">
        <is>
          <t>Q4 evidence available</t>
        </is>
      </c>
    </row>
    <row r="122">
      <c r="A122" t="inlineStr">
        <is>
          <t>kpi.Q4.details</t>
        </is>
      </c>
      <c r="B122">
        <f>IF('Reliability &amp; Quality'!F16="","",'Reliability &amp; Quality'!F16)</f>
        <v/>
      </c>
      <c r="C122" t="inlineStr">
        <is>
          <t>text</t>
        </is>
      </c>
      <c r="D122" t="inlineStr">
        <is>
          <t>Q4 details</t>
        </is>
      </c>
    </row>
    <row r="123">
      <c r="A123" t="inlineStr">
        <is>
          <t>kpi.Q5</t>
        </is>
      </c>
      <c r="B123">
        <f>IF('Reliability &amp; Quality'!E17="","",'Reliability &amp; Quality'!E17)</f>
        <v/>
      </c>
      <c r="C123" t="inlineStr">
        <is>
          <t>ypn</t>
        </is>
      </c>
      <c r="D123" t="inlineStr">
        <is>
          <t>e-POD with signature or photo.</t>
        </is>
      </c>
    </row>
    <row r="124">
      <c r="A124" t="inlineStr">
        <is>
          <t>kpi.Q5.evidence</t>
        </is>
      </c>
      <c r="B124">
        <f>IF('Reliability &amp; Quality'!G17="","",'Reliability &amp; Quality'!G17)</f>
        <v/>
      </c>
      <c r="C124" t="inlineStr">
        <is>
          <t>yesno</t>
        </is>
      </c>
      <c r="D124" t="inlineStr">
        <is>
          <t>Q5 evidence available</t>
        </is>
      </c>
    </row>
    <row r="125">
      <c r="A125" t="inlineStr">
        <is>
          <t>kpi.Q5.details</t>
        </is>
      </c>
      <c r="B125">
        <f>IF('Reliability &amp; Quality'!F17="","",'Reliability &amp; Quality'!F17)</f>
        <v/>
      </c>
      <c r="C125" t="inlineStr">
        <is>
          <t>text</t>
        </is>
      </c>
      <c r="D125" t="inlineStr">
        <is>
          <t>Q5 details</t>
        </is>
      </c>
    </row>
    <row r="126">
      <c r="A126" t="inlineStr">
        <is>
          <t>kpi.Q6</t>
        </is>
      </c>
      <c r="B126">
        <f>IF('Reliability &amp; Quality'!E18="","",'Reliability &amp; Quality'!E18)</f>
        <v/>
      </c>
      <c r="C126" t="inlineStr">
        <is>
          <t>ypn</t>
        </is>
      </c>
      <c r="D126" t="inlineStr">
        <is>
          <t>Monthly KPI report per lane.</t>
        </is>
      </c>
    </row>
    <row r="127">
      <c r="A127" t="inlineStr">
        <is>
          <t>kpi.Q6.evidence</t>
        </is>
      </c>
      <c r="B127">
        <f>IF('Reliability &amp; Quality'!G18="","",'Reliability &amp; Quality'!G18)</f>
        <v/>
      </c>
      <c r="C127" t="inlineStr">
        <is>
          <t>yesno</t>
        </is>
      </c>
      <c r="D127" t="inlineStr">
        <is>
          <t>Q6 evidence available</t>
        </is>
      </c>
    </row>
    <row r="128">
      <c r="A128" t="inlineStr">
        <is>
          <t>kpi.Q6.details</t>
        </is>
      </c>
      <c r="B128">
        <f>IF('Reliability &amp; Quality'!F18="","",'Reliability &amp; Quality'!F18)</f>
        <v/>
      </c>
      <c r="C128" t="inlineStr">
        <is>
          <t>text</t>
        </is>
      </c>
      <c r="D128" t="inlineStr">
        <is>
          <t>Q6 details</t>
        </is>
      </c>
    </row>
    <row r="129">
      <c r="A129" t="inlineStr">
        <is>
          <t>kpi.Q7</t>
        </is>
      </c>
      <c r="B129">
        <f>IF('Reliability &amp; Quality'!E19="","",'Reliability &amp; Quality'!E19)</f>
        <v/>
      </c>
      <c r="C129" t="inlineStr">
        <is>
          <t>yesno</t>
        </is>
      </c>
      <c r="D129" t="inlineStr">
        <is>
          <t>Dedicated account manager.</t>
        </is>
      </c>
    </row>
    <row r="130">
      <c r="A130" t="inlineStr">
        <is>
          <t>kpi.Q7.evidence</t>
        </is>
      </c>
      <c r="B130">
        <f>IF('Reliability &amp; Quality'!G19="","",'Reliability &amp; Quality'!G19)</f>
        <v/>
      </c>
      <c r="C130" t="inlineStr">
        <is>
          <t>yesno</t>
        </is>
      </c>
      <c r="D130" t="inlineStr">
        <is>
          <t>Q7 evidence available</t>
        </is>
      </c>
    </row>
    <row r="131">
      <c r="A131" t="inlineStr">
        <is>
          <t>kpi.Q7.details</t>
        </is>
      </c>
      <c r="B131">
        <f>IF('Reliability &amp; Quality'!F19="","",'Reliability &amp; Quality'!F19)</f>
        <v/>
      </c>
      <c r="C131" t="inlineStr">
        <is>
          <t>text</t>
        </is>
      </c>
      <c r="D131" t="inlineStr">
        <is>
          <t>Q7 details</t>
        </is>
      </c>
    </row>
    <row r="132">
      <c r="A132" t="inlineStr">
        <is>
          <t>kpi.Q8</t>
        </is>
      </c>
      <c r="B132">
        <f>IF('Reliability &amp; Quality'!E20="","",'Reliability &amp; Quality'!E20)</f>
        <v/>
      </c>
      <c r="C132" t="inlineStr">
        <is>
          <t>ypn</t>
        </is>
      </c>
      <c r="D132" t="inlineStr">
        <is>
          <t>Customer service in English, Arabic, Turkish and French.</t>
        </is>
      </c>
    </row>
    <row r="133">
      <c r="A133" t="inlineStr">
        <is>
          <t>kpi.Q8.evidence</t>
        </is>
      </c>
      <c r="B133">
        <f>IF('Reliability &amp; Quality'!G20="","",'Reliability &amp; Quality'!G20)</f>
        <v/>
      </c>
      <c r="C133" t="inlineStr">
        <is>
          <t>yesno</t>
        </is>
      </c>
      <c r="D133" t="inlineStr">
        <is>
          <t>Q8 evidence available</t>
        </is>
      </c>
    </row>
    <row r="134">
      <c r="A134" t="inlineStr">
        <is>
          <t>kpi.Q8.details</t>
        </is>
      </c>
      <c r="B134">
        <f>IF('Reliability &amp; Quality'!F20="","",'Reliability &amp; Quality'!F20)</f>
        <v/>
      </c>
      <c r="C134" t="inlineStr">
        <is>
          <t>text</t>
        </is>
      </c>
      <c r="D134" t="inlineStr">
        <is>
          <t>Q8 details</t>
        </is>
      </c>
    </row>
    <row r="135">
      <c r="A135" t="inlineStr">
        <is>
          <t>kpi.N1</t>
        </is>
      </c>
      <c r="B135">
        <f>IF('Reliability &amp; Quality'!E21="","",'Reliability &amp; Quality'!E21)</f>
        <v/>
      </c>
      <c r="C135" t="inlineStr">
        <is>
          <t>ypn</t>
        </is>
      </c>
      <c r="D135" t="inlineStr">
        <is>
          <t>Experience with Saudi SASO / SABER conformity for textiles and footwear.</t>
        </is>
      </c>
    </row>
    <row r="136">
      <c r="A136" t="inlineStr">
        <is>
          <t>kpi.N1.evidence</t>
        </is>
      </c>
      <c r="B136">
        <f>IF('Reliability &amp; Quality'!G21="","",'Reliability &amp; Quality'!G21)</f>
        <v/>
      </c>
      <c r="C136" t="inlineStr">
        <is>
          <t>yesno</t>
        </is>
      </c>
      <c r="D136" t="inlineStr">
        <is>
          <t>N1 evidence available</t>
        </is>
      </c>
    </row>
    <row r="137">
      <c r="A137" t="inlineStr">
        <is>
          <t>kpi.N1.details</t>
        </is>
      </c>
      <c r="B137">
        <f>IF('Reliability &amp; Quality'!F21="","",'Reliability &amp; Quality'!F21)</f>
        <v/>
      </c>
      <c r="C137" t="inlineStr">
        <is>
          <t>text</t>
        </is>
      </c>
      <c r="D137" t="inlineStr">
        <is>
          <t>N1 details</t>
        </is>
      </c>
    </row>
    <row r="138">
      <c r="A138" t="inlineStr">
        <is>
          <t>kpi.N2</t>
        </is>
      </c>
      <c r="B138">
        <f>IF('Reliability &amp; Quality'!E22="","",'Reliability &amp; Quality'!E22)</f>
        <v/>
      </c>
      <c r="C138" t="inlineStr">
        <is>
          <t>ypn</t>
        </is>
      </c>
      <c r="D138" t="inlineStr">
        <is>
          <t>Support for preferential origin documents EUR.1 and A.TR.</t>
        </is>
      </c>
    </row>
    <row r="139">
      <c r="A139" t="inlineStr">
        <is>
          <t>kpi.N2.evidence</t>
        </is>
      </c>
      <c r="B139">
        <f>IF('Reliability &amp; Quality'!G22="","",'Reliability &amp; Quality'!G22)</f>
        <v/>
      </c>
      <c r="C139" t="inlineStr">
        <is>
          <t>yesno</t>
        </is>
      </c>
      <c r="D139" t="inlineStr">
        <is>
          <t>N2 evidence available</t>
        </is>
      </c>
    </row>
    <row r="140">
      <c r="A140" t="inlineStr">
        <is>
          <t>kpi.N2.details</t>
        </is>
      </c>
      <c r="B140">
        <f>IF('Reliability &amp; Quality'!F22="","",'Reliability &amp; Quality'!F22)</f>
        <v/>
      </c>
      <c r="C140" t="inlineStr">
        <is>
          <t>text</t>
        </is>
      </c>
      <c r="D140" t="inlineStr">
        <is>
          <t>N2 details</t>
        </is>
      </c>
    </row>
    <row r="141">
      <c r="A141" t="inlineStr">
        <is>
          <t>kpi.N3</t>
        </is>
      </c>
      <c r="B141">
        <f>IF('Reliability &amp; Quality'!E23="","",'Reliability &amp; Quality'!E23)</f>
        <v/>
      </c>
      <c r="C141" t="inlineStr">
        <is>
          <t>ypn</t>
        </is>
      </c>
      <c r="D141" t="inlineStr">
        <is>
          <t>Process to collect import duty and VAT from the consignee under DAP, including failed deliveries.</t>
        </is>
      </c>
    </row>
    <row r="142">
      <c r="A142" t="inlineStr">
        <is>
          <t>kpi.N3.evidence</t>
        </is>
      </c>
      <c r="B142">
        <f>IF('Reliability &amp; Quality'!G23="","",'Reliability &amp; Quality'!G23)</f>
        <v/>
      </c>
      <c r="C142" t="inlineStr">
        <is>
          <t>yesno</t>
        </is>
      </c>
      <c r="D142" t="inlineStr">
        <is>
          <t>N3 evidence available</t>
        </is>
      </c>
    </row>
    <row r="143">
      <c r="A143" t="inlineStr">
        <is>
          <t>kpi.N3.details</t>
        </is>
      </c>
      <c r="B143">
        <f>IF('Reliability &amp; Quality'!F23="","",'Reliability &amp; Quality'!F23)</f>
        <v/>
      </c>
      <c r="C143" t="inlineStr">
        <is>
          <t>text</t>
        </is>
      </c>
      <c r="D143" t="inlineStr">
        <is>
          <t>N3 details</t>
        </is>
      </c>
    </row>
    <row r="144">
      <c r="A144" t="inlineStr">
        <is>
          <t>kpi.N4</t>
        </is>
      </c>
      <c r="B144">
        <f>IF('Reliability &amp; Quality'!E24="","",'Reliability &amp; Quality'!E24)</f>
        <v/>
      </c>
      <c r="C144" t="inlineStr">
        <is>
          <t>ypn</t>
        </is>
      </c>
      <c r="D144" t="inlineStr">
        <is>
          <t>Handling of advance cargo information and pre-registration (for example Egypt ACI).</t>
        </is>
      </c>
    </row>
    <row r="145">
      <c r="A145" t="inlineStr">
        <is>
          <t>kpi.N4.evidence</t>
        </is>
      </c>
      <c r="B145">
        <f>IF('Reliability &amp; Quality'!G24="","",'Reliability &amp; Quality'!G24)</f>
        <v/>
      </c>
      <c r="C145" t="inlineStr">
        <is>
          <t>yesno</t>
        </is>
      </c>
      <c r="D145" t="inlineStr">
        <is>
          <t>N4 evidence available</t>
        </is>
      </c>
    </row>
    <row r="146">
      <c r="A146" t="inlineStr">
        <is>
          <t>kpi.N4.details</t>
        </is>
      </c>
      <c r="B146">
        <f>IF('Reliability &amp; Quality'!F24="","",'Reliability &amp; Quality'!F24)</f>
        <v/>
      </c>
      <c r="C146" t="inlineStr">
        <is>
          <t>text</t>
        </is>
      </c>
      <c r="D146" t="inlineStr">
        <is>
          <t>N4 details</t>
        </is>
      </c>
    </row>
    <row r="147">
      <c r="A147" t="inlineStr">
        <is>
          <t>kpi.C1</t>
        </is>
      </c>
      <c r="B147">
        <f>IF('Reliability &amp; Quality'!E25="","",'Reliability &amp; Quality'!E25)</f>
        <v/>
      </c>
      <c r="C147" t="inlineStr">
        <is>
          <t>number</t>
        </is>
      </c>
      <c r="D147" t="inlineStr">
        <is>
          <t>Number of surcharges outside the Rate Card. List them in Details.</t>
        </is>
      </c>
    </row>
    <row r="148">
      <c r="A148" t="inlineStr">
        <is>
          <t>kpi.C1.evidence</t>
        </is>
      </c>
      <c r="B148">
        <f>IF('Reliability &amp; Quality'!G25="","",'Reliability &amp; Quality'!G25)</f>
        <v/>
      </c>
      <c r="C148" t="inlineStr">
        <is>
          <t>yesno</t>
        </is>
      </c>
      <c r="D148" t="inlineStr">
        <is>
          <t>C1 evidence available</t>
        </is>
      </c>
    </row>
    <row r="149">
      <c r="A149" t="inlineStr">
        <is>
          <t>kpi.C1.details</t>
        </is>
      </c>
      <c r="B149">
        <f>IF('Reliability &amp; Quality'!F25="","",'Reliability &amp; Quality'!F25)</f>
        <v/>
      </c>
      <c r="C149" t="inlineStr">
        <is>
          <t>text</t>
        </is>
      </c>
      <c r="D149" t="inlineStr">
        <is>
          <t>C1 details</t>
        </is>
      </c>
    </row>
    <row r="150">
      <c r="A150" t="inlineStr">
        <is>
          <t>kpi.C2</t>
        </is>
      </c>
      <c r="B150">
        <f>IF('Reliability &amp; Quality'!E26="","",'Reliability &amp; Quality'!E26)</f>
        <v/>
      </c>
      <c r="C150" t="inlineStr">
        <is>
          <t>yesno</t>
        </is>
      </c>
      <c r="D150" t="inlineStr">
        <is>
          <t>Fuel surcharge linked to a published index. Name the index in Details.</t>
        </is>
      </c>
    </row>
    <row r="151">
      <c r="A151" t="inlineStr">
        <is>
          <t>kpi.C2.evidence</t>
        </is>
      </c>
      <c r="B151">
        <f>IF('Reliability &amp; Quality'!G26="","",'Reliability &amp; Quality'!G26)</f>
        <v/>
      </c>
      <c r="C151" t="inlineStr">
        <is>
          <t>yesno</t>
        </is>
      </c>
      <c r="D151" t="inlineStr">
        <is>
          <t>C2 evidence available</t>
        </is>
      </c>
    </row>
    <row r="152">
      <c r="A152" t="inlineStr">
        <is>
          <t>kpi.C2.details</t>
        </is>
      </c>
      <c r="B152">
        <f>IF('Reliability &amp; Quality'!F26="","",'Reliability &amp; Quality'!F26)</f>
        <v/>
      </c>
      <c r="C152" t="inlineStr">
        <is>
          <t>text</t>
        </is>
      </c>
      <c r="D152" t="inlineStr">
        <is>
          <t>C2 details</t>
        </is>
      </c>
    </row>
    <row r="153">
      <c r="A153" t="inlineStr">
        <is>
          <t>kpi.C3</t>
        </is>
      </c>
      <c r="B153">
        <f>IF('Reliability &amp; Quality'!E27="","",'Reliability &amp; Quality'!E27)</f>
        <v/>
      </c>
      <c r="C153" t="inlineStr">
        <is>
          <t>number</t>
        </is>
      </c>
      <c r="D153" t="inlineStr">
        <is>
          <t>Payment terms.</t>
        </is>
      </c>
    </row>
    <row r="154">
      <c r="A154" t="inlineStr">
        <is>
          <t>kpi.C3.evidence</t>
        </is>
      </c>
      <c r="B154">
        <f>IF('Reliability &amp; Quality'!G27="","",'Reliability &amp; Quality'!G27)</f>
        <v/>
      </c>
      <c r="C154" t="inlineStr">
        <is>
          <t>yesno</t>
        </is>
      </c>
      <c r="D154" t="inlineStr">
        <is>
          <t>C3 evidence available</t>
        </is>
      </c>
    </row>
    <row r="155">
      <c r="A155" t="inlineStr">
        <is>
          <t>kpi.C3.details</t>
        </is>
      </c>
      <c r="B155">
        <f>IF('Reliability &amp; Quality'!F27="","",'Reliability &amp; Quality'!F27)</f>
        <v/>
      </c>
      <c r="C155" t="inlineStr">
        <is>
          <t>text</t>
        </is>
      </c>
      <c r="D155" t="inlineStr">
        <is>
          <t>C3 details</t>
        </is>
      </c>
    </row>
    <row r="156">
      <c r="A156" t="inlineStr">
        <is>
          <t>kpi.C4</t>
        </is>
      </c>
      <c r="B156">
        <f>IF('Reliability &amp; Quality'!E28="","",'Reliability &amp; Quality'!E28)</f>
        <v/>
      </c>
      <c r="C156" t="inlineStr">
        <is>
          <t>percent</t>
        </is>
      </c>
      <c r="D156" t="inlineStr">
        <is>
          <t>Cargo insurance premium as % of invoice value.</t>
        </is>
      </c>
    </row>
    <row r="157">
      <c r="A157" t="inlineStr">
        <is>
          <t>kpi.C4.evidence</t>
        </is>
      </c>
      <c r="B157">
        <f>IF('Reliability &amp; Quality'!G28="","",'Reliability &amp; Quality'!G28)</f>
        <v/>
      </c>
      <c r="C157" t="inlineStr">
        <is>
          <t>yesno</t>
        </is>
      </c>
      <c r="D157" t="inlineStr">
        <is>
          <t>C4 evidence available</t>
        </is>
      </c>
    </row>
    <row r="158">
      <c r="A158" t="inlineStr">
        <is>
          <t>kpi.C4.details</t>
        </is>
      </c>
      <c r="B158">
        <f>IF('Reliability &amp; Quality'!F28="","",'Reliability &amp; Quality'!F28)</f>
        <v/>
      </c>
      <c r="C158" t="inlineStr">
        <is>
          <t>text</t>
        </is>
      </c>
      <c r="D158" t="inlineStr">
        <is>
          <t>C4 details</t>
        </is>
      </c>
    </row>
    <row r="159">
      <c r="A159" t="inlineStr">
        <is>
          <t>kpi.C5</t>
        </is>
      </c>
      <c r="B159">
        <f>IF('Reliability &amp; Quality'!E29="","",'Reliability &amp; Quality'!E29)</f>
        <v/>
      </c>
      <c r="C159" t="inlineStr">
        <is>
          <t>ypn</t>
        </is>
      </c>
      <c r="D159" t="inlineStr">
        <is>
          <t>Better rates if annual volume ends between Scenario A and Scenario B. Describe tiers in Details.</t>
        </is>
      </c>
    </row>
    <row r="160">
      <c r="A160" t="inlineStr">
        <is>
          <t>kpi.C5.evidence</t>
        </is>
      </c>
      <c r="B160">
        <f>IF('Reliability &amp; Quality'!G29="","",'Reliability &amp; Quality'!G29)</f>
        <v/>
      </c>
      <c r="C160" t="inlineStr">
        <is>
          <t>yesno</t>
        </is>
      </c>
      <c r="D160" t="inlineStr">
        <is>
          <t>C5 evidence available</t>
        </is>
      </c>
    </row>
    <row r="161">
      <c r="A161" t="inlineStr">
        <is>
          <t>kpi.C5.details</t>
        </is>
      </c>
      <c r="B161">
        <f>IF('Reliability &amp; Quality'!F29="","",'Reliability &amp; Quality'!F29)</f>
        <v/>
      </c>
      <c r="C161" t="inlineStr">
        <is>
          <t>text</t>
        </is>
      </c>
      <c r="D161" t="inlineStr">
        <is>
          <t>C5 details</t>
        </is>
      </c>
    </row>
    <row r="162">
      <c r="A162" t="inlineStr">
        <is>
          <t>kpi.S1</t>
        </is>
      </c>
      <c r="B162">
        <f>IF('Reliability &amp; Quality'!E30="","",'Reliability &amp; Quality'!E30)</f>
        <v/>
      </c>
      <c r="C162" t="inlineStr">
        <is>
          <t>ypn</t>
        </is>
      </c>
      <c r="D162" t="inlineStr">
        <is>
          <t>CO2e reporting per shipment (ISO 14083 / GLEC).</t>
        </is>
      </c>
    </row>
    <row r="163">
      <c r="A163" t="inlineStr">
        <is>
          <t>kpi.S1.evidence</t>
        </is>
      </c>
      <c r="B163">
        <f>IF('Reliability &amp; Quality'!G30="","",'Reliability &amp; Quality'!G30)</f>
        <v/>
      </c>
      <c r="C163" t="inlineStr">
        <is>
          <t>yesno</t>
        </is>
      </c>
      <c r="D163" t="inlineStr">
        <is>
          <t>S1 evidence available</t>
        </is>
      </c>
    </row>
    <row r="164">
      <c r="A164" t="inlineStr">
        <is>
          <t>kpi.S1.details</t>
        </is>
      </c>
      <c r="B164">
        <f>IF('Reliability &amp; Quality'!F30="","",'Reliability &amp; Quality'!F30)</f>
        <v/>
      </c>
      <c r="C164" t="inlineStr">
        <is>
          <t>text</t>
        </is>
      </c>
      <c r="D164" t="inlineStr">
        <is>
          <t>S1 details</t>
        </is>
      </c>
    </row>
    <row r="165">
      <c r="A165" t="inlineStr">
        <is>
          <t>kpi.H1</t>
        </is>
      </c>
      <c r="B165">
        <f>IF('Reliability &amp; Quality'!E31="","",'Reliability &amp; Quality'!E31)</f>
        <v/>
      </c>
      <c r="C165" t="inlineStr">
        <is>
          <t>text</t>
        </is>
      </c>
      <c r="D165" t="inlineStr">
        <is>
          <t>Who clears import customs at destination.</t>
        </is>
      </c>
    </row>
    <row r="166">
      <c r="A166" t="inlineStr">
        <is>
          <t>kpi.H1.evidence</t>
        </is>
      </c>
      <c r="B166">
        <f>IF('Reliability &amp; Quality'!G31="","",'Reliability &amp; Quality'!G31)</f>
        <v/>
      </c>
      <c r="C166" t="inlineStr">
        <is>
          <t>yesno</t>
        </is>
      </c>
      <c r="D166" t="inlineStr">
        <is>
          <t>H1 evidence available</t>
        </is>
      </c>
    </row>
    <row r="167">
      <c r="A167" t="inlineStr">
        <is>
          <t>kpi.H1.details</t>
        </is>
      </c>
      <c r="B167">
        <f>IF('Reliability &amp; Quality'!F31="","",'Reliability &amp; Quality'!F31)</f>
        <v/>
      </c>
      <c r="C167" t="inlineStr">
        <is>
          <t>text</t>
        </is>
      </c>
      <c r="D167" t="inlineStr">
        <is>
          <t>H1 details</t>
        </is>
      </c>
    </row>
    <row r="168">
      <c r="A168" t="inlineStr">
        <is>
          <t>kpi.H2</t>
        </is>
      </c>
      <c r="B168">
        <f>IF('Reliability &amp; Quality'!E32="","",'Reliability &amp; Quality'!E32)</f>
        <v/>
      </c>
      <c r="C168" t="inlineStr">
        <is>
          <t>number</t>
        </is>
      </c>
      <c r="D168" t="inlineStr">
        <is>
          <t>Number of parties handling a shipment from Helmond to the consignee door.</t>
        </is>
      </c>
    </row>
    <row r="169">
      <c r="A169" t="inlineStr">
        <is>
          <t>kpi.H2.evidence</t>
        </is>
      </c>
      <c r="B169">
        <f>IF('Reliability &amp; Quality'!G32="","",'Reliability &amp; Quality'!G32)</f>
        <v/>
      </c>
      <c r="C169" t="inlineStr">
        <is>
          <t>yesno</t>
        </is>
      </c>
      <c r="D169" t="inlineStr">
        <is>
          <t>H2 evidence available</t>
        </is>
      </c>
    </row>
    <row r="170">
      <c r="A170" t="inlineStr">
        <is>
          <t>kpi.H2.details</t>
        </is>
      </c>
      <c r="B170">
        <f>IF('Reliability &amp; Quality'!F32="","",'Reliability &amp; Quality'!F32)</f>
        <v/>
      </c>
      <c r="C170" t="inlineStr">
        <is>
          <t>text</t>
        </is>
      </c>
      <c r="D170" t="inlineStr">
        <is>
          <t>H2 details</t>
        </is>
      </c>
    </row>
    <row r="171">
      <c r="A171" t="inlineStr">
        <is>
          <t>kpi.H3</t>
        </is>
      </c>
      <c r="B171">
        <f>IF('Reliability &amp; Quality'!E33="","",'Reliability &amp; Quality'!E33)</f>
        <v/>
      </c>
      <c r="C171" t="inlineStr">
        <is>
          <t>yesno</t>
        </is>
      </c>
      <c r="D171" t="inlineStr">
        <is>
          <t>One invoice covering all lanes.</t>
        </is>
      </c>
    </row>
    <row r="172">
      <c r="A172" t="inlineStr">
        <is>
          <t>kpi.H3.evidence</t>
        </is>
      </c>
      <c r="B172">
        <f>IF('Reliability &amp; Quality'!G33="","",'Reliability &amp; Quality'!G33)</f>
        <v/>
      </c>
      <c r="C172" t="inlineStr">
        <is>
          <t>yesno</t>
        </is>
      </c>
      <c r="D172" t="inlineStr">
        <is>
          <t>H3 evidence available</t>
        </is>
      </c>
    </row>
    <row r="173">
      <c r="A173" t="inlineStr">
        <is>
          <t>kpi.H3.details</t>
        </is>
      </c>
      <c r="B173">
        <f>IF('Reliability &amp; Quality'!F33="","",'Reliability &amp; Quality'!F33)</f>
        <v/>
      </c>
      <c r="C173" t="inlineStr">
        <is>
          <t>text</t>
        </is>
      </c>
      <c r="D173" t="inlineStr">
        <is>
          <t>H3 details</t>
        </is>
      </c>
    </row>
    <row r="174">
      <c r="A174" t="inlineStr">
        <is>
          <t>kpi.H4</t>
        </is>
      </c>
      <c r="B174">
        <f>IF('Reliability &amp; Quality'!E34="","",'Reliability &amp; Quality'!E34)</f>
        <v/>
      </c>
      <c r="C174" t="inlineStr">
        <is>
          <t>yesno</t>
        </is>
      </c>
      <c r="D174" t="inlineStr">
        <is>
          <t>Self-service booking portal.</t>
        </is>
      </c>
    </row>
    <row r="175">
      <c r="A175" t="inlineStr">
        <is>
          <t>kpi.H4.evidence</t>
        </is>
      </c>
      <c r="B175">
        <f>IF('Reliability &amp; Quality'!G34="","",'Reliability &amp; Quality'!G34)</f>
        <v/>
      </c>
      <c r="C175" t="inlineStr">
        <is>
          <t>yesno</t>
        </is>
      </c>
      <c r="D175" t="inlineStr">
        <is>
          <t>H4 evidence available</t>
        </is>
      </c>
    </row>
    <row r="176">
      <c r="A176" t="inlineStr">
        <is>
          <t>kpi.H4.details</t>
        </is>
      </c>
      <c r="B176">
        <f>IF('Reliability &amp; Quality'!F34="","",'Reliability &amp; Quality'!F34)</f>
        <v/>
      </c>
      <c r="C176" t="inlineStr">
        <is>
          <t>text</t>
        </is>
      </c>
      <c r="D176" t="inlineStr">
        <is>
          <t>H4 details</t>
        </is>
      </c>
    </row>
    <row r="177">
      <c r="A177" t="inlineStr">
        <is>
          <t>kpi.H5</t>
        </is>
      </c>
      <c r="B177">
        <f>IF('Reliability &amp; Quality'!E35="","",'Reliability &amp; Quality'!E35)</f>
        <v/>
      </c>
      <c r="C177" t="inlineStr">
        <is>
          <t>yesno</t>
        </is>
      </c>
      <c r="D177" t="inlineStr">
        <is>
          <t>One contact person for all lanes.</t>
        </is>
      </c>
    </row>
    <row r="178">
      <c r="A178" t="inlineStr">
        <is>
          <t>kpi.H5.evidence</t>
        </is>
      </c>
      <c r="B178">
        <f>IF('Reliability &amp; Quality'!G35="","",'Reliability &amp; Quality'!G35)</f>
        <v/>
      </c>
      <c r="C178" t="inlineStr">
        <is>
          <t>yesno</t>
        </is>
      </c>
      <c r="D178" t="inlineStr">
        <is>
          <t>H5 evidence available</t>
        </is>
      </c>
    </row>
    <row r="179">
      <c r="A179" t="inlineStr">
        <is>
          <t>kpi.H5.details</t>
        </is>
      </c>
      <c r="B179">
        <f>IF('Reliability &amp; Quality'!F35="","",'Reliability &amp; Quality'!F35)</f>
        <v/>
      </c>
      <c r="C179" t="inlineStr">
        <is>
          <t>text</t>
        </is>
      </c>
      <c r="D179" t="inlineStr">
        <is>
          <t>H5 details</t>
        </is>
      </c>
    </row>
    <row r="180">
      <c r="A180" t="inlineStr">
        <is>
          <t>rate.L01.B1.mode</t>
        </is>
      </c>
      <c r="B180">
        <f>IF('Rate Card'!G5="","",'Rate Card'!G5)</f>
        <v/>
      </c>
      <c r="C180" t="inlineStr">
        <is>
          <t>text</t>
        </is>
      </c>
      <c r="D180" t="inlineStr">
        <is>
          <t>L01 B1 mode</t>
        </is>
      </c>
    </row>
    <row r="181">
      <c r="A181" t="inlineStr">
        <is>
          <t>rate.L01.B1.transit_days</t>
        </is>
      </c>
      <c r="B181">
        <f>IF('Rate Card'!H5="","",'Rate Card'!H5)</f>
        <v/>
      </c>
      <c r="C181" t="inlineStr">
        <is>
          <t>number</t>
        </is>
      </c>
      <c r="D181" t="inlineStr">
        <is>
          <t>L01 B1 transit_days</t>
        </is>
      </c>
    </row>
    <row r="182">
      <c r="A182" t="inlineStr">
        <is>
          <t>rate.L01.B1.transit_worst_days</t>
        </is>
      </c>
      <c r="B182">
        <f>IF('Rate Card'!S5="","",'Rate Card'!S5)</f>
        <v/>
      </c>
      <c r="C182" t="inlineStr">
        <is>
          <t>number</t>
        </is>
      </c>
      <c r="D182" t="inlineStr">
        <is>
          <t>L01 B1 transit_worst_days</t>
        </is>
      </c>
    </row>
    <row r="183">
      <c r="A183" t="inlineStr">
        <is>
          <t>rate.L01.B1.rate_per_kg</t>
        </is>
      </c>
      <c r="B183">
        <f>IF('Rate Card'!I5="","",'Rate Card'!I5)</f>
        <v/>
      </c>
      <c r="C183" t="inlineStr">
        <is>
          <t>number</t>
        </is>
      </c>
      <c r="D183" t="inlineStr">
        <is>
          <t>L01 B1 rate_per_kg</t>
        </is>
      </c>
    </row>
    <row r="184">
      <c r="A184" t="inlineStr">
        <is>
          <t>rate.L01.B1.min_charge</t>
        </is>
      </c>
      <c r="B184">
        <f>IF('Rate Card'!J5="","",'Rate Card'!J5)</f>
        <v/>
      </c>
      <c r="C184" t="inlineStr">
        <is>
          <t>number</t>
        </is>
      </c>
      <c r="D184" t="inlineStr">
        <is>
          <t>L01 B1 min_charge</t>
        </is>
      </c>
    </row>
    <row r="185">
      <c r="A185" t="inlineStr">
        <is>
          <t>rate.L01.B1.fuel_pct</t>
        </is>
      </c>
      <c r="B185">
        <f>IF('Rate Card'!K5="","",'Rate Card'!K5)</f>
        <v/>
      </c>
      <c r="C185" t="inlineStr">
        <is>
          <t>percent</t>
        </is>
      </c>
      <c r="D185" t="inlineStr">
        <is>
          <t>L01 B1 fuel_pct</t>
        </is>
      </c>
    </row>
    <row r="186">
      <c r="A186" t="inlineStr">
        <is>
          <t>rate.L01.B1.docs_fee</t>
        </is>
      </c>
      <c r="B186">
        <f>IF('Rate Card'!L5="","",'Rate Card'!L5)</f>
        <v/>
      </c>
      <c r="C186" t="inlineStr">
        <is>
          <t>number</t>
        </is>
      </c>
      <c r="D186" t="inlineStr">
        <is>
          <t>L01 B1 docs_fee</t>
        </is>
      </c>
    </row>
    <row r="187">
      <c r="A187" t="inlineStr">
        <is>
          <t>rate.L01.B1.other_fee</t>
        </is>
      </c>
      <c r="B187">
        <f>IF('Rate Card'!M5="","",'Rate Card'!M5)</f>
        <v/>
      </c>
      <c r="C187" t="inlineStr">
        <is>
          <t>number</t>
        </is>
      </c>
      <c r="D187" t="inlineStr">
        <is>
          <t>L01 B1 other_fee</t>
        </is>
      </c>
    </row>
    <row r="188">
      <c r="A188" t="inlineStr">
        <is>
          <t>rate.L01.B1.discount_B_pct</t>
        </is>
      </c>
      <c r="B188">
        <f>IF('Rate Card'!N5="","",'Rate Card'!N5)</f>
        <v/>
      </c>
      <c r="C188" t="inlineStr">
        <is>
          <t>percent</t>
        </is>
      </c>
      <c r="D188" t="inlineStr">
        <is>
          <t>L01 B1 discount_B_pct</t>
        </is>
      </c>
    </row>
    <row r="189">
      <c r="A189" t="inlineStr">
        <is>
          <t>rate.L01.B1.cost_per_shipment</t>
        </is>
      </c>
      <c r="B189">
        <f>IF('Rate Card'!P5="","",'Rate Card'!P5)</f>
        <v/>
      </c>
      <c r="C189" t="inlineStr">
        <is>
          <t>number</t>
        </is>
      </c>
      <c r="D189" t="inlineStr">
        <is>
          <t>L01 B1 cost_per_shipment</t>
        </is>
      </c>
    </row>
    <row r="190">
      <c r="A190" t="inlineStr">
        <is>
          <t>rate.L01.B2.mode</t>
        </is>
      </c>
      <c r="B190">
        <f>IF('Rate Card'!G6="","",'Rate Card'!G6)</f>
        <v/>
      </c>
      <c r="C190" t="inlineStr">
        <is>
          <t>text</t>
        </is>
      </c>
      <c r="D190" t="inlineStr">
        <is>
          <t>L01 B2 mode</t>
        </is>
      </c>
    </row>
    <row r="191">
      <c r="A191" t="inlineStr">
        <is>
          <t>rate.L01.B2.transit_days</t>
        </is>
      </c>
      <c r="B191">
        <f>IF('Rate Card'!H6="","",'Rate Card'!H6)</f>
        <v/>
      </c>
      <c r="C191" t="inlineStr">
        <is>
          <t>number</t>
        </is>
      </c>
      <c r="D191" t="inlineStr">
        <is>
          <t>L01 B2 transit_days</t>
        </is>
      </c>
    </row>
    <row r="192">
      <c r="A192" t="inlineStr">
        <is>
          <t>rate.L01.B2.transit_worst_days</t>
        </is>
      </c>
      <c r="B192">
        <f>IF('Rate Card'!S6="","",'Rate Card'!S6)</f>
        <v/>
      </c>
      <c r="C192" t="inlineStr">
        <is>
          <t>number</t>
        </is>
      </c>
      <c r="D192" t="inlineStr">
        <is>
          <t>L01 B2 transit_worst_days</t>
        </is>
      </c>
    </row>
    <row r="193">
      <c r="A193" t="inlineStr">
        <is>
          <t>rate.L01.B2.rate_per_kg</t>
        </is>
      </c>
      <c r="B193">
        <f>IF('Rate Card'!I6="","",'Rate Card'!I6)</f>
        <v/>
      </c>
      <c r="C193" t="inlineStr">
        <is>
          <t>number</t>
        </is>
      </c>
      <c r="D193" t="inlineStr">
        <is>
          <t>L01 B2 rate_per_kg</t>
        </is>
      </c>
    </row>
    <row r="194">
      <c r="A194" t="inlineStr">
        <is>
          <t>rate.L01.B2.min_charge</t>
        </is>
      </c>
      <c r="B194">
        <f>IF('Rate Card'!J6="","",'Rate Card'!J6)</f>
        <v/>
      </c>
      <c r="C194" t="inlineStr">
        <is>
          <t>number</t>
        </is>
      </c>
      <c r="D194" t="inlineStr">
        <is>
          <t>L01 B2 min_charge</t>
        </is>
      </c>
    </row>
    <row r="195">
      <c r="A195" t="inlineStr">
        <is>
          <t>rate.L01.B2.fuel_pct</t>
        </is>
      </c>
      <c r="B195">
        <f>IF('Rate Card'!K6="","",'Rate Card'!K6)</f>
        <v/>
      </c>
      <c r="C195" t="inlineStr">
        <is>
          <t>percent</t>
        </is>
      </c>
      <c r="D195" t="inlineStr">
        <is>
          <t>L01 B2 fuel_pct</t>
        </is>
      </c>
    </row>
    <row r="196">
      <c r="A196" t="inlineStr">
        <is>
          <t>rate.L01.B2.docs_fee</t>
        </is>
      </c>
      <c r="B196">
        <f>IF('Rate Card'!L6="","",'Rate Card'!L6)</f>
        <v/>
      </c>
      <c r="C196" t="inlineStr">
        <is>
          <t>number</t>
        </is>
      </c>
      <c r="D196" t="inlineStr">
        <is>
          <t>L01 B2 docs_fee</t>
        </is>
      </c>
    </row>
    <row r="197">
      <c r="A197" t="inlineStr">
        <is>
          <t>rate.L01.B2.other_fee</t>
        </is>
      </c>
      <c r="B197">
        <f>IF('Rate Card'!M6="","",'Rate Card'!M6)</f>
        <v/>
      </c>
      <c r="C197" t="inlineStr">
        <is>
          <t>number</t>
        </is>
      </c>
      <c r="D197" t="inlineStr">
        <is>
          <t>L01 B2 other_fee</t>
        </is>
      </c>
    </row>
    <row r="198">
      <c r="A198" t="inlineStr">
        <is>
          <t>rate.L01.B2.discount_B_pct</t>
        </is>
      </c>
      <c r="B198">
        <f>IF('Rate Card'!N6="","",'Rate Card'!N6)</f>
        <v/>
      </c>
      <c r="C198" t="inlineStr">
        <is>
          <t>percent</t>
        </is>
      </c>
      <c r="D198" t="inlineStr">
        <is>
          <t>L01 B2 discount_B_pct</t>
        </is>
      </c>
    </row>
    <row r="199">
      <c r="A199" t="inlineStr">
        <is>
          <t>rate.L01.B2.cost_per_shipment</t>
        </is>
      </c>
      <c r="B199">
        <f>IF('Rate Card'!P6="","",'Rate Card'!P6)</f>
        <v/>
      </c>
      <c r="C199" t="inlineStr">
        <is>
          <t>number</t>
        </is>
      </c>
      <c r="D199" t="inlineStr">
        <is>
          <t>L01 B2 cost_per_shipment</t>
        </is>
      </c>
    </row>
    <row r="200">
      <c r="A200" t="inlineStr">
        <is>
          <t>rate.L01.B3.mode</t>
        </is>
      </c>
      <c r="B200">
        <f>IF('Rate Card'!G7="","",'Rate Card'!G7)</f>
        <v/>
      </c>
      <c r="C200" t="inlineStr">
        <is>
          <t>text</t>
        </is>
      </c>
      <c r="D200" t="inlineStr">
        <is>
          <t>L01 B3 mode</t>
        </is>
      </c>
    </row>
    <row r="201">
      <c r="A201" t="inlineStr">
        <is>
          <t>rate.L01.B3.transit_days</t>
        </is>
      </c>
      <c r="B201">
        <f>IF('Rate Card'!H7="","",'Rate Card'!H7)</f>
        <v/>
      </c>
      <c r="C201" t="inlineStr">
        <is>
          <t>number</t>
        </is>
      </c>
      <c r="D201" t="inlineStr">
        <is>
          <t>L01 B3 transit_days</t>
        </is>
      </c>
    </row>
    <row r="202">
      <c r="A202" t="inlineStr">
        <is>
          <t>rate.L01.B3.transit_worst_days</t>
        </is>
      </c>
      <c r="B202">
        <f>IF('Rate Card'!S7="","",'Rate Card'!S7)</f>
        <v/>
      </c>
      <c r="C202" t="inlineStr">
        <is>
          <t>number</t>
        </is>
      </c>
      <c r="D202" t="inlineStr">
        <is>
          <t>L01 B3 transit_worst_days</t>
        </is>
      </c>
    </row>
    <row r="203">
      <c r="A203" t="inlineStr">
        <is>
          <t>rate.L01.B3.rate_per_kg</t>
        </is>
      </c>
      <c r="B203">
        <f>IF('Rate Card'!I7="","",'Rate Card'!I7)</f>
        <v/>
      </c>
      <c r="C203" t="inlineStr">
        <is>
          <t>number</t>
        </is>
      </c>
      <c r="D203" t="inlineStr">
        <is>
          <t>L01 B3 rate_per_kg</t>
        </is>
      </c>
    </row>
    <row r="204">
      <c r="A204" t="inlineStr">
        <is>
          <t>rate.L01.B3.min_charge</t>
        </is>
      </c>
      <c r="B204">
        <f>IF('Rate Card'!J7="","",'Rate Card'!J7)</f>
        <v/>
      </c>
      <c r="C204" t="inlineStr">
        <is>
          <t>number</t>
        </is>
      </c>
      <c r="D204" t="inlineStr">
        <is>
          <t>L01 B3 min_charge</t>
        </is>
      </c>
    </row>
    <row r="205">
      <c r="A205" t="inlineStr">
        <is>
          <t>rate.L01.B3.fuel_pct</t>
        </is>
      </c>
      <c r="B205">
        <f>IF('Rate Card'!K7="","",'Rate Card'!K7)</f>
        <v/>
      </c>
      <c r="C205" t="inlineStr">
        <is>
          <t>percent</t>
        </is>
      </c>
      <c r="D205" t="inlineStr">
        <is>
          <t>L01 B3 fuel_pct</t>
        </is>
      </c>
    </row>
    <row r="206">
      <c r="A206" t="inlineStr">
        <is>
          <t>rate.L01.B3.docs_fee</t>
        </is>
      </c>
      <c r="B206">
        <f>IF('Rate Card'!L7="","",'Rate Card'!L7)</f>
        <v/>
      </c>
      <c r="C206" t="inlineStr">
        <is>
          <t>number</t>
        </is>
      </c>
      <c r="D206" t="inlineStr">
        <is>
          <t>L01 B3 docs_fee</t>
        </is>
      </c>
    </row>
    <row r="207">
      <c r="A207" t="inlineStr">
        <is>
          <t>rate.L01.B3.other_fee</t>
        </is>
      </c>
      <c r="B207">
        <f>IF('Rate Card'!M7="","",'Rate Card'!M7)</f>
        <v/>
      </c>
      <c r="C207" t="inlineStr">
        <is>
          <t>number</t>
        </is>
      </c>
      <c r="D207" t="inlineStr">
        <is>
          <t>L01 B3 other_fee</t>
        </is>
      </c>
    </row>
    <row r="208">
      <c r="A208" t="inlineStr">
        <is>
          <t>rate.L01.B3.discount_B_pct</t>
        </is>
      </c>
      <c r="B208">
        <f>IF('Rate Card'!N7="","",'Rate Card'!N7)</f>
        <v/>
      </c>
      <c r="C208" t="inlineStr">
        <is>
          <t>percent</t>
        </is>
      </c>
      <c r="D208" t="inlineStr">
        <is>
          <t>L01 B3 discount_B_pct</t>
        </is>
      </c>
    </row>
    <row r="209">
      <c r="A209" t="inlineStr">
        <is>
          <t>rate.L01.B3.cost_per_shipment</t>
        </is>
      </c>
      <c r="B209">
        <f>IF('Rate Card'!P7="","",'Rate Card'!P7)</f>
        <v/>
      </c>
      <c r="C209" t="inlineStr">
        <is>
          <t>number</t>
        </is>
      </c>
      <c r="D209" t="inlineStr">
        <is>
          <t>L01 B3 cost_per_shipment</t>
        </is>
      </c>
    </row>
    <row r="210">
      <c r="A210" t="inlineStr">
        <is>
          <t>rate.L01.B4.mode</t>
        </is>
      </c>
      <c r="B210">
        <f>IF('Rate Card'!G8="","",'Rate Card'!G8)</f>
        <v/>
      </c>
      <c r="C210" t="inlineStr">
        <is>
          <t>text</t>
        </is>
      </c>
      <c r="D210" t="inlineStr">
        <is>
          <t>L01 B4 mode</t>
        </is>
      </c>
    </row>
    <row r="211">
      <c r="A211" t="inlineStr">
        <is>
          <t>rate.L01.B4.transit_days</t>
        </is>
      </c>
      <c r="B211">
        <f>IF('Rate Card'!H8="","",'Rate Card'!H8)</f>
        <v/>
      </c>
      <c r="C211" t="inlineStr">
        <is>
          <t>number</t>
        </is>
      </c>
      <c r="D211" t="inlineStr">
        <is>
          <t>L01 B4 transit_days</t>
        </is>
      </c>
    </row>
    <row r="212">
      <c r="A212" t="inlineStr">
        <is>
          <t>rate.L01.B4.transit_worst_days</t>
        </is>
      </c>
      <c r="B212">
        <f>IF('Rate Card'!S8="","",'Rate Card'!S8)</f>
        <v/>
      </c>
      <c r="C212" t="inlineStr">
        <is>
          <t>number</t>
        </is>
      </c>
      <c r="D212" t="inlineStr">
        <is>
          <t>L01 B4 transit_worst_days</t>
        </is>
      </c>
    </row>
    <row r="213">
      <c r="A213" t="inlineStr">
        <is>
          <t>rate.L01.B4.rate_per_kg</t>
        </is>
      </c>
      <c r="B213">
        <f>IF('Rate Card'!I8="","",'Rate Card'!I8)</f>
        <v/>
      </c>
      <c r="C213" t="inlineStr">
        <is>
          <t>number</t>
        </is>
      </c>
      <c r="D213" t="inlineStr">
        <is>
          <t>L01 B4 rate_per_kg</t>
        </is>
      </c>
    </row>
    <row r="214">
      <c r="A214" t="inlineStr">
        <is>
          <t>rate.L01.B4.min_charge</t>
        </is>
      </c>
      <c r="B214">
        <f>IF('Rate Card'!J8="","",'Rate Card'!J8)</f>
        <v/>
      </c>
      <c r="C214" t="inlineStr">
        <is>
          <t>number</t>
        </is>
      </c>
      <c r="D214" t="inlineStr">
        <is>
          <t>L01 B4 min_charge</t>
        </is>
      </c>
    </row>
    <row r="215">
      <c r="A215" t="inlineStr">
        <is>
          <t>rate.L01.B4.fuel_pct</t>
        </is>
      </c>
      <c r="B215">
        <f>IF('Rate Card'!K8="","",'Rate Card'!K8)</f>
        <v/>
      </c>
      <c r="C215" t="inlineStr">
        <is>
          <t>percent</t>
        </is>
      </c>
      <c r="D215" t="inlineStr">
        <is>
          <t>L01 B4 fuel_pct</t>
        </is>
      </c>
    </row>
    <row r="216">
      <c r="A216" t="inlineStr">
        <is>
          <t>rate.L01.B4.docs_fee</t>
        </is>
      </c>
      <c r="B216">
        <f>IF('Rate Card'!L8="","",'Rate Card'!L8)</f>
        <v/>
      </c>
      <c r="C216" t="inlineStr">
        <is>
          <t>number</t>
        </is>
      </c>
      <c r="D216" t="inlineStr">
        <is>
          <t>L01 B4 docs_fee</t>
        </is>
      </c>
    </row>
    <row r="217">
      <c r="A217" t="inlineStr">
        <is>
          <t>rate.L01.B4.other_fee</t>
        </is>
      </c>
      <c r="B217">
        <f>IF('Rate Card'!M8="","",'Rate Card'!M8)</f>
        <v/>
      </c>
      <c r="C217" t="inlineStr">
        <is>
          <t>number</t>
        </is>
      </c>
      <c r="D217" t="inlineStr">
        <is>
          <t>L01 B4 other_fee</t>
        </is>
      </c>
    </row>
    <row r="218">
      <c r="A218" t="inlineStr">
        <is>
          <t>rate.L01.B4.discount_B_pct</t>
        </is>
      </c>
      <c r="B218">
        <f>IF('Rate Card'!N8="","",'Rate Card'!N8)</f>
        <v/>
      </c>
      <c r="C218" t="inlineStr">
        <is>
          <t>percent</t>
        </is>
      </c>
      <c r="D218" t="inlineStr">
        <is>
          <t>L01 B4 discount_B_pct</t>
        </is>
      </c>
    </row>
    <row r="219">
      <c r="A219" t="inlineStr">
        <is>
          <t>rate.L01.B4.cost_per_shipment</t>
        </is>
      </c>
      <c r="B219">
        <f>IF('Rate Card'!P8="","",'Rate Card'!P8)</f>
        <v/>
      </c>
      <c r="C219" t="inlineStr">
        <is>
          <t>number</t>
        </is>
      </c>
      <c r="D219" t="inlineStr">
        <is>
          <t>L01 B4 cost_per_shipment</t>
        </is>
      </c>
    </row>
    <row r="220">
      <c r="A220" t="inlineStr">
        <is>
          <t>rate.L01.B5.mode</t>
        </is>
      </c>
      <c r="B220">
        <f>IF('Rate Card'!G9="","",'Rate Card'!G9)</f>
        <v/>
      </c>
      <c r="C220" t="inlineStr">
        <is>
          <t>text</t>
        </is>
      </c>
      <c r="D220" t="inlineStr">
        <is>
          <t>L01 B5 mode</t>
        </is>
      </c>
    </row>
    <row r="221">
      <c r="A221" t="inlineStr">
        <is>
          <t>rate.L01.B5.transit_days</t>
        </is>
      </c>
      <c r="B221">
        <f>IF('Rate Card'!H9="","",'Rate Card'!H9)</f>
        <v/>
      </c>
      <c r="C221" t="inlineStr">
        <is>
          <t>number</t>
        </is>
      </c>
      <c r="D221" t="inlineStr">
        <is>
          <t>L01 B5 transit_days</t>
        </is>
      </c>
    </row>
    <row r="222">
      <c r="A222" t="inlineStr">
        <is>
          <t>rate.L01.B5.transit_worst_days</t>
        </is>
      </c>
      <c r="B222">
        <f>IF('Rate Card'!S9="","",'Rate Card'!S9)</f>
        <v/>
      </c>
      <c r="C222" t="inlineStr">
        <is>
          <t>number</t>
        </is>
      </c>
      <c r="D222" t="inlineStr">
        <is>
          <t>L01 B5 transit_worst_days</t>
        </is>
      </c>
    </row>
    <row r="223">
      <c r="A223" t="inlineStr">
        <is>
          <t>rate.L01.B5.rate_per_kg</t>
        </is>
      </c>
      <c r="B223">
        <f>IF('Rate Card'!I9="","",'Rate Card'!I9)</f>
        <v/>
      </c>
      <c r="C223" t="inlineStr">
        <is>
          <t>number</t>
        </is>
      </c>
      <c r="D223" t="inlineStr">
        <is>
          <t>L01 B5 rate_per_kg</t>
        </is>
      </c>
    </row>
    <row r="224">
      <c r="A224" t="inlineStr">
        <is>
          <t>rate.L01.B5.min_charge</t>
        </is>
      </c>
      <c r="B224">
        <f>IF('Rate Card'!J9="","",'Rate Card'!J9)</f>
        <v/>
      </c>
      <c r="C224" t="inlineStr">
        <is>
          <t>number</t>
        </is>
      </c>
      <c r="D224" t="inlineStr">
        <is>
          <t>L01 B5 min_charge</t>
        </is>
      </c>
    </row>
    <row r="225">
      <c r="A225" t="inlineStr">
        <is>
          <t>rate.L01.B5.fuel_pct</t>
        </is>
      </c>
      <c r="B225">
        <f>IF('Rate Card'!K9="","",'Rate Card'!K9)</f>
        <v/>
      </c>
      <c r="C225" t="inlineStr">
        <is>
          <t>percent</t>
        </is>
      </c>
      <c r="D225" t="inlineStr">
        <is>
          <t>L01 B5 fuel_pct</t>
        </is>
      </c>
    </row>
    <row r="226">
      <c r="A226" t="inlineStr">
        <is>
          <t>rate.L01.B5.docs_fee</t>
        </is>
      </c>
      <c r="B226">
        <f>IF('Rate Card'!L9="","",'Rate Card'!L9)</f>
        <v/>
      </c>
      <c r="C226" t="inlineStr">
        <is>
          <t>number</t>
        </is>
      </c>
      <c r="D226" t="inlineStr">
        <is>
          <t>L01 B5 docs_fee</t>
        </is>
      </c>
    </row>
    <row r="227">
      <c r="A227" t="inlineStr">
        <is>
          <t>rate.L01.B5.other_fee</t>
        </is>
      </c>
      <c r="B227">
        <f>IF('Rate Card'!M9="","",'Rate Card'!M9)</f>
        <v/>
      </c>
      <c r="C227" t="inlineStr">
        <is>
          <t>number</t>
        </is>
      </c>
      <c r="D227" t="inlineStr">
        <is>
          <t>L01 B5 other_fee</t>
        </is>
      </c>
    </row>
    <row r="228">
      <c r="A228" t="inlineStr">
        <is>
          <t>rate.L01.B5.discount_B_pct</t>
        </is>
      </c>
      <c r="B228">
        <f>IF('Rate Card'!N9="","",'Rate Card'!N9)</f>
        <v/>
      </c>
      <c r="C228" t="inlineStr">
        <is>
          <t>percent</t>
        </is>
      </c>
      <c r="D228" t="inlineStr">
        <is>
          <t>L01 B5 discount_B_pct</t>
        </is>
      </c>
    </row>
    <row r="229">
      <c r="A229" t="inlineStr">
        <is>
          <t>rate.L01.B5.cost_per_shipment</t>
        </is>
      </c>
      <c r="B229">
        <f>IF('Rate Card'!P9="","",'Rate Card'!P9)</f>
        <v/>
      </c>
      <c r="C229" t="inlineStr">
        <is>
          <t>number</t>
        </is>
      </c>
      <c r="D229" t="inlineStr">
        <is>
          <t>L01 B5 cost_per_shipment</t>
        </is>
      </c>
    </row>
    <row r="230">
      <c r="A230" t="inlineStr">
        <is>
          <t>rate.L02.B1.mode</t>
        </is>
      </c>
      <c r="B230">
        <f>IF('Rate Card'!G10="","",'Rate Card'!G10)</f>
        <v/>
      </c>
      <c r="C230" t="inlineStr">
        <is>
          <t>text</t>
        </is>
      </c>
      <c r="D230" t="inlineStr">
        <is>
          <t>L02 B1 mode</t>
        </is>
      </c>
    </row>
    <row r="231">
      <c r="A231" t="inlineStr">
        <is>
          <t>rate.L02.B1.transit_days</t>
        </is>
      </c>
      <c r="B231">
        <f>IF('Rate Card'!H10="","",'Rate Card'!H10)</f>
        <v/>
      </c>
      <c r="C231" t="inlineStr">
        <is>
          <t>number</t>
        </is>
      </c>
      <c r="D231" t="inlineStr">
        <is>
          <t>L02 B1 transit_days</t>
        </is>
      </c>
    </row>
    <row r="232">
      <c r="A232" t="inlineStr">
        <is>
          <t>rate.L02.B1.transit_worst_days</t>
        </is>
      </c>
      <c r="B232">
        <f>IF('Rate Card'!S10="","",'Rate Card'!S10)</f>
        <v/>
      </c>
      <c r="C232" t="inlineStr">
        <is>
          <t>number</t>
        </is>
      </c>
      <c r="D232" t="inlineStr">
        <is>
          <t>L02 B1 transit_worst_days</t>
        </is>
      </c>
    </row>
    <row r="233">
      <c r="A233" t="inlineStr">
        <is>
          <t>rate.L02.B1.rate_per_kg</t>
        </is>
      </c>
      <c r="B233">
        <f>IF('Rate Card'!I10="","",'Rate Card'!I10)</f>
        <v/>
      </c>
      <c r="C233" t="inlineStr">
        <is>
          <t>number</t>
        </is>
      </c>
      <c r="D233" t="inlineStr">
        <is>
          <t>L02 B1 rate_per_kg</t>
        </is>
      </c>
    </row>
    <row r="234">
      <c r="A234" t="inlineStr">
        <is>
          <t>rate.L02.B1.min_charge</t>
        </is>
      </c>
      <c r="B234">
        <f>IF('Rate Card'!J10="","",'Rate Card'!J10)</f>
        <v/>
      </c>
      <c r="C234" t="inlineStr">
        <is>
          <t>number</t>
        </is>
      </c>
      <c r="D234" t="inlineStr">
        <is>
          <t>L02 B1 min_charge</t>
        </is>
      </c>
    </row>
    <row r="235">
      <c r="A235" t="inlineStr">
        <is>
          <t>rate.L02.B1.fuel_pct</t>
        </is>
      </c>
      <c r="B235">
        <f>IF('Rate Card'!K10="","",'Rate Card'!K10)</f>
        <v/>
      </c>
      <c r="C235" t="inlineStr">
        <is>
          <t>percent</t>
        </is>
      </c>
      <c r="D235" t="inlineStr">
        <is>
          <t>L02 B1 fuel_pct</t>
        </is>
      </c>
    </row>
    <row r="236">
      <c r="A236" t="inlineStr">
        <is>
          <t>rate.L02.B1.docs_fee</t>
        </is>
      </c>
      <c r="B236">
        <f>IF('Rate Card'!L10="","",'Rate Card'!L10)</f>
        <v/>
      </c>
      <c r="C236" t="inlineStr">
        <is>
          <t>number</t>
        </is>
      </c>
      <c r="D236" t="inlineStr">
        <is>
          <t>L02 B1 docs_fee</t>
        </is>
      </c>
    </row>
    <row r="237">
      <c r="A237" t="inlineStr">
        <is>
          <t>rate.L02.B1.other_fee</t>
        </is>
      </c>
      <c r="B237">
        <f>IF('Rate Card'!M10="","",'Rate Card'!M10)</f>
        <v/>
      </c>
      <c r="C237" t="inlineStr">
        <is>
          <t>number</t>
        </is>
      </c>
      <c r="D237" t="inlineStr">
        <is>
          <t>L02 B1 other_fee</t>
        </is>
      </c>
    </row>
    <row r="238">
      <c r="A238" t="inlineStr">
        <is>
          <t>rate.L02.B1.discount_B_pct</t>
        </is>
      </c>
      <c r="B238">
        <f>IF('Rate Card'!N10="","",'Rate Card'!N10)</f>
        <v/>
      </c>
      <c r="C238" t="inlineStr">
        <is>
          <t>percent</t>
        </is>
      </c>
      <c r="D238" t="inlineStr">
        <is>
          <t>L02 B1 discount_B_pct</t>
        </is>
      </c>
    </row>
    <row r="239">
      <c r="A239" t="inlineStr">
        <is>
          <t>rate.L02.B1.cost_per_shipment</t>
        </is>
      </c>
      <c r="B239">
        <f>IF('Rate Card'!P10="","",'Rate Card'!P10)</f>
        <v/>
      </c>
      <c r="C239" t="inlineStr">
        <is>
          <t>number</t>
        </is>
      </c>
      <c r="D239" t="inlineStr">
        <is>
          <t>L02 B1 cost_per_shipment</t>
        </is>
      </c>
    </row>
    <row r="240">
      <c r="A240" t="inlineStr">
        <is>
          <t>rate.L02.B2.mode</t>
        </is>
      </c>
      <c r="B240">
        <f>IF('Rate Card'!G11="","",'Rate Card'!G11)</f>
        <v/>
      </c>
      <c r="C240" t="inlineStr">
        <is>
          <t>text</t>
        </is>
      </c>
      <c r="D240" t="inlineStr">
        <is>
          <t>L02 B2 mode</t>
        </is>
      </c>
    </row>
    <row r="241">
      <c r="A241" t="inlineStr">
        <is>
          <t>rate.L02.B2.transit_days</t>
        </is>
      </c>
      <c r="B241">
        <f>IF('Rate Card'!H11="","",'Rate Card'!H11)</f>
        <v/>
      </c>
      <c r="C241" t="inlineStr">
        <is>
          <t>number</t>
        </is>
      </c>
      <c r="D241" t="inlineStr">
        <is>
          <t>L02 B2 transit_days</t>
        </is>
      </c>
    </row>
    <row r="242">
      <c r="A242" t="inlineStr">
        <is>
          <t>rate.L02.B2.transit_worst_days</t>
        </is>
      </c>
      <c r="B242">
        <f>IF('Rate Card'!S11="","",'Rate Card'!S11)</f>
        <v/>
      </c>
      <c r="C242" t="inlineStr">
        <is>
          <t>number</t>
        </is>
      </c>
      <c r="D242" t="inlineStr">
        <is>
          <t>L02 B2 transit_worst_days</t>
        </is>
      </c>
    </row>
    <row r="243">
      <c r="A243" t="inlineStr">
        <is>
          <t>rate.L02.B2.rate_per_kg</t>
        </is>
      </c>
      <c r="B243">
        <f>IF('Rate Card'!I11="","",'Rate Card'!I11)</f>
        <v/>
      </c>
      <c r="C243" t="inlineStr">
        <is>
          <t>number</t>
        </is>
      </c>
      <c r="D243" t="inlineStr">
        <is>
          <t>L02 B2 rate_per_kg</t>
        </is>
      </c>
    </row>
    <row r="244">
      <c r="A244" t="inlineStr">
        <is>
          <t>rate.L02.B2.min_charge</t>
        </is>
      </c>
      <c r="B244">
        <f>IF('Rate Card'!J11="","",'Rate Card'!J11)</f>
        <v/>
      </c>
      <c r="C244" t="inlineStr">
        <is>
          <t>number</t>
        </is>
      </c>
      <c r="D244" t="inlineStr">
        <is>
          <t>L02 B2 min_charge</t>
        </is>
      </c>
    </row>
    <row r="245">
      <c r="A245" t="inlineStr">
        <is>
          <t>rate.L02.B2.fuel_pct</t>
        </is>
      </c>
      <c r="B245">
        <f>IF('Rate Card'!K11="","",'Rate Card'!K11)</f>
        <v/>
      </c>
      <c r="C245" t="inlineStr">
        <is>
          <t>percent</t>
        </is>
      </c>
      <c r="D245" t="inlineStr">
        <is>
          <t>L02 B2 fuel_pct</t>
        </is>
      </c>
    </row>
    <row r="246">
      <c r="A246" t="inlineStr">
        <is>
          <t>rate.L02.B2.docs_fee</t>
        </is>
      </c>
      <c r="B246">
        <f>IF('Rate Card'!L11="","",'Rate Card'!L11)</f>
        <v/>
      </c>
      <c r="C246" t="inlineStr">
        <is>
          <t>number</t>
        </is>
      </c>
      <c r="D246" t="inlineStr">
        <is>
          <t>L02 B2 docs_fee</t>
        </is>
      </c>
    </row>
    <row r="247">
      <c r="A247" t="inlineStr">
        <is>
          <t>rate.L02.B2.other_fee</t>
        </is>
      </c>
      <c r="B247">
        <f>IF('Rate Card'!M11="","",'Rate Card'!M11)</f>
        <v/>
      </c>
      <c r="C247" t="inlineStr">
        <is>
          <t>number</t>
        </is>
      </c>
      <c r="D247" t="inlineStr">
        <is>
          <t>L02 B2 other_fee</t>
        </is>
      </c>
    </row>
    <row r="248">
      <c r="A248" t="inlineStr">
        <is>
          <t>rate.L02.B2.discount_B_pct</t>
        </is>
      </c>
      <c r="B248">
        <f>IF('Rate Card'!N11="","",'Rate Card'!N11)</f>
        <v/>
      </c>
      <c r="C248" t="inlineStr">
        <is>
          <t>percent</t>
        </is>
      </c>
      <c r="D248" t="inlineStr">
        <is>
          <t>L02 B2 discount_B_pct</t>
        </is>
      </c>
    </row>
    <row r="249">
      <c r="A249" t="inlineStr">
        <is>
          <t>rate.L02.B2.cost_per_shipment</t>
        </is>
      </c>
      <c r="B249">
        <f>IF('Rate Card'!P11="","",'Rate Card'!P11)</f>
        <v/>
      </c>
      <c r="C249" t="inlineStr">
        <is>
          <t>number</t>
        </is>
      </c>
      <c r="D249" t="inlineStr">
        <is>
          <t>L02 B2 cost_per_shipment</t>
        </is>
      </c>
    </row>
    <row r="250">
      <c r="A250" t="inlineStr">
        <is>
          <t>rate.L02.B3.mode</t>
        </is>
      </c>
      <c r="B250">
        <f>IF('Rate Card'!G12="","",'Rate Card'!G12)</f>
        <v/>
      </c>
      <c r="C250" t="inlineStr">
        <is>
          <t>text</t>
        </is>
      </c>
      <c r="D250" t="inlineStr">
        <is>
          <t>L02 B3 mode</t>
        </is>
      </c>
    </row>
    <row r="251">
      <c r="A251" t="inlineStr">
        <is>
          <t>rate.L02.B3.transit_days</t>
        </is>
      </c>
      <c r="B251">
        <f>IF('Rate Card'!H12="","",'Rate Card'!H12)</f>
        <v/>
      </c>
      <c r="C251" t="inlineStr">
        <is>
          <t>number</t>
        </is>
      </c>
      <c r="D251" t="inlineStr">
        <is>
          <t>L02 B3 transit_days</t>
        </is>
      </c>
    </row>
    <row r="252">
      <c r="A252" t="inlineStr">
        <is>
          <t>rate.L02.B3.transit_worst_days</t>
        </is>
      </c>
      <c r="B252">
        <f>IF('Rate Card'!S12="","",'Rate Card'!S12)</f>
        <v/>
      </c>
      <c r="C252" t="inlineStr">
        <is>
          <t>number</t>
        </is>
      </c>
      <c r="D252" t="inlineStr">
        <is>
          <t>L02 B3 transit_worst_days</t>
        </is>
      </c>
    </row>
    <row r="253">
      <c r="A253" t="inlineStr">
        <is>
          <t>rate.L02.B3.rate_per_kg</t>
        </is>
      </c>
      <c r="B253">
        <f>IF('Rate Card'!I12="","",'Rate Card'!I12)</f>
        <v/>
      </c>
      <c r="C253" t="inlineStr">
        <is>
          <t>number</t>
        </is>
      </c>
      <c r="D253" t="inlineStr">
        <is>
          <t>L02 B3 rate_per_kg</t>
        </is>
      </c>
    </row>
    <row r="254">
      <c r="A254" t="inlineStr">
        <is>
          <t>rate.L02.B3.min_charge</t>
        </is>
      </c>
      <c r="B254">
        <f>IF('Rate Card'!J12="","",'Rate Card'!J12)</f>
        <v/>
      </c>
      <c r="C254" t="inlineStr">
        <is>
          <t>number</t>
        </is>
      </c>
      <c r="D254" t="inlineStr">
        <is>
          <t>L02 B3 min_charge</t>
        </is>
      </c>
    </row>
    <row r="255">
      <c r="A255" t="inlineStr">
        <is>
          <t>rate.L02.B3.fuel_pct</t>
        </is>
      </c>
      <c r="B255">
        <f>IF('Rate Card'!K12="","",'Rate Card'!K12)</f>
        <v/>
      </c>
      <c r="C255" t="inlineStr">
        <is>
          <t>percent</t>
        </is>
      </c>
      <c r="D255" t="inlineStr">
        <is>
          <t>L02 B3 fuel_pct</t>
        </is>
      </c>
    </row>
    <row r="256">
      <c r="A256" t="inlineStr">
        <is>
          <t>rate.L02.B3.docs_fee</t>
        </is>
      </c>
      <c r="B256">
        <f>IF('Rate Card'!L12="","",'Rate Card'!L12)</f>
        <v/>
      </c>
      <c r="C256" t="inlineStr">
        <is>
          <t>number</t>
        </is>
      </c>
      <c r="D256" t="inlineStr">
        <is>
          <t>L02 B3 docs_fee</t>
        </is>
      </c>
    </row>
    <row r="257">
      <c r="A257" t="inlineStr">
        <is>
          <t>rate.L02.B3.other_fee</t>
        </is>
      </c>
      <c r="B257">
        <f>IF('Rate Card'!M12="","",'Rate Card'!M12)</f>
        <v/>
      </c>
      <c r="C257" t="inlineStr">
        <is>
          <t>number</t>
        </is>
      </c>
      <c r="D257" t="inlineStr">
        <is>
          <t>L02 B3 other_fee</t>
        </is>
      </c>
    </row>
    <row r="258">
      <c r="A258" t="inlineStr">
        <is>
          <t>rate.L02.B3.discount_B_pct</t>
        </is>
      </c>
      <c r="B258">
        <f>IF('Rate Card'!N12="","",'Rate Card'!N12)</f>
        <v/>
      </c>
      <c r="C258" t="inlineStr">
        <is>
          <t>percent</t>
        </is>
      </c>
      <c r="D258" t="inlineStr">
        <is>
          <t>L02 B3 discount_B_pct</t>
        </is>
      </c>
    </row>
    <row r="259">
      <c r="A259" t="inlineStr">
        <is>
          <t>rate.L02.B3.cost_per_shipment</t>
        </is>
      </c>
      <c r="B259">
        <f>IF('Rate Card'!P12="","",'Rate Card'!P12)</f>
        <v/>
      </c>
      <c r="C259" t="inlineStr">
        <is>
          <t>number</t>
        </is>
      </c>
      <c r="D259" t="inlineStr">
        <is>
          <t>L02 B3 cost_per_shipment</t>
        </is>
      </c>
    </row>
    <row r="260">
      <c r="A260" t="inlineStr">
        <is>
          <t>rate.L02.B4.mode</t>
        </is>
      </c>
      <c r="B260">
        <f>IF('Rate Card'!G13="","",'Rate Card'!G13)</f>
        <v/>
      </c>
      <c r="C260" t="inlineStr">
        <is>
          <t>text</t>
        </is>
      </c>
      <c r="D260" t="inlineStr">
        <is>
          <t>L02 B4 mode</t>
        </is>
      </c>
    </row>
    <row r="261">
      <c r="A261" t="inlineStr">
        <is>
          <t>rate.L02.B4.transit_days</t>
        </is>
      </c>
      <c r="B261">
        <f>IF('Rate Card'!H13="","",'Rate Card'!H13)</f>
        <v/>
      </c>
      <c r="C261" t="inlineStr">
        <is>
          <t>number</t>
        </is>
      </c>
      <c r="D261" t="inlineStr">
        <is>
          <t>L02 B4 transit_days</t>
        </is>
      </c>
    </row>
    <row r="262">
      <c r="A262" t="inlineStr">
        <is>
          <t>rate.L02.B4.transit_worst_days</t>
        </is>
      </c>
      <c r="B262">
        <f>IF('Rate Card'!S13="","",'Rate Card'!S13)</f>
        <v/>
      </c>
      <c r="C262" t="inlineStr">
        <is>
          <t>number</t>
        </is>
      </c>
      <c r="D262" t="inlineStr">
        <is>
          <t>L02 B4 transit_worst_days</t>
        </is>
      </c>
    </row>
    <row r="263">
      <c r="A263" t="inlineStr">
        <is>
          <t>rate.L02.B4.rate_per_kg</t>
        </is>
      </c>
      <c r="B263">
        <f>IF('Rate Card'!I13="","",'Rate Card'!I13)</f>
        <v/>
      </c>
      <c r="C263" t="inlineStr">
        <is>
          <t>number</t>
        </is>
      </c>
      <c r="D263" t="inlineStr">
        <is>
          <t>L02 B4 rate_per_kg</t>
        </is>
      </c>
    </row>
    <row r="264">
      <c r="A264" t="inlineStr">
        <is>
          <t>rate.L02.B4.min_charge</t>
        </is>
      </c>
      <c r="B264">
        <f>IF('Rate Card'!J13="","",'Rate Card'!J13)</f>
        <v/>
      </c>
      <c r="C264" t="inlineStr">
        <is>
          <t>number</t>
        </is>
      </c>
      <c r="D264" t="inlineStr">
        <is>
          <t>L02 B4 min_charge</t>
        </is>
      </c>
    </row>
    <row r="265">
      <c r="A265" t="inlineStr">
        <is>
          <t>rate.L02.B4.fuel_pct</t>
        </is>
      </c>
      <c r="B265">
        <f>IF('Rate Card'!K13="","",'Rate Card'!K13)</f>
        <v/>
      </c>
      <c r="C265" t="inlineStr">
        <is>
          <t>percent</t>
        </is>
      </c>
      <c r="D265" t="inlineStr">
        <is>
          <t>L02 B4 fuel_pct</t>
        </is>
      </c>
    </row>
    <row r="266">
      <c r="A266" t="inlineStr">
        <is>
          <t>rate.L02.B4.docs_fee</t>
        </is>
      </c>
      <c r="B266">
        <f>IF('Rate Card'!L13="","",'Rate Card'!L13)</f>
        <v/>
      </c>
      <c r="C266" t="inlineStr">
        <is>
          <t>number</t>
        </is>
      </c>
      <c r="D266" t="inlineStr">
        <is>
          <t>L02 B4 docs_fee</t>
        </is>
      </c>
    </row>
    <row r="267">
      <c r="A267" t="inlineStr">
        <is>
          <t>rate.L02.B4.other_fee</t>
        </is>
      </c>
      <c r="B267">
        <f>IF('Rate Card'!M13="","",'Rate Card'!M13)</f>
        <v/>
      </c>
      <c r="C267" t="inlineStr">
        <is>
          <t>number</t>
        </is>
      </c>
      <c r="D267" t="inlineStr">
        <is>
          <t>L02 B4 other_fee</t>
        </is>
      </c>
    </row>
    <row r="268">
      <c r="A268" t="inlineStr">
        <is>
          <t>rate.L02.B4.discount_B_pct</t>
        </is>
      </c>
      <c r="B268">
        <f>IF('Rate Card'!N13="","",'Rate Card'!N13)</f>
        <v/>
      </c>
      <c r="C268" t="inlineStr">
        <is>
          <t>percent</t>
        </is>
      </c>
      <c r="D268" t="inlineStr">
        <is>
          <t>L02 B4 discount_B_pct</t>
        </is>
      </c>
    </row>
    <row r="269">
      <c r="A269" t="inlineStr">
        <is>
          <t>rate.L02.B4.cost_per_shipment</t>
        </is>
      </c>
      <c r="B269">
        <f>IF('Rate Card'!P13="","",'Rate Card'!P13)</f>
        <v/>
      </c>
      <c r="C269" t="inlineStr">
        <is>
          <t>number</t>
        </is>
      </c>
      <c r="D269" t="inlineStr">
        <is>
          <t>L02 B4 cost_per_shipment</t>
        </is>
      </c>
    </row>
    <row r="270">
      <c r="A270" t="inlineStr">
        <is>
          <t>rate.L02.B5.mode</t>
        </is>
      </c>
      <c r="B270">
        <f>IF('Rate Card'!G14="","",'Rate Card'!G14)</f>
        <v/>
      </c>
      <c r="C270" t="inlineStr">
        <is>
          <t>text</t>
        </is>
      </c>
      <c r="D270" t="inlineStr">
        <is>
          <t>L02 B5 mode</t>
        </is>
      </c>
    </row>
    <row r="271">
      <c r="A271" t="inlineStr">
        <is>
          <t>rate.L02.B5.transit_days</t>
        </is>
      </c>
      <c r="B271">
        <f>IF('Rate Card'!H14="","",'Rate Card'!H14)</f>
        <v/>
      </c>
      <c r="C271" t="inlineStr">
        <is>
          <t>number</t>
        </is>
      </c>
      <c r="D271" t="inlineStr">
        <is>
          <t>L02 B5 transit_days</t>
        </is>
      </c>
    </row>
    <row r="272">
      <c r="A272" t="inlineStr">
        <is>
          <t>rate.L02.B5.transit_worst_days</t>
        </is>
      </c>
      <c r="B272">
        <f>IF('Rate Card'!S14="","",'Rate Card'!S14)</f>
        <v/>
      </c>
      <c r="C272" t="inlineStr">
        <is>
          <t>number</t>
        </is>
      </c>
      <c r="D272" t="inlineStr">
        <is>
          <t>L02 B5 transit_worst_days</t>
        </is>
      </c>
    </row>
    <row r="273">
      <c r="A273" t="inlineStr">
        <is>
          <t>rate.L02.B5.rate_per_kg</t>
        </is>
      </c>
      <c r="B273">
        <f>IF('Rate Card'!I14="","",'Rate Card'!I14)</f>
        <v/>
      </c>
      <c r="C273" t="inlineStr">
        <is>
          <t>number</t>
        </is>
      </c>
      <c r="D273" t="inlineStr">
        <is>
          <t>L02 B5 rate_per_kg</t>
        </is>
      </c>
    </row>
    <row r="274">
      <c r="A274" t="inlineStr">
        <is>
          <t>rate.L02.B5.min_charge</t>
        </is>
      </c>
      <c r="B274">
        <f>IF('Rate Card'!J14="","",'Rate Card'!J14)</f>
        <v/>
      </c>
      <c r="C274" t="inlineStr">
        <is>
          <t>number</t>
        </is>
      </c>
      <c r="D274" t="inlineStr">
        <is>
          <t>L02 B5 min_charge</t>
        </is>
      </c>
    </row>
    <row r="275">
      <c r="A275" t="inlineStr">
        <is>
          <t>rate.L02.B5.fuel_pct</t>
        </is>
      </c>
      <c r="B275">
        <f>IF('Rate Card'!K14="","",'Rate Card'!K14)</f>
        <v/>
      </c>
      <c r="C275" t="inlineStr">
        <is>
          <t>percent</t>
        </is>
      </c>
      <c r="D275" t="inlineStr">
        <is>
          <t>L02 B5 fuel_pct</t>
        </is>
      </c>
    </row>
    <row r="276">
      <c r="A276" t="inlineStr">
        <is>
          <t>rate.L02.B5.docs_fee</t>
        </is>
      </c>
      <c r="B276">
        <f>IF('Rate Card'!L14="","",'Rate Card'!L14)</f>
        <v/>
      </c>
      <c r="C276" t="inlineStr">
        <is>
          <t>number</t>
        </is>
      </c>
      <c r="D276" t="inlineStr">
        <is>
          <t>L02 B5 docs_fee</t>
        </is>
      </c>
    </row>
    <row r="277">
      <c r="A277" t="inlineStr">
        <is>
          <t>rate.L02.B5.other_fee</t>
        </is>
      </c>
      <c r="B277">
        <f>IF('Rate Card'!M14="","",'Rate Card'!M14)</f>
        <v/>
      </c>
      <c r="C277" t="inlineStr">
        <is>
          <t>number</t>
        </is>
      </c>
      <c r="D277" t="inlineStr">
        <is>
          <t>L02 B5 other_fee</t>
        </is>
      </c>
    </row>
    <row r="278">
      <c r="A278" t="inlineStr">
        <is>
          <t>rate.L02.B5.discount_B_pct</t>
        </is>
      </c>
      <c r="B278">
        <f>IF('Rate Card'!N14="","",'Rate Card'!N14)</f>
        <v/>
      </c>
      <c r="C278" t="inlineStr">
        <is>
          <t>percent</t>
        </is>
      </c>
      <c r="D278" t="inlineStr">
        <is>
          <t>L02 B5 discount_B_pct</t>
        </is>
      </c>
    </row>
    <row r="279">
      <c r="A279" t="inlineStr">
        <is>
          <t>rate.L02.B5.cost_per_shipment</t>
        </is>
      </c>
      <c r="B279">
        <f>IF('Rate Card'!P14="","",'Rate Card'!P14)</f>
        <v/>
      </c>
      <c r="C279" t="inlineStr">
        <is>
          <t>number</t>
        </is>
      </c>
      <c r="D279" t="inlineStr">
        <is>
          <t>L02 B5 cost_per_shipment</t>
        </is>
      </c>
    </row>
    <row r="280">
      <c r="A280" t="inlineStr">
        <is>
          <t>rate.L03.B1.mode</t>
        </is>
      </c>
      <c r="B280">
        <f>IF('Rate Card'!G15="","",'Rate Card'!G15)</f>
        <v/>
      </c>
      <c r="C280" t="inlineStr">
        <is>
          <t>text</t>
        </is>
      </c>
      <c r="D280" t="inlineStr">
        <is>
          <t>L03 B1 mode</t>
        </is>
      </c>
    </row>
    <row r="281">
      <c r="A281" t="inlineStr">
        <is>
          <t>rate.L03.B1.transit_days</t>
        </is>
      </c>
      <c r="B281">
        <f>IF('Rate Card'!H15="","",'Rate Card'!H15)</f>
        <v/>
      </c>
      <c r="C281" t="inlineStr">
        <is>
          <t>number</t>
        </is>
      </c>
      <c r="D281" t="inlineStr">
        <is>
          <t>L03 B1 transit_days</t>
        </is>
      </c>
    </row>
    <row r="282">
      <c r="A282" t="inlineStr">
        <is>
          <t>rate.L03.B1.transit_worst_days</t>
        </is>
      </c>
      <c r="B282">
        <f>IF('Rate Card'!S15="","",'Rate Card'!S15)</f>
        <v/>
      </c>
      <c r="C282" t="inlineStr">
        <is>
          <t>number</t>
        </is>
      </c>
      <c r="D282" t="inlineStr">
        <is>
          <t>L03 B1 transit_worst_days</t>
        </is>
      </c>
    </row>
    <row r="283">
      <c r="A283" t="inlineStr">
        <is>
          <t>rate.L03.B1.rate_per_kg</t>
        </is>
      </c>
      <c r="B283">
        <f>IF('Rate Card'!I15="","",'Rate Card'!I15)</f>
        <v/>
      </c>
      <c r="C283" t="inlineStr">
        <is>
          <t>number</t>
        </is>
      </c>
      <c r="D283" t="inlineStr">
        <is>
          <t>L03 B1 rate_per_kg</t>
        </is>
      </c>
    </row>
    <row r="284">
      <c r="A284" t="inlineStr">
        <is>
          <t>rate.L03.B1.min_charge</t>
        </is>
      </c>
      <c r="B284">
        <f>IF('Rate Card'!J15="","",'Rate Card'!J15)</f>
        <v/>
      </c>
      <c r="C284" t="inlineStr">
        <is>
          <t>number</t>
        </is>
      </c>
      <c r="D284" t="inlineStr">
        <is>
          <t>L03 B1 min_charge</t>
        </is>
      </c>
    </row>
    <row r="285">
      <c r="A285" t="inlineStr">
        <is>
          <t>rate.L03.B1.fuel_pct</t>
        </is>
      </c>
      <c r="B285">
        <f>IF('Rate Card'!K15="","",'Rate Card'!K15)</f>
        <v/>
      </c>
      <c r="C285" t="inlineStr">
        <is>
          <t>percent</t>
        </is>
      </c>
      <c r="D285" t="inlineStr">
        <is>
          <t>L03 B1 fuel_pct</t>
        </is>
      </c>
    </row>
    <row r="286">
      <c r="A286" t="inlineStr">
        <is>
          <t>rate.L03.B1.docs_fee</t>
        </is>
      </c>
      <c r="B286">
        <f>IF('Rate Card'!L15="","",'Rate Card'!L15)</f>
        <v/>
      </c>
      <c r="C286" t="inlineStr">
        <is>
          <t>number</t>
        </is>
      </c>
      <c r="D286" t="inlineStr">
        <is>
          <t>L03 B1 docs_fee</t>
        </is>
      </c>
    </row>
    <row r="287">
      <c r="A287" t="inlineStr">
        <is>
          <t>rate.L03.B1.other_fee</t>
        </is>
      </c>
      <c r="B287">
        <f>IF('Rate Card'!M15="","",'Rate Card'!M15)</f>
        <v/>
      </c>
      <c r="C287" t="inlineStr">
        <is>
          <t>number</t>
        </is>
      </c>
      <c r="D287" t="inlineStr">
        <is>
          <t>L03 B1 other_fee</t>
        </is>
      </c>
    </row>
    <row r="288">
      <c r="A288" t="inlineStr">
        <is>
          <t>rate.L03.B1.discount_B_pct</t>
        </is>
      </c>
      <c r="B288">
        <f>IF('Rate Card'!N15="","",'Rate Card'!N15)</f>
        <v/>
      </c>
      <c r="C288" t="inlineStr">
        <is>
          <t>percent</t>
        </is>
      </c>
      <c r="D288" t="inlineStr">
        <is>
          <t>L03 B1 discount_B_pct</t>
        </is>
      </c>
    </row>
    <row r="289">
      <c r="A289" t="inlineStr">
        <is>
          <t>rate.L03.B1.cost_per_shipment</t>
        </is>
      </c>
      <c r="B289">
        <f>IF('Rate Card'!P15="","",'Rate Card'!P15)</f>
        <v/>
      </c>
      <c r="C289" t="inlineStr">
        <is>
          <t>number</t>
        </is>
      </c>
      <c r="D289" t="inlineStr">
        <is>
          <t>L03 B1 cost_per_shipment</t>
        </is>
      </c>
    </row>
    <row r="290">
      <c r="A290" t="inlineStr">
        <is>
          <t>rate.L03.B2.mode</t>
        </is>
      </c>
      <c r="B290">
        <f>IF('Rate Card'!G16="","",'Rate Card'!G16)</f>
        <v/>
      </c>
      <c r="C290" t="inlineStr">
        <is>
          <t>text</t>
        </is>
      </c>
      <c r="D290" t="inlineStr">
        <is>
          <t>L03 B2 mode</t>
        </is>
      </c>
    </row>
    <row r="291">
      <c r="A291" t="inlineStr">
        <is>
          <t>rate.L03.B2.transit_days</t>
        </is>
      </c>
      <c r="B291">
        <f>IF('Rate Card'!H16="","",'Rate Card'!H16)</f>
        <v/>
      </c>
      <c r="C291" t="inlineStr">
        <is>
          <t>number</t>
        </is>
      </c>
      <c r="D291" t="inlineStr">
        <is>
          <t>L03 B2 transit_days</t>
        </is>
      </c>
    </row>
    <row r="292">
      <c r="A292" t="inlineStr">
        <is>
          <t>rate.L03.B2.transit_worst_days</t>
        </is>
      </c>
      <c r="B292">
        <f>IF('Rate Card'!S16="","",'Rate Card'!S16)</f>
        <v/>
      </c>
      <c r="C292" t="inlineStr">
        <is>
          <t>number</t>
        </is>
      </c>
      <c r="D292" t="inlineStr">
        <is>
          <t>L03 B2 transit_worst_days</t>
        </is>
      </c>
    </row>
    <row r="293">
      <c r="A293" t="inlineStr">
        <is>
          <t>rate.L03.B2.rate_per_kg</t>
        </is>
      </c>
      <c r="B293">
        <f>IF('Rate Card'!I16="","",'Rate Card'!I16)</f>
        <v/>
      </c>
      <c r="C293" t="inlineStr">
        <is>
          <t>number</t>
        </is>
      </c>
      <c r="D293" t="inlineStr">
        <is>
          <t>L03 B2 rate_per_kg</t>
        </is>
      </c>
    </row>
    <row r="294">
      <c r="A294" t="inlineStr">
        <is>
          <t>rate.L03.B2.min_charge</t>
        </is>
      </c>
      <c r="B294">
        <f>IF('Rate Card'!J16="","",'Rate Card'!J16)</f>
        <v/>
      </c>
      <c r="C294" t="inlineStr">
        <is>
          <t>number</t>
        </is>
      </c>
      <c r="D294" t="inlineStr">
        <is>
          <t>L03 B2 min_charge</t>
        </is>
      </c>
    </row>
    <row r="295">
      <c r="A295" t="inlineStr">
        <is>
          <t>rate.L03.B2.fuel_pct</t>
        </is>
      </c>
      <c r="B295">
        <f>IF('Rate Card'!K16="","",'Rate Card'!K16)</f>
        <v/>
      </c>
      <c r="C295" t="inlineStr">
        <is>
          <t>percent</t>
        </is>
      </c>
      <c r="D295" t="inlineStr">
        <is>
          <t>L03 B2 fuel_pct</t>
        </is>
      </c>
    </row>
    <row r="296">
      <c r="A296" t="inlineStr">
        <is>
          <t>rate.L03.B2.docs_fee</t>
        </is>
      </c>
      <c r="B296">
        <f>IF('Rate Card'!L16="","",'Rate Card'!L16)</f>
        <v/>
      </c>
      <c r="C296" t="inlineStr">
        <is>
          <t>number</t>
        </is>
      </c>
      <c r="D296" t="inlineStr">
        <is>
          <t>L03 B2 docs_fee</t>
        </is>
      </c>
    </row>
    <row r="297">
      <c r="A297" t="inlineStr">
        <is>
          <t>rate.L03.B2.other_fee</t>
        </is>
      </c>
      <c r="B297">
        <f>IF('Rate Card'!M16="","",'Rate Card'!M16)</f>
        <v/>
      </c>
      <c r="C297" t="inlineStr">
        <is>
          <t>number</t>
        </is>
      </c>
      <c r="D297" t="inlineStr">
        <is>
          <t>L03 B2 other_fee</t>
        </is>
      </c>
    </row>
    <row r="298">
      <c r="A298" t="inlineStr">
        <is>
          <t>rate.L03.B2.discount_B_pct</t>
        </is>
      </c>
      <c r="B298">
        <f>IF('Rate Card'!N16="","",'Rate Card'!N16)</f>
        <v/>
      </c>
      <c r="C298" t="inlineStr">
        <is>
          <t>percent</t>
        </is>
      </c>
      <c r="D298" t="inlineStr">
        <is>
          <t>L03 B2 discount_B_pct</t>
        </is>
      </c>
    </row>
    <row r="299">
      <c r="A299" t="inlineStr">
        <is>
          <t>rate.L03.B2.cost_per_shipment</t>
        </is>
      </c>
      <c r="B299">
        <f>IF('Rate Card'!P16="","",'Rate Card'!P16)</f>
        <v/>
      </c>
      <c r="C299" t="inlineStr">
        <is>
          <t>number</t>
        </is>
      </c>
      <c r="D299" t="inlineStr">
        <is>
          <t>L03 B2 cost_per_shipment</t>
        </is>
      </c>
    </row>
    <row r="300">
      <c r="A300" t="inlineStr">
        <is>
          <t>rate.L03.B3.mode</t>
        </is>
      </c>
      <c r="B300">
        <f>IF('Rate Card'!G17="","",'Rate Card'!G17)</f>
        <v/>
      </c>
      <c r="C300" t="inlineStr">
        <is>
          <t>text</t>
        </is>
      </c>
      <c r="D300" t="inlineStr">
        <is>
          <t>L03 B3 mode</t>
        </is>
      </c>
    </row>
    <row r="301">
      <c r="A301" t="inlineStr">
        <is>
          <t>rate.L03.B3.transit_days</t>
        </is>
      </c>
      <c r="B301">
        <f>IF('Rate Card'!H17="","",'Rate Card'!H17)</f>
        <v/>
      </c>
      <c r="C301" t="inlineStr">
        <is>
          <t>number</t>
        </is>
      </c>
      <c r="D301" t="inlineStr">
        <is>
          <t>L03 B3 transit_days</t>
        </is>
      </c>
    </row>
    <row r="302">
      <c r="A302" t="inlineStr">
        <is>
          <t>rate.L03.B3.transit_worst_days</t>
        </is>
      </c>
      <c r="B302">
        <f>IF('Rate Card'!S17="","",'Rate Card'!S17)</f>
        <v/>
      </c>
      <c r="C302" t="inlineStr">
        <is>
          <t>number</t>
        </is>
      </c>
      <c r="D302" t="inlineStr">
        <is>
          <t>L03 B3 transit_worst_days</t>
        </is>
      </c>
    </row>
    <row r="303">
      <c r="A303" t="inlineStr">
        <is>
          <t>rate.L03.B3.rate_per_kg</t>
        </is>
      </c>
      <c r="B303">
        <f>IF('Rate Card'!I17="","",'Rate Card'!I17)</f>
        <v/>
      </c>
      <c r="C303" t="inlineStr">
        <is>
          <t>number</t>
        </is>
      </c>
      <c r="D303" t="inlineStr">
        <is>
          <t>L03 B3 rate_per_kg</t>
        </is>
      </c>
    </row>
    <row r="304">
      <c r="A304" t="inlineStr">
        <is>
          <t>rate.L03.B3.min_charge</t>
        </is>
      </c>
      <c r="B304">
        <f>IF('Rate Card'!J17="","",'Rate Card'!J17)</f>
        <v/>
      </c>
      <c r="C304" t="inlineStr">
        <is>
          <t>number</t>
        </is>
      </c>
      <c r="D304" t="inlineStr">
        <is>
          <t>L03 B3 min_charge</t>
        </is>
      </c>
    </row>
    <row r="305">
      <c r="A305" t="inlineStr">
        <is>
          <t>rate.L03.B3.fuel_pct</t>
        </is>
      </c>
      <c r="B305">
        <f>IF('Rate Card'!K17="","",'Rate Card'!K17)</f>
        <v/>
      </c>
      <c r="C305" t="inlineStr">
        <is>
          <t>percent</t>
        </is>
      </c>
      <c r="D305" t="inlineStr">
        <is>
          <t>L03 B3 fuel_pct</t>
        </is>
      </c>
    </row>
    <row r="306">
      <c r="A306" t="inlineStr">
        <is>
          <t>rate.L03.B3.docs_fee</t>
        </is>
      </c>
      <c r="B306">
        <f>IF('Rate Card'!L17="","",'Rate Card'!L17)</f>
        <v/>
      </c>
      <c r="C306" t="inlineStr">
        <is>
          <t>number</t>
        </is>
      </c>
      <c r="D306" t="inlineStr">
        <is>
          <t>L03 B3 docs_fee</t>
        </is>
      </c>
    </row>
    <row r="307">
      <c r="A307" t="inlineStr">
        <is>
          <t>rate.L03.B3.other_fee</t>
        </is>
      </c>
      <c r="B307">
        <f>IF('Rate Card'!M17="","",'Rate Card'!M17)</f>
        <v/>
      </c>
      <c r="C307" t="inlineStr">
        <is>
          <t>number</t>
        </is>
      </c>
      <c r="D307" t="inlineStr">
        <is>
          <t>L03 B3 other_fee</t>
        </is>
      </c>
    </row>
    <row r="308">
      <c r="A308" t="inlineStr">
        <is>
          <t>rate.L03.B3.discount_B_pct</t>
        </is>
      </c>
      <c r="B308">
        <f>IF('Rate Card'!N17="","",'Rate Card'!N17)</f>
        <v/>
      </c>
      <c r="C308" t="inlineStr">
        <is>
          <t>percent</t>
        </is>
      </c>
      <c r="D308" t="inlineStr">
        <is>
          <t>L03 B3 discount_B_pct</t>
        </is>
      </c>
    </row>
    <row r="309">
      <c r="A309" t="inlineStr">
        <is>
          <t>rate.L03.B3.cost_per_shipment</t>
        </is>
      </c>
      <c r="B309">
        <f>IF('Rate Card'!P17="","",'Rate Card'!P17)</f>
        <v/>
      </c>
      <c r="C309" t="inlineStr">
        <is>
          <t>number</t>
        </is>
      </c>
      <c r="D309" t="inlineStr">
        <is>
          <t>L03 B3 cost_per_shipment</t>
        </is>
      </c>
    </row>
    <row r="310">
      <c r="A310" t="inlineStr">
        <is>
          <t>rate.L03.B4.mode</t>
        </is>
      </c>
      <c r="B310">
        <f>IF('Rate Card'!G18="","",'Rate Card'!G18)</f>
        <v/>
      </c>
      <c r="C310" t="inlineStr">
        <is>
          <t>text</t>
        </is>
      </c>
      <c r="D310" t="inlineStr">
        <is>
          <t>L03 B4 mode</t>
        </is>
      </c>
    </row>
    <row r="311">
      <c r="A311" t="inlineStr">
        <is>
          <t>rate.L03.B4.transit_days</t>
        </is>
      </c>
      <c r="B311">
        <f>IF('Rate Card'!H18="","",'Rate Card'!H18)</f>
        <v/>
      </c>
      <c r="C311" t="inlineStr">
        <is>
          <t>number</t>
        </is>
      </c>
      <c r="D311" t="inlineStr">
        <is>
          <t>L03 B4 transit_days</t>
        </is>
      </c>
    </row>
    <row r="312">
      <c r="A312" t="inlineStr">
        <is>
          <t>rate.L03.B4.transit_worst_days</t>
        </is>
      </c>
      <c r="B312">
        <f>IF('Rate Card'!S18="","",'Rate Card'!S18)</f>
        <v/>
      </c>
      <c r="C312" t="inlineStr">
        <is>
          <t>number</t>
        </is>
      </c>
      <c r="D312" t="inlineStr">
        <is>
          <t>L03 B4 transit_worst_days</t>
        </is>
      </c>
    </row>
    <row r="313">
      <c r="A313" t="inlineStr">
        <is>
          <t>rate.L03.B4.rate_per_kg</t>
        </is>
      </c>
      <c r="B313">
        <f>IF('Rate Card'!I18="","",'Rate Card'!I18)</f>
        <v/>
      </c>
      <c r="C313" t="inlineStr">
        <is>
          <t>number</t>
        </is>
      </c>
      <c r="D313" t="inlineStr">
        <is>
          <t>L03 B4 rate_per_kg</t>
        </is>
      </c>
    </row>
    <row r="314">
      <c r="A314" t="inlineStr">
        <is>
          <t>rate.L03.B4.min_charge</t>
        </is>
      </c>
      <c r="B314">
        <f>IF('Rate Card'!J18="","",'Rate Card'!J18)</f>
        <v/>
      </c>
      <c r="C314" t="inlineStr">
        <is>
          <t>number</t>
        </is>
      </c>
      <c r="D314" t="inlineStr">
        <is>
          <t>L03 B4 min_charge</t>
        </is>
      </c>
    </row>
    <row r="315">
      <c r="A315" t="inlineStr">
        <is>
          <t>rate.L03.B4.fuel_pct</t>
        </is>
      </c>
      <c r="B315">
        <f>IF('Rate Card'!K18="","",'Rate Card'!K18)</f>
        <v/>
      </c>
      <c r="C315" t="inlineStr">
        <is>
          <t>percent</t>
        </is>
      </c>
      <c r="D315" t="inlineStr">
        <is>
          <t>L03 B4 fuel_pct</t>
        </is>
      </c>
    </row>
    <row r="316">
      <c r="A316" t="inlineStr">
        <is>
          <t>rate.L03.B4.docs_fee</t>
        </is>
      </c>
      <c r="B316">
        <f>IF('Rate Card'!L18="","",'Rate Card'!L18)</f>
        <v/>
      </c>
      <c r="C316" t="inlineStr">
        <is>
          <t>number</t>
        </is>
      </c>
      <c r="D316" t="inlineStr">
        <is>
          <t>L03 B4 docs_fee</t>
        </is>
      </c>
    </row>
    <row r="317">
      <c r="A317" t="inlineStr">
        <is>
          <t>rate.L03.B4.other_fee</t>
        </is>
      </c>
      <c r="B317">
        <f>IF('Rate Card'!M18="","",'Rate Card'!M18)</f>
        <v/>
      </c>
      <c r="C317" t="inlineStr">
        <is>
          <t>number</t>
        </is>
      </c>
      <c r="D317" t="inlineStr">
        <is>
          <t>L03 B4 other_fee</t>
        </is>
      </c>
    </row>
    <row r="318">
      <c r="A318" t="inlineStr">
        <is>
          <t>rate.L03.B4.discount_B_pct</t>
        </is>
      </c>
      <c r="B318">
        <f>IF('Rate Card'!N18="","",'Rate Card'!N18)</f>
        <v/>
      </c>
      <c r="C318" t="inlineStr">
        <is>
          <t>percent</t>
        </is>
      </c>
      <c r="D318" t="inlineStr">
        <is>
          <t>L03 B4 discount_B_pct</t>
        </is>
      </c>
    </row>
    <row r="319">
      <c r="A319" t="inlineStr">
        <is>
          <t>rate.L03.B4.cost_per_shipment</t>
        </is>
      </c>
      <c r="B319">
        <f>IF('Rate Card'!P18="","",'Rate Card'!P18)</f>
        <v/>
      </c>
      <c r="C319" t="inlineStr">
        <is>
          <t>number</t>
        </is>
      </c>
      <c r="D319" t="inlineStr">
        <is>
          <t>L03 B4 cost_per_shipment</t>
        </is>
      </c>
    </row>
    <row r="320">
      <c r="A320" t="inlineStr">
        <is>
          <t>rate.L03.B5.mode</t>
        </is>
      </c>
      <c r="B320">
        <f>IF('Rate Card'!G19="","",'Rate Card'!G19)</f>
        <v/>
      </c>
      <c r="C320" t="inlineStr">
        <is>
          <t>text</t>
        </is>
      </c>
      <c r="D320" t="inlineStr">
        <is>
          <t>L03 B5 mode</t>
        </is>
      </c>
    </row>
    <row r="321">
      <c r="A321" t="inlineStr">
        <is>
          <t>rate.L03.B5.transit_days</t>
        </is>
      </c>
      <c r="B321">
        <f>IF('Rate Card'!H19="","",'Rate Card'!H19)</f>
        <v/>
      </c>
      <c r="C321" t="inlineStr">
        <is>
          <t>number</t>
        </is>
      </c>
      <c r="D321" t="inlineStr">
        <is>
          <t>L03 B5 transit_days</t>
        </is>
      </c>
    </row>
    <row r="322">
      <c r="A322" t="inlineStr">
        <is>
          <t>rate.L03.B5.transit_worst_days</t>
        </is>
      </c>
      <c r="B322">
        <f>IF('Rate Card'!S19="","",'Rate Card'!S19)</f>
        <v/>
      </c>
      <c r="C322" t="inlineStr">
        <is>
          <t>number</t>
        </is>
      </c>
      <c r="D322" t="inlineStr">
        <is>
          <t>L03 B5 transit_worst_days</t>
        </is>
      </c>
    </row>
    <row r="323">
      <c r="A323" t="inlineStr">
        <is>
          <t>rate.L03.B5.rate_per_kg</t>
        </is>
      </c>
      <c r="B323">
        <f>IF('Rate Card'!I19="","",'Rate Card'!I19)</f>
        <v/>
      </c>
      <c r="C323" t="inlineStr">
        <is>
          <t>number</t>
        </is>
      </c>
      <c r="D323" t="inlineStr">
        <is>
          <t>L03 B5 rate_per_kg</t>
        </is>
      </c>
    </row>
    <row r="324">
      <c r="A324" t="inlineStr">
        <is>
          <t>rate.L03.B5.min_charge</t>
        </is>
      </c>
      <c r="B324">
        <f>IF('Rate Card'!J19="","",'Rate Card'!J19)</f>
        <v/>
      </c>
      <c r="C324" t="inlineStr">
        <is>
          <t>number</t>
        </is>
      </c>
      <c r="D324" t="inlineStr">
        <is>
          <t>L03 B5 min_charge</t>
        </is>
      </c>
    </row>
    <row r="325">
      <c r="A325" t="inlineStr">
        <is>
          <t>rate.L03.B5.fuel_pct</t>
        </is>
      </c>
      <c r="B325">
        <f>IF('Rate Card'!K19="","",'Rate Card'!K19)</f>
        <v/>
      </c>
      <c r="C325" t="inlineStr">
        <is>
          <t>percent</t>
        </is>
      </c>
      <c r="D325" t="inlineStr">
        <is>
          <t>L03 B5 fuel_pct</t>
        </is>
      </c>
    </row>
    <row r="326">
      <c r="A326" t="inlineStr">
        <is>
          <t>rate.L03.B5.docs_fee</t>
        </is>
      </c>
      <c r="B326">
        <f>IF('Rate Card'!L19="","",'Rate Card'!L19)</f>
        <v/>
      </c>
      <c r="C326" t="inlineStr">
        <is>
          <t>number</t>
        </is>
      </c>
      <c r="D326" t="inlineStr">
        <is>
          <t>L03 B5 docs_fee</t>
        </is>
      </c>
    </row>
    <row r="327">
      <c r="A327" t="inlineStr">
        <is>
          <t>rate.L03.B5.other_fee</t>
        </is>
      </c>
      <c r="B327">
        <f>IF('Rate Card'!M19="","",'Rate Card'!M19)</f>
        <v/>
      </c>
      <c r="C327" t="inlineStr">
        <is>
          <t>number</t>
        </is>
      </c>
      <c r="D327" t="inlineStr">
        <is>
          <t>L03 B5 other_fee</t>
        </is>
      </c>
    </row>
    <row r="328">
      <c r="A328" t="inlineStr">
        <is>
          <t>rate.L03.B5.discount_B_pct</t>
        </is>
      </c>
      <c r="B328">
        <f>IF('Rate Card'!N19="","",'Rate Card'!N19)</f>
        <v/>
      </c>
      <c r="C328" t="inlineStr">
        <is>
          <t>percent</t>
        </is>
      </c>
      <c r="D328" t="inlineStr">
        <is>
          <t>L03 B5 discount_B_pct</t>
        </is>
      </c>
    </row>
    <row r="329">
      <c r="A329" t="inlineStr">
        <is>
          <t>rate.L03.B5.cost_per_shipment</t>
        </is>
      </c>
      <c r="B329">
        <f>IF('Rate Card'!P19="","",'Rate Card'!P19)</f>
        <v/>
      </c>
      <c r="C329" t="inlineStr">
        <is>
          <t>number</t>
        </is>
      </c>
      <c r="D329" t="inlineStr">
        <is>
          <t>L03 B5 cost_per_shipment</t>
        </is>
      </c>
    </row>
    <row r="330">
      <c r="A330" t="inlineStr">
        <is>
          <t>rate.L04.B1.mode</t>
        </is>
      </c>
      <c r="B330">
        <f>IF('Rate Card'!G20="","",'Rate Card'!G20)</f>
        <v/>
      </c>
      <c r="C330" t="inlineStr">
        <is>
          <t>text</t>
        </is>
      </c>
      <c r="D330" t="inlineStr">
        <is>
          <t>L04 B1 mode</t>
        </is>
      </c>
    </row>
    <row r="331">
      <c r="A331" t="inlineStr">
        <is>
          <t>rate.L04.B1.transit_days</t>
        </is>
      </c>
      <c r="B331">
        <f>IF('Rate Card'!H20="","",'Rate Card'!H20)</f>
        <v/>
      </c>
      <c r="C331" t="inlineStr">
        <is>
          <t>number</t>
        </is>
      </c>
      <c r="D331" t="inlineStr">
        <is>
          <t>L04 B1 transit_days</t>
        </is>
      </c>
    </row>
    <row r="332">
      <c r="A332" t="inlineStr">
        <is>
          <t>rate.L04.B1.transit_worst_days</t>
        </is>
      </c>
      <c r="B332">
        <f>IF('Rate Card'!S20="","",'Rate Card'!S20)</f>
        <v/>
      </c>
      <c r="C332" t="inlineStr">
        <is>
          <t>number</t>
        </is>
      </c>
      <c r="D332" t="inlineStr">
        <is>
          <t>L04 B1 transit_worst_days</t>
        </is>
      </c>
    </row>
    <row r="333">
      <c r="A333" t="inlineStr">
        <is>
          <t>rate.L04.B1.rate_per_kg</t>
        </is>
      </c>
      <c r="B333">
        <f>IF('Rate Card'!I20="","",'Rate Card'!I20)</f>
        <v/>
      </c>
      <c r="C333" t="inlineStr">
        <is>
          <t>number</t>
        </is>
      </c>
      <c r="D333" t="inlineStr">
        <is>
          <t>L04 B1 rate_per_kg</t>
        </is>
      </c>
    </row>
    <row r="334">
      <c r="A334" t="inlineStr">
        <is>
          <t>rate.L04.B1.min_charge</t>
        </is>
      </c>
      <c r="B334">
        <f>IF('Rate Card'!J20="","",'Rate Card'!J20)</f>
        <v/>
      </c>
      <c r="C334" t="inlineStr">
        <is>
          <t>number</t>
        </is>
      </c>
      <c r="D334" t="inlineStr">
        <is>
          <t>L04 B1 min_charge</t>
        </is>
      </c>
    </row>
    <row r="335">
      <c r="A335" t="inlineStr">
        <is>
          <t>rate.L04.B1.fuel_pct</t>
        </is>
      </c>
      <c r="B335">
        <f>IF('Rate Card'!K20="","",'Rate Card'!K20)</f>
        <v/>
      </c>
      <c r="C335" t="inlineStr">
        <is>
          <t>percent</t>
        </is>
      </c>
      <c r="D335" t="inlineStr">
        <is>
          <t>L04 B1 fuel_pct</t>
        </is>
      </c>
    </row>
    <row r="336">
      <c r="A336" t="inlineStr">
        <is>
          <t>rate.L04.B1.docs_fee</t>
        </is>
      </c>
      <c r="B336">
        <f>IF('Rate Card'!L20="","",'Rate Card'!L20)</f>
        <v/>
      </c>
      <c r="C336" t="inlineStr">
        <is>
          <t>number</t>
        </is>
      </c>
      <c r="D336" t="inlineStr">
        <is>
          <t>L04 B1 docs_fee</t>
        </is>
      </c>
    </row>
    <row r="337">
      <c r="A337" t="inlineStr">
        <is>
          <t>rate.L04.B1.other_fee</t>
        </is>
      </c>
      <c r="B337">
        <f>IF('Rate Card'!M20="","",'Rate Card'!M20)</f>
        <v/>
      </c>
      <c r="C337" t="inlineStr">
        <is>
          <t>number</t>
        </is>
      </c>
      <c r="D337" t="inlineStr">
        <is>
          <t>L04 B1 other_fee</t>
        </is>
      </c>
    </row>
    <row r="338">
      <c r="A338" t="inlineStr">
        <is>
          <t>rate.L04.B1.discount_B_pct</t>
        </is>
      </c>
      <c r="B338">
        <f>IF('Rate Card'!N20="","",'Rate Card'!N20)</f>
        <v/>
      </c>
      <c r="C338" t="inlineStr">
        <is>
          <t>percent</t>
        </is>
      </c>
      <c r="D338" t="inlineStr">
        <is>
          <t>L04 B1 discount_B_pct</t>
        </is>
      </c>
    </row>
    <row r="339">
      <c r="A339" t="inlineStr">
        <is>
          <t>rate.L04.B1.cost_per_shipment</t>
        </is>
      </c>
      <c r="B339">
        <f>IF('Rate Card'!P20="","",'Rate Card'!P20)</f>
        <v/>
      </c>
      <c r="C339" t="inlineStr">
        <is>
          <t>number</t>
        </is>
      </c>
      <c r="D339" t="inlineStr">
        <is>
          <t>L04 B1 cost_per_shipment</t>
        </is>
      </c>
    </row>
    <row r="340">
      <c r="A340" t="inlineStr">
        <is>
          <t>rate.L04.B2.mode</t>
        </is>
      </c>
      <c r="B340">
        <f>IF('Rate Card'!G21="","",'Rate Card'!G21)</f>
        <v/>
      </c>
      <c r="C340" t="inlineStr">
        <is>
          <t>text</t>
        </is>
      </c>
      <c r="D340" t="inlineStr">
        <is>
          <t>L04 B2 mode</t>
        </is>
      </c>
    </row>
    <row r="341">
      <c r="A341" t="inlineStr">
        <is>
          <t>rate.L04.B2.transit_days</t>
        </is>
      </c>
      <c r="B341">
        <f>IF('Rate Card'!H21="","",'Rate Card'!H21)</f>
        <v/>
      </c>
      <c r="C341" t="inlineStr">
        <is>
          <t>number</t>
        </is>
      </c>
      <c r="D341" t="inlineStr">
        <is>
          <t>L04 B2 transit_days</t>
        </is>
      </c>
    </row>
    <row r="342">
      <c r="A342" t="inlineStr">
        <is>
          <t>rate.L04.B2.transit_worst_days</t>
        </is>
      </c>
      <c r="B342">
        <f>IF('Rate Card'!S21="","",'Rate Card'!S21)</f>
        <v/>
      </c>
      <c r="C342" t="inlineStr">
        <is>
          <t>number</t>
        </is>
      </c>
      <c r="D342" t="inlineStr">
        <is>
          <t>L04 B2 transit_worst_days</t>
        </is>
      </c>
    </row>
    <row r="343">
      <c r="A343" t="inlineStr">
        <is>
          <t>rate.L04.B2.rate_per_kg</t>
        </is>
      </c>
      <c r="B343">
        <f>IF('Rate Card'!I21="","",'Rate Card'!I21)</f>
        <v/>
      </c>
      <c r="C343" t="inlineStr">
        <is>
          <t>number</t>
        </is>
      </c>
      <c r="D343" t="inlineStr">
        <is>
          <t>L04 B2 rate_per_kg</t>
        </is>
      </c>
    </row>
    <row r="344">
      <c r="A344" t="inlineStr">
        <is>
          <t>rate.L04.B2.min_charge</t>
        </is>
      </c>
      <c r="B344">
        <f>IF('Rate Card'!J21="","",'Rate Card'!J21)</f>
        <v/>
      </c>
      <c r="C344" t="inlineStr">
        <is>
          <t>number</t>
        </is>
      </c>
      <c r="D344" t="inlineStr">
        <is>
          <t>L04 B2 min_charge</t>
        </is>
      </c>
    </row>
    <row r="345">
      <c r="A345" t="inlineStr">
        <is>
          <t>rate.L04.B2.fuel_pct</t>
        </is>
      </c>
      <c r="B345">
        <f>IF('Rate Card'!K21="","",'Rate Card'!K21)</f>
        <v/>
      </c>
      <c r="C345" t="inlineStr">
        <is>
          <t>percent</t>
        </is>
      </c>
      <c r="D345" t="inlineStr">
        <is>
          <t>L04 B2 fuel_pct</t>
        </is>
      </c>
    </row>
    <row r="346">
      <c r="A346" t="inlineStr">
        <is>
          <t>rate.L04.B2.docs_fee</t>
        </is>
      </c>
      <c r="B346">
        <f>IF('Rate Card'!L21="","",'Rate Card'!L21)</f>
        <v/>
      </c>
      <c r="C346" t="inlineStr">
        <is>
          <t>number</t>
        </is>
      </c>
      <c r="D346" t="inlineStr">
        <is>
          <t>L04 B2 docs_fee</t>
        </is>
      </c>
    </row>
    <row r="347">
      <c r="A347" t="inlineStr">
        <is>
          <t>rate.L04.B2.other_fee</t>
        </is>
      </c>
      <c r="B347">
        <f>IF('Rate Card'!M21="","",'Rate Card'!M21)</f>
        <v/>
      </c>
      <c r="C347" t="inlineStr">
        <is>
          <t>number</t>
        </is>
      </c>
      <c r="D347" t="inlineStr">
        <is>
          <t>L04 B2 other_fee</t>
        </is>
      </c>
    </row>
    <row r="348">
      <c r="A348" t="inlineStr">
        <is>
          <t>rate.L04.B2.discount_B_pct</t>
        </is>
      </c>
      <c r="B348">
        <f>IF('Rate Card'!N21="","",'Rate Card'!N21)</f>
        <v/>
      </c>
      <c r="C348" t="inlineStr">
        <is>
          <t>percent</t>
        </is>
      </c>
      <c r="D348" t="inlineStr">
        <is>
          <t>L04 B2 discount_B_pct</t>
        </is>
      </c>
    </row>
    <row r="349">
      <c r="A349" t="inlineStr">
        <is>
          <t>rate.L04.B2.cost_per_shipment</t>
        </is>
      </c>
      <c r="B349">
        <f>IF('Rate Card'!P21="","",'Rate Card'!P21)</f>
        <v/>
      </c>
      <c r="C349" t="inlineStr">
        <is>
          <t>number</t>
        </is>
      </c>
      <c r="D349" t="inlineStr">
        <is>
          <t>L04 B2 cost_per_shipment</t>
        </is>
      </c>
    </row>
    <row r="350">
      <c r="A350" t="inlineStr">
        <is>
          <t>rate.L04.B3.mode</t>
        </is>
      </c>
      <c r="B350">
        <f>IF('Rate Card'!G22="","",'Rate Card'!G22)</f>
        <v/>
      </c>
      <c r="C350" t="inlineStr">
        <is>
          <t>text</t>
        </is>
      </c>
      <c r="D350" t="inlineStr">
        <is>
          <t>L04 B3 mode</t>
        </is>
      </c>
    </row>
    <row r="351">
      <c r="A351" t="inlineStr">
        <is>
          <t>rate.L04.B3.transit_days</t>
        </is>
      </c>
      <c r="B351">
        <f>IF('Rate Card'!H22="","",'Rate Card'!H22)</f>
        <v/>
      </c>
      <c r="C351" t="inlineStr">
        <is>
          <t>number</t>
        </is>
      </c>
      <c r="D351" t="inlineStr">
        <is>
          <t>L04 B3 transit_days</t>
        </is>
      </c>
    </row>
    <row r="352">
      <c r="A352" t="inlineStr">
        <is>
          <t>rate.L04.B3.transit_worst_days</t>
        </is>
      </c>
      <c r="B352">
        <f>IF('Rate Card'!S22="","",'Rate Card'!S22)</f>
        <v/>
      </c>
      <c r="C352" t="inlineStr">
        <is>
          <t>number</t>
        </is>
      </c>
      <c r="D352" t="inlineStr">
        <is>
          <t>L04 B3 transit_worst_days</t>
        </is>
      </c>
    </row>
    <row r="353">
      <c r="A353" t="inlineStr">
        <is>
          <t>rate.L04.B3.rate_per_kg</t>
        </is>
      </c>
      <c r="B353">
        <f>IF('Rate Card'!I22="","",'Rate Card'!I22)</f>
        <v/>
      </c>
      <c r="C353" t="inlineStr">
        <is>
          <t>number</t>
        </is>
      </c>
      <c r="D353" t="inlineStr">
        <is>
          <t>L04 B3 rate_per_kg</t>
        </is>
      </c>
    </row>
    <row r="354">
      <c r="A354" t="inlineStr">
        <is>
          <t>rate.L04.B3.min_charge</t>
        </is>
      </c>
      <c r="B354">
        <f>IF('Rate Card'!J22="","",'Rate Card'!J22)</f>
        <v/>
      </c>
      <c r="C354" t="inlineStr">
        <is>
          <t>number</t>
        </is>
      </c>
      <c r="D354" t="inlineStr">
        <is>
          <t>L04 B3 min_charge</t>
        </is>
      </c>
    </row>
    <row r="355">
      <c r="A355" t="inlineStr">
        <is>
          <t>rate.L04.B3.fuel_pct</t>
        </is>
      </c>
      <c r="B355">
        <f>IF('Rate Card'!K22="","",'Rate Card'!K22)</f>
        <v/>
      </c>
      <c r="C355" t="inlineStr">
        <is>
          <t>percent</t>
        </is>
      </c>
      <c r="D355" t="inlineStr">
        <is>
          <t>L04 B3 fuel_pct</t>
        </is>
      </c>
    </row>
    <row r="356">
      <c r="A356" t="inlineStr">
        <is>
          <t>rate.L04.B3.docs_fee</t>
        </is>
      </c>
      <c r="B356">
        <f>IF('Rate Card'!L22="","",'Rate Card'!L22)</f>
        <v/>
      </c>
      <c r="C356" t="inlineStr">
        <is>
          <t>number</t>
        </is>
      </c>
      <c r="D356" t="inlineStr">
        <is>
          <t>L04 B3 docs_fee</t>
        </is>
      </c>
    </row>
    <row r="357">
      <c r="A357" t="inlineStr">
        <is>
          <t>rate.L04.B3.other_fee</t>
        </is>
      </c>
      <c r="B357">
        <f>IF('Rate Card'!M22="","",'Rate Card'!M22)</f>
        <v/>
      </c>
      <c r="C357" t="inlineStr">
        <is>
          <t>number</t>
        </is>
      </c>
      <c r="D357" t="inlineStr">
        <is>
          <t>L04 B3 other_fee</t>
        </is>
      </c>
    </row>
    <row r="358">
      <c r="A358" t="inlineStr">
        <is>
          <t>rate.L04.B3.discount_B_pct</t>
        </is>
      </c>
      <c r="B358">
        <f>IF('Rate Card'!N22="","",'Rate Card'!N22)</f>
        <v/>
      </c>
      <c r="C358" t="inlineStr">
        <is>
          <t>percent</t>
        </is>
      </c>
      <c r="D358" t="inlineStr">
        <is>
          <t>L04 B3 discount_B_pct</t>
        </is>
      </c>
    </row>
    <row r="359">
      <c r="A359" t="inlineStr">
        <is>
          <t>rate.L04.B3.cost_per_shipment</t>
        </is>
      </c>
      <c r="B359">
        <f>IF('Rate Card'!P22="","",'Rate Card'!P22)</f>
        <v/>
      </c>
      <c r="C359" t="inlineStr">
        <is>
          <t>number</t>
        </is>
      </c>
      <c r="D359" t="inlineStr">
        <is>
          <t>L04 B3 cost_per_shipment</t>
        </is>
      </c>
    </row>
    <row r="360">
      <c r="A360" t="inlineStr">
        <is>
          <t>rate.L04.B4.mode</t>
        </is>
      </c>
      <c r="B360">
        <f>IF('Rate Card'!G23="","",'Rate Card'!G23)</f>
        <v/>
      </c>
      <c r="C360" t="inlineStr">
        <is>
          <t>text</t>
        </is>
      </c>
      <c r="D360" t="inlineStr">
        <is>
          <t>L04 B4 mode</t>
        </is>
      </c>
    </row>
    <row r="361">
      <c r="A361" t="inlineStr">
        <is>
          <t>rate.L04.B4.transit_days</t>
        </is>
      </c>
      <c r="B361">
        <f>IF('Rate Card'!H23="","",'Rate Card'!H23)</f>
        <v/>
      </c>
      <c r="C361" t="inlineStr">
        <is>
          <t>number</t>
        </is>
      </c>
      <c r="D361" t="inlineStr">
        <is>
          <t>L04 B4 transit_days</t>
        </is>
      </c>
    </row>
    <row r="362">
      <c r="A362" t="inlineStr">
        <is>
          <t>rate.L04.B4.transit_worst_days</t>
        </is>
      </c>
      <c r="B362">
        <f>IF('Rate Card'!S23="","",'Rate Card'!S23)</f>
        <v/>
      </c>
      <c r="C362" t="inlineStr">
        <is>
          <t>number</t>
        </is>
      </c>
      <c r="D362" t="inlineStr">
        <is>
          <t>L04 B4 transit_worst_days</t>
        </is>
      </c>
    </row>
    <row r="363">
      <c r="A363" t="inlineStr">
        <is>
          <t>rate.L04.B4.rate_per_kg</t>
        </is>
      </c>
      <c r="B363">
        <f>IF('Rate Card'!I23="","",'Rate Card'!I23)</f>
        <v/>
      </c>
      <c r="C363" t="inlineStr">
        <is>
          <t>number</t>
        </is>
      </c>
      <c r="D363" t="inlineStr">
        <is>
          <t>L04 B4 rate_per_kg</t>
        </is>
      </c>
    </row>
    <row r="364">
      <c r="A364" t="inlineStr">
        <is>
          <t>rate.L04.B4.min_charge</t>
        </is>
      </c>
      <c r="B364">
        <f>IF('Rate Card'!J23="","",'Rate Card'!J23)</f>
        <v/>
      </c>
      <c r="C364" t="inlineStr">
        <is>
          <t>number</t>
        </is>
      </c>
      <c r="D364" t="inlineStr">
        <is>
          <t>L04 B4 min_charge</t>
        </is>
      </c>
    </row>
    <row r="365">
      <c r="A365" t="inlineStr">
        <is>
          <t>rate.L04.B4.fuel_pct</t>
        </is>
      </c>
      <c r="B365">
        <f>IF('Rate Card'!K23="","",'Rate Card'!K23)</f>
        <v/>
      </c>
      <c r="C365" t="inlineStr">
        <is>
          <t>percent</t>
        </is>
      </c>
      <c r="D365" t="inlineStr">
        <is>
          <t>L04 B4 fuel_pct</t>
        </is>
      </c>
    </row>
    <row r="366">
      <c r="A366" t="inlineStr">
        <is>
          <t>rate.L04.B4.docs_fee</t>
        </is>
      </c>
      <c r="B366">
        <f>IF('Rate Card'!L23="","",'Rate Card'!L23)</f>
        <v/>
      </c>
      <c r="C366" t="inlineStr">
        <is>
          <t>number</t>
        </is>
      </c>
      <c r="D366" t="inlineStr">
        <is>
          <t>L04 B4 docs_fee</t>
        </is>
      </c>
    </row>
    <row r="367">
      <c r="A367" t="inlineStr">
        <is>
          <t>rate.L04.B4.other_fee</t>
        </is>
      </c>
      <c r="B367">
        <f>IF('Rate Card'!M23="","",'Rate Card'!M23)</f>
        <v/>
      </c>
      <c r="C367" t="inlineStr">
        <is>
          <t>number</t>
        </is>
      </c>
      <c r="D367" t="inlineStr">
        <is>
          <t>L04 B4 other_fee</t>
        </is>
      </c>
    </row>
    <row r="368">
      <c r="A368" t="inlineStr">
        <is>
          <t>rate.L04.B4.discount_B_pct</t>
        </is>
      </c>
      <c r="B368">
        <f>IF('Rate Card'!N23="","",'Rate Card'!N23)</f>
        <v/>
      </c>
      <c r="C368" t="inlineStr">
        <is>
          <t>percent</t>
        </is>
      </c>
      <c r="D368" t="inlineStr">
        <is>
          <t>L04 B4 discount_B_pct</t>
        </is>
      </c>
    </row>
    <row r="369">
      <c r="A369" t="inlineStr">
        <is>
          <t>rate.L04.B4.cost_per_shipment</t>
        </is>
      </c>
      <c r="B369">
        <f>IF('Rate Card'!P23="","",'Rate Card'!P23)</f>
        <v/>
      </c>
      <c r="C369" t="inlineStr">
        <is>
          <t>number</t>
        </is>
      </c>
      <c r="D369" t="inlineStr">
        <is>
          <t>L04 B4 cost_per_shipment</t>
        </is>
      </c>
    </row>
    <row r="370">
      <c r="A370" t="inlineStr">
        <is>
          <t>rate.L04.B5.mode</t>
        </is>
      </c>
      <c r="B370">
        <f>IF('Rate Card'!G24="","",'Rate Card'!G24)</f>
        <v/>
      </c>
      <c r="C370" t="inlineStr">
        <is>
          <t>text</t>
        </is>
      </c>
      <c r="D370" t="inlineStr">
        <is>
          <t>L04 B5 mode</t>
        </is>
      </c>
    </row>
    <row r="371">
      <c r="A371" t="inlineStr">
        <is>
          <t>rate.L04.B5.transit_days</t>
        </is>
      </c>
      <c r="B371">
        <f>IF('Rate Card'!H24="","",'Rate Card'!H24)</f>
        <v/>
      </c>
      <c r="C371" t="inlineStr">
        <is>
          <t>number</t>
        </is>
      </c>
      <c r="D371" t="inlineStr">
        <is>
          <t>L04 B5 transit_days</t>
        </is>
      </c>
    </row>
    <row r="372">
      <c r="A372" t="inlineStr">
        <is>
          <t>rate.L04.B5.transit_worst_days</t>
        </is>
      </c>
      <c r="B372">
        <f>IF('Rate Card'!S24="","",'Rate Card'!S24)</f>
        <v/>
      </c>
      <c r="C372" t="inlineStr">
        <is>
          <t>number</t>
        </is>
      </c>
      <c r="D372" t="inlineStr">
        <is>
          <t>L04 B5 transit_worst_days</t>
        </is>
      </c>
    </row>
    <row r="373">
      <c r="A373" t="inlineStr">
        <is>
          <t>rate.L04.B5.rate_per_kg</t>
        </is>
      </c>
      <c r="B373">
        <f>IF('Rate Card'!I24="","",'Rate Card'!I24)</f>
        <v/>
      </c>
      <c r="C373" t="inlineStr">
        <is>
          <t>number</t>
        </is>
      </c>
      <c r="D373" t="inlineStr">
        <is>
          <t>L04 B5 rate_per_kg</t>
        </is>
      </c>
    </row>
    <row r="374">
      <c r="A374" t="inlineStr">
        <is>
          <t>rate.L04.B5.min_charge</t>
        </is>
      </c>
      <c r="B374">
        <f>IF('Rate Card'!J24="","",'Rate Card'!J24)</f>
        <v/>
      </c>
      <c r="C374" t="inlineStr">
        <is>
          <t>number</t>
        </is>
      </c>
      <c r="D374" t="inlineStr">
        <is>
          <t>L04 B5 min_charge</t>
        </is>
      </c>
    </row>
    <row r="375">
      <c r="A375" t="inlineStr">
        <is>
          <t>rate.L04.B5.fuel_pct</t>
        </is>
      </c>
      <c r="B375">
        <f>IF('Rate Card'!K24="","",'Rate Card'!K24)</f>
        <v/>
      </c>
      <c r="C375" t="inlineStr">
        <is>
          <t>percent</t>
        </is>
      </c>
      <c r="D375" t="inlineStr">
        <is>
          <t>L04 B5 fuel_pct</t>
        </is>
      </c>
    </row>
    <row r="376">
      <c r="A376" t="inlineStr">
        <is>
          <t>rate.L04.B5.docs_fee</t>
        </is>
      </c>
      <c r="B376">
        <f>IF('Rate Card'!L24="","",'Rate Card'!L24)</f>
        <v/>
      </c>
      <c r="C376" t="inlineStr">
        <is>
          <t>number</t>
        </is>
      </c>
      <c r="D376" t="inlineStr">
        <is>
          <t>L04 B5 docs_fee</t>
        </is>
      </c>
    </row>
    <row r="377">
      <c r="A377" t="inlineStr">
        <is>
          <t>rate.L04.B5.other_fee</t>
        </is>
      </c>
      <c r="B377">
        <f>IF('Rate Card'!M24="","",'Rate Card'!M24)</f>
        <v/>
      </c>
      <c r="C377" t="inlineStr">
        <is>
          <t>number</t>
        </is>
      </c>
      <c r="D377" t="inlineStr">
        <is>
          <t>L04 B5 other_fee</t>
        </is>
      </c>
    </row>
    <row r="378">
      <c r="A378" t="inlineStr">
        <is>
          <t>rate.L04.B5.discount_B_pct</t>
        </is>
      </c>
      <c r="B378">
        <f>IF('Rate Card'!N24="","",'Rate Card'!N24)</f>
        <v/>
      </c>
      <c r="C378" t="inlineStr">
        <is>
          <t>percent</t>
        </is>
      </c>
      <c r="D378" t="inlineStr">
        <is>
          <t>L04 B5 discount_B_pct</t>
        </is>
      </c>
    </row>
    <row r="379">
      <c r="A379" t="inlineStr">
        <is>
          <t>rate.L04.B5.cost_per_shipment</t>
        </is>
      </c>
      <c r="B379">
        <f>IF('Rate Card'!P24="","",'Rate Card'!P24)</f>
        <v/>
      </c>
      <c r="C379" t="inlineStr">
        <is>
          <t>number</t>
        </is>
      </c>
      <c r="D379" t="inlineStr">
        <is>
          <t>L04 B5 cost_per_shipment</t>
        </is>
      </c>
    </row>
    <row r="380">
      <c r="A380" t="inlineStr">
        <is>
          <t>rate.L05.B1.mode</t>
        </is>
      </c>
      <c r="B380">
        <f>IF('Rate Card'!G25="","",'Rate Card'!G25)</f>
        <v/>
      </c>
      <c r="C380" t="inlineStr">
        <is>
          <t>text</t>
        </is>
      </c>
      <c r="D380" t="inlineStr">
        <is>
          <t>L05 B1 mode</t>
        </is>
      </c>
    </row>
    <row r="381">
      <c r="A381" t="inlineStr">
        <is>
          <t>rate.L05.B1.transit_days</t>
        </is>
      </c>
      <c r="B381">
        <f>IF('Rate Card'!H25="","",'Rate Card'!H25)</f>
        <v/>
      </c>
      <c r="C381" t="inlineStr">
        <is>
          <t>number</t>
        </is>
      </c>
      <c r="D381" t="inlineStr">
        <is>
          <t>L05 B1 transit_days</t>
        </is>
      </c>
    </row>
    <row r="382">
      <c r="A382" t="inlineStr">
        <is>
          <t>rate.L05.B1.transit_worst_days</t>
        </is>
      </c>
      <c r="B382">
        <f>IF('Rate Card'!S25="","",'Rate Card'!S25)</f>
        <v/>
      </c>
      <c r="C382" t="inlineStr">
        <is>
          <t>number</t>
        </is>
      </c>
      <c r="D382" t="inlineStr">
        <is>
          <t>L05 B1 transit_worst_days</t>
        </is>
      </c>
    </row>
    <row r="383">
      <c r="A383" t="inlineStr">
        <is>
          <t>rate.L05.B1.rate_per_kg</t>
        </is>
      </c>
      <c r="B383">
        <f>IF('Rate Card'!I25="","",'Rate Card'!I25)</f>
        <v/>
      </c>
      <c r="C383" t="inlineStr">
        <is>
          <t>number</t>
        </is>
      </c>
      <c r="D383" t="inlineStr">
        <is>
          <t>L05 B1 rate_per_kg</t>
        </is>
      </c>
    </row>
    <row r="384">
      <c r="A384" t="inlineStr">
        <is>
          <t>rate.L05.B1.min_charge</t>
        </is>
      </c>
      <c r="B384">
        <f>IF('Rate Card'!J25="","",'Rate Card'!J25)</f>
        <v/>
      </c>
      <c r="C384" t="inlineStr">
        <is>
          <t>number</t>
        </is>
      </c>
      <c r="D384" t="inlineStr">
        <is>
          <t>L05 B1 min_charge</t>
        </is>
      </c>
    </row>
    <row r="385">
      <c r="A385" t="inlineStr">
        <is>
          <t>rate.L05.B1.fuel_pct</t>
        </is>
      </c>
      <c r="B385">
        <f>IF('Rate Card'!K25="","",'Rate Card'!K25)</f>
        <v/>
      </c>
      <c r="C385" t="inlineStr">
        <is>
          <t>percent</t>
        </is>
      </c>
      <c r="D385" t="inlineStr">
        <is>
          <t>L05 B1 fuel_pct</t>
        </is>
      </c>
    </row>
    <row r="386">
      <c r="A386" t="inlineStr">
        <is>
          <t>rate.L05.B1.docs_fee</t>
        </is>
      </c>
      <c r="B386">
        <f>IF('Rate Card'!L25="","",'Rate Card'!L25)</f>
        <v/>
      </c>
      <c r="C386" t="inlineStr">
        <is>
          <t>number</t>
        </is>
      </c>
      <c r="D386" t="inlineStr">
        <is>
          <t>L05 B1 docs_fee</t>
        </is>
      </c>
    </row>
    <row r="387">
      <c r="A387" t="inlineStr">
        <is>
          <t>rate.L05.B1.other_fee</t>
        </is>
      </c>
      <c r="B387">
        <f>IF('Rate Card'!M25="","",'Rate Card'!M25)</f>
        <v/>
      </c>
      <c r="C387" t="inlineStr">
        <is>
          <t>number</t>
        </is>
      </c>
      <c r="D387" t="inlineStr">
        <is>
          <t>L05 B1 other_fee</t>
        </is>
      </c>
    </row>
    <row r="388">
      <c r="A388" t="inlineStr">
        <is>
          <t>rate.L05.B1.discount_B_pct</t>
        </is>
      </c>
      <c r="B388">
        <f>IF('Rate Card'!N25="","",'Rate Card'!N25)</f>
        <v/>
      </c>
      <c r="C388" t="inlineStr">
        <is>
          <t>percent</t>
        </is>
      </c>
      <c r="D388" t="inlineStr">
        <is>
          <t>L05 B1 discount_B_pct</t>
        </is>
      </c>
    </row>
    <row r="389">
      <c r="A389" t="inlineStr">
        <is>
          <t>rate.L05.B1.cost_per_shipment</t>
        </is>
      </c>
      <c r="B389">
        <f>IF('Rate Card'!P25="","",'Rate Card'!P25)</f>
        <v/>
      </c>
      <c r="C389" t="inlineStr">
        <is>
          <t>number</t>
        </is>
      </c>
      <c r="D389" t="inlineStr">
        <is>
          <t>L05 B1 cost_per_shipment</t>
        </is>
      </c>
    </row>
    <row r="390">
      <c r="A390" t="inlineStr">
        <is>
          <t>rate.L05.B2.mode</t>
        </is>
      </c>
      <c r="B390">
        <f>IF('Rate Card'!G26="","",'Rate Card'!G26)</f>
        <v/>
      </c>
      <c r="C390" t="inlineStr">
        <is>
          <t>text</t>
        </is>
      </c>
      <c r="D390" t="inlineStr">
        <is>
          <t>L05 B2 mode</t>
        </is>
      </c>
    </row>
    <row r="391">
      <c r="A391" t="inlineStr">
        <is>
          <t>rate.L05.B2.transit_days</t>
        </is>
      </c>
      <c r="B391">
        <f>IF('Rate Card'!H26="","",'Rate Card'!H26)</f>
        <v/>
      </c>
      <c r="C391" t="inlineStr">
        <is>
          <t>number</t>
        </is>
      </c>
      <c r="D391" t="inlineStr">
        <is>
          <t>L05 B2 transit_days</t>
        </is>
      </c>
    </row>
    <row r="392">
      <c r="A392" t="inlineStr">
        <is>
          <t>rate.L05.B2.transit_worst_days</t>
        </is>
      </c>
      <c r="B392">
        <f>IF('Rate Card'!S26="","",'Rate Card'!S26)</f>
        <v/>
      </c>
      <c r="C392" t="inlineStr">
        <is>
          <t>number</t>
        </is>
      </c>
      <c r="D392" t="inlineStr">
        <is>
          <t>L05 B2 transit_worst_days</t>
        </is>
      </c>
    </row>
    <row r="393">
      <c r="A393" t="inlineStr">
        <is>
          <t>rate.L05.B2.rate_per_kg</t>
        </is>
      </c>
      <c r="B393">
        <f>IF('Rate Card'!I26="","",'Rate Card'!I26)</f>
        <v/>
      </c>
      <c r="C393" t="inlineStr">
        <is>
          <t>number</t>
        </is>
      </c>
      <c r="D393" t="inlineStr">
        <is>
          <t>L05 B2 rate_per_kg</t>
        </is>
      </c>
    </row>
    <row r="394">
      <c r="A394" t="inlineStr">
        <is>
          <t>rate.L05.B2.min_charge</t>
        </is>
      </c>
      <c r="B394">
        <f>IF('Rate Card'!J26="","",'Rate Card'!J26)</f>
        <v/>
      </c>
      <c r="C394" t="inlineStr">
        <is>
          <t>number</t>
        </is>
      </c>
      <c r="D394" t="inlineStr">
        <is>
          <t>L05 B2 min_charge</t>
        </is>
      </c>
    </row>
    <row r="395">
      <c r="A395" t="inlineStr">
        <is>
          <t>rate.L05.B2.fuel_pct</t>
        </is>
      </c>
      <c r="B395">
        <f>IF('Rate Card'!K26="","",'Rate Card'!K26)</f>
        <v/>
      </c>
      <c r="C395" t="inlineStr">
        <is>
          <t>percent</t>
        </is>
      </c>
      <c r="D395" t="inlineStr">
        <is>
          <t>L05 B2 fuel_pct</t>
        </is>
      </c>
    </row>
    <row r="396">
      <c r="A396" t="inlineStr">
        <is>
          <t>rate.L05.B2.docs_fee</t>
        </is>
      </c>
      <c r="B396">
        <f>IF('Rate Card'!L26="","",'Rate Card'!L26)</f>
        <v/>
      </c>
      <c r="C396" t="inlineStr">
        <is>
          <t>number</t>
        </is>
      </c>
      <c r="D396" t="inlineStr">
        <is>
          <t>L05 B2 docs_fee</t>
        </is>
      </c>
    </row>
    <row r="397">
      <c r="A397" t="inlineStr">
        <is>
          <t>rate.L05.B2.other_fee</t>
        </is>
      </c>
      <c r="B397">
        <f>IF('Rate Card'!M26="","",'Rate Card'!M26)</f>
        <v/>
      </c>
      <c r="C397" t="inlineStr">
        <is>
          <t>number</t>
        </is>
      </c>
      <c r="D397" t="inlineStr">
        <is>
          <t>L05 B2 other_fee</t>
        </is>
      </c>
    </row>
    <row r="398">
      <c r="A398" t="inlineStr">
        <is>
          <t>rate.L05.B2.discount_B_pct</t>
        </is>
      </c>
      <c r="B398">
        <f>IF('Rate Card'!N26="","",'Rate Card'!N26)</f>
        <v/>
      </c>
      <c r="C398" t="inlineStr">
        <is>
          <t>percent</t>
        </is>
      </c>
      <c r="D398" t="inlineStr">
        <is>
          <t>L05 B2 discount_B_pct</t>
        </is>
      </c>
    </row>
    <row r="399">
      <c r="A399" t="inlineStr">
        <is>
          <t>rate.L05.B2.cost_per_shipment</t>
        </is>
      </c>
      <c r="B399">
        <f>IF('Rate Card'!P26="","",'Rate Card'!P26)</f>
        <v/>
      </c>
      <c r="C399" t="inlineStr">
        <is>
          <t>number</t>
        </is>
      </c>
      <c r="D399" t="inlineStr">
        <is>
          <t>L05 B2 cost_per_shipment</t>
        </is>
      </c>
    </row>
    <row r="400">
      <c r="A400" t="inlineStr">
        <is>
          <t>rate.L05.B3.mode</t>
        </is>
      </c>
      <c r="B400">
        <f>IF('Rate Card'!G27="","",'Rate Card'!G27)</f>
        <v/>
      </c>
      <c r="C400" t="inlineStr">
        <is>
          <t>text</t>
        </is>
      </c>
      <c r="D400" t="inlineStr">
        <is>
          <t>L05 B3 mode</t>
        </is>
      </c>
    </row>
    <row r="401">
      <c r="A401" t="inlineStr">
        <is>
          <t>rate.L05.B3.transit_days</t>
        </is>
      </c>
      <c r="B401">
        <f>IF('Rate Card'!H27="","",'Rate Card'!H27)</f>
        <v/>
      </c>
      <c r="C401" t="inlineStr">
        <is>
          <t>number</t>
        </is>
      </c>
      <c r="D401" t="inlineStr">
        <is>
          <t>L05 B3 transit_days</t>
        </is>
      </c>
    </row>
    <row r="402">
      <c r="A402" t="inlineStr">
        <is>
          <t>rate.L05.B3.transit_worst_days</t>
        </is>
      </c>
      <c r="B402">
        <f>IF('Rate Card'!S27="","",'Rate Card'!S27)</f>
        <v/>
      </c>
      <c r="C402" t="inlineStr">
        <is>
          <t>number</t>
        </is>
      </c>
      <c r="D402" t="inlineStr">
        <is>
          <t>L05 B3 transit_worst_days</t>
        </is>
      </c>
    </row>
    <row r="403">
      <c r="A403" t="inlineStr">
        <is>
          <t>rate.L05.B3.rate_per_kg</t>
        </is>
      </c>
      <c r="B403">
        <f>IF('Rate Card'!I27="","",'Rate Card'!I27)</f>
        <v/>
      </c>
      <c r="C403" t="inlineStr">
        <is>
          <t>number</t>
        </is>
      </c>
      <c r="D403" t="inlineStr">
        <is>
          <t>L05 B3 rate_per_kg</t>
        </is>
      </c>
    </row>
    <row r="404">
      <c r="A404" t="inlineStr">
        <is>
          <t>rate.L05.B3.min_charge</t>
        </is>
      </c>
      <c r="B404">
        <f>IF('Rate Card'!J27="","",'Rate Card'!J27)</f>
        <v/>
      </c>
      <c r="C404" t="inlineStr">
        <is>
          <t>number</t>
        </is>
      </c>
      <c r="D404" t="inlineStr">
        <is>
          <t>L05 B3 min_charge</t>
        </is>
      </c>
    </row>
    <row r="405">
      <c r="A405" t="inlineStr">
        <is>
          <t>rate.L05.B3.fuel_pct</t>
        </is>
      </c>
      <c r="B405">
        <f>IF('Rate Card'!K27="","",'Rate Card'!K27)</f>
        <v/>
      </c>
      <c r="C405" t="inlineStr">
        <is>
          <t>percent</t>
        </is>
      </c>
      <c r="D405" t="inlineStr">
        <is>
          <t>L05 B3 fuel_pct</t>
        </is>
      </c>
    </row>
    <row r="406">
      <c r="A406" t="inlineStr">
        <is>
          <t>rate.L05.B3.docs_fee</t>
        </is>
      </c>
      <c r="B406">
        <f>IF('Rate Card'!L27="","",'Rate Card'!L27)</f>
        <v/>
      </c>
      <c r="C406" t="inlineStr">
        <is>
          <t>number</t>
        </is>
      </c>
      <c r="D406" t="inlineStr">
        <is>
          <t>L05 B3 docs_fee</t>
        </is>
      </c>
    </row>
    <row r="407">
      <c r="A407" t="inlineStr">
        <is>
          <t>rate.L05.B3.other_fee</t>
        </is>
      </c>
      <c r="B407">
        <f>IF('Rate Card'!M27="","",'Rate Card'!M27)</f>
        <v/>
      </c>
      <c r="C407" t="inlineStr">
        <is>
          <t>number</t>
        </is>
      </c>
      <c r="D407" t="inlineStr">
        <is>
          <t>L05 B3 other_fee</t>
        </is>
      </c>
    </row>
    <row r="408">
      <c r="A408" t="inlineStr">
        <is>
          <t>rate.L05.B3.discount_B_pct</t>
        </is>
      </c>
      <c r="B408">
        <f>IF('Rate Card'!N27="","",'Rate Card'!N27)</f>
        <v/>
      </c>
      <c r="C408" t="inlineStr">
        <is>
          <t>percent</t>
        </is>
      </c>
      <c r="D408" t="inlineStr">
        <is>
          <t>L05 B3 discount_B_pct</t>
        </is>
      </c>
    </row>
    <row r="409">
      <c r="A409" t="inlineStr">
        <is>
          <t>rate.L05.B3.cost_per_shipment</t>
        </is>
      </c>
      <c r="B409">
        <f>IF('Rate Card'!P27="","",'Rate Card'!P27)</f>
        <v/>
      </c>
      <c r="C409" t="inlineStr">
        <is>
          <t>number</t>
        </is>
      </c>
      <c r="D409" t="inlineStr">
        <is>
          <t>L05 B3 cost_per_shipment</t>
        </is>
      </c>
    </row>
    <row r="410">
      <c r="A410" t="inlineStr">
        <is>
          <t>rate.L05.B4.mode</t>
        </is>
      </c>
      <c r="B410">
        <f>IF('Rate Card'!G28="","",'Rate Card'!G28)</f>
        <v/>
      </c>
      <c r="C410" t="inlineStr">
        <is>
          <t>text</t>
        </is>
      </c>
      <c r="D410" t="inlineStr">
        <is>
          <t>L05 B4 mode</t>
        </is>
      </c>
    </row>
    <row r="411">
      <c r="A411" t="inlineStr">
        <is>
          <t>rate.L05.B4.transit_days</t>
        </is>
      </c>
      <c r="B411">
        <f>IF('Rate Card'!H28="","",'Rate Card'!H28)</f>
        <v/>
      </c>
      <c r="C411" t="inlineStr">
        <is>
          <t>number</t>
        </is>
      </c>
      <c r="D411" t="inlineStr">
        <is>
          <t>L05 B4 transit_days</t>
        </is>
      </c>
    </row>
    <row r="412">
      <c r="A412" t="inlineStr">
        <is>
          <t>rate.L05.B4.transit_worst_days</t>
        </is>
      </c>
      <c r="B412">
        <f>IF('Rate Card'!S28="","",'Rate Card'!S28)</f>
        <v/>
      </c>
      <c r="C412" t="inlineStr">
        <is>
          <t>number</t>
        </is>
      </c>
      <c r="D412" t="inlineStr">
        <is>
          <t>L05 B4 transit_worst_days</t>
        </is>
      </c>
    </row>
    <row r="413">
      <c r="A413" t="inlineStr">
        <is>
          <t>rate.L05.B4.rate_per_kg</t>
        </is>
      </c>
      <c r="B413">
        <f>IF('Rate Card'!I28="","",'Rate Card'!I28)</f>
        <v/>
      </c>
      <c r="C413" t="inlineStr">
        <is>
          <t>number</t>
        </is>
      </c>
      <c r="D413" t="inlineStr">
        <is>
          <t>L05 B4 rate_per_kg</t>
        </is>
      </c>
    </row>
    <row r="414">
      <c r="A414" t="inlineStr">
        <is>
          <t>rate.L05.B4.min_charge</t>
        </is>
      </c>
      <c r="B414">
        <f>IF('Rate Card'!J28="","",'Rate Card'!J28)</f>
        <v/>
      </c>
      <c r="C414" t="inlineStr">
        <is>
          <t>number</t>
        </is>
      </c>
      <c r="D414" t="inlineStr">
        <is>
          <t>L05 B4 min_charge</t>
        </is>
      </c>
    </row>
    <row r="415">
      <c r="A415" t="inlineStr">
        <is>
          <t>rate.L05.B4.fuel_pct</t>
        </is>
      </c>
      <c r="B415">
        <f>IF('Rate Card'!K28="","",'Rate Card'!K28)</f>
        <v/>
      </c>
      <c r="C415" t="inlineStr">
        <is>
          <t>percent</t>
        </is>
      </c>
      <c r="D415" t="inlineStr">
        <is>
          <t>L05 B4 fuel_pct</t>
        </is>
      </c>
    </row>
    <row r="416">
      <c r="A416" t="inlineStr">
        <is>
          <t>rate.L05.B4.docs_fee</t>
        </is>
      </c>
      <c r="B416">
        <f>IF('Rate Card'!L28="","",'Rate Card'!L28)</f>
        <v/>
      </c>
      <c r="C416" t="inlineStr">
        <is>
          <t>number</t>
        </is>
      </c>
      <c r="D416" t="inlineStr">
        <is>
          <t>L05 B4 docs_fee</t>
        </is>
      </c>
    </row>
    <row r="417">
      <c r="A417" t="inlineStr">
        <is>
          <t>rate.L05.B4.other_fee</t>
        </is>
      </c>
      <c r="B417">
        <f>IF('Rate Card'!M28="","",'Rate Card'!M28)</f>
        <v/>
      </c>
      <c r="C417" t="inlineStr">
        <is>
          <t>number</t>
        </is>
      </c>
      <c r="D417" t="inlineStr">
        <is>
          <t>L05 B4 other_fee</t>
        </is>
      </c>
    </row>
    <row r="418">
      <c r="A418" t="inlineStr">
        <is>
          <t>rate.L05.B4.discount_B_pct</t>
        </is>
      </c>
      <c r="B418">
        <f>IF('Rate Card'!N28="","",'Rate Card'!N28)</f>
        <v/>
      </c>
      <c r="C418" t="inlineStr">
        <is>
          <t>percent</t>
        </is>
      </c>
      <c r="D418" t="inlineStr">
        <is>
          <t>L05 B4 discount_B_pct</t>
        </is>
      </c>
    </row>
    <row r="419">
      <c r="A419" t="inlineStr">
        <is>
          <t>rate.L05.B4.cost_per_shipment</t>
        </is>
      </c>
      <c r="B419">
        <f>IF('Rate Card'!P28="","",'Rate Card'!P28)</f>
        <v/>
      </c>
      <c r="C419" t="inlineStr">
        <is>
          <t>number</t>
        </is>
      </c>
      <c r="D419" t="inlineStr">
        <is>
          <t>L05 B4 cost_per_shipment</t>
        </is>
      </c>
    </row>
    <row r="420">
      <c r="A420" t="inlineStr">
        <is>
          <t>rate.L05.B5.mode</t>
        </is>
      </c>
      <c r="B420">
        <f>IF('Rate Card'!G29="","",'Rate Card'!G29)</f>
        <v/>
      </c>
      <c r="C420" t="inlineStr">
        <is>
          <t>text</t>
        </is>
      </c>
      <c r="D420" t="inlineStr">
        <is>
          <t>L05 B5 mode</t>
        </is>
      </c>
    </row>
    <row r="421">
      <c r="A421" t="inlineStr">
        <is>
          <t>rate.L05.B5.transit_days</t>
        </is>
      </c>
      <c r="B421">
        <f>IF('Rate Card'!H29="","",'Rate Card'!H29)</f>
        <v/>
      </c>
      <c r="C421" t="inlineStr">
        <is>
          <t>number</t>
        </is>
      </c>
      <c r="D421" t="inlineStr">
        <is>
          <t>L05 B5 transit_days</t>
        </is>
      </c>
    </row>
    <row r="422">
      <c r="A422" t="inlineStr">
        <is>
          <t>rate.L05.B5.transit_worst_days</t>
        </is>
      </c>
      <c r="B422">
        <f>IF('Rate Card'!S29="","",'Rate Card'!S29)</f>
        <v/>
      </c>
      <c r="C422" t="inlineStr">
        <is>
          <t>number</t>
        </is>
      </c>
      <c r="D422" t="inlineStr">
        <is>
          <t>L05 B5 transit_worst_days</t>
        </is>
      </c>
    </row>
    <row r="423">
      <c r="A423" t="inlineStr">
        <is>
          <t>rate.L05.B5.rate_per_kg</t>
        </is>
      </c>
      <c r="B423">
        <f>IF('Rate Card'!I29="","",'Rate Card'!I29)</f>
        <v/>
      </c>
      <c r="C423" t="inlineStr">
        <is>
          <t>number</t>
        </is>
      </c>
      <c r="D423" t="inlineStr">
        <is>
          <t>L05 B5 rate_per_kg</t>
        </is>
      </c>
    </row>
    <row r="424">
      <c r="A424" t="inlineStr">
        <is>
          <t>rate.L05.B5.min_charge</t>
        </is>
      </c>
      <c r="B424">
        <f>IF('Rate Card'!J29="","",'Rate Card'!J29)</f>
        <v/>
      </c>
      <c r="C424" t="inlineStr">
        <is>
          <t>number</t>
        </is>
      </c>
      <c r="D424" t="inlineStr">
        <is>
          <t>L05 B5 min_charge</t>
        </is>
      </c>
    </row>
    <row r="425">
      <c r="A425" t="inlineStr">
        <is>
          <t>rate.L05.B5.fuel_pct</t>
        </is>
      </c>
      <c r="B425">
        <f>IF('Rate Card'!K29="","",'Rate Card'!K29)</f>
        <v/>
      </c>
      <c r="C425" t="inlineStr">
        <is>
          <t>percent</t>
        </is>
      </c>
      <c r="D425" t="inlineStr">
        <is>
          <t>L05 B5 fuel_pct</t>
        </is>
      </c>
    </row>
    <row r="426">
      <c r="A426" t="inlineStr">
        <is>
          <t>rate.L05.B5.docs_fee</t>
        </is>
      </c>
      <c r="B426">
        <f>IF('Rate Card'!L29="","",'Rate Card'!L29)</f>
        <v/>
      </c>
      <c r="C426" t="inlineStr">
        <is>
          <t>number</t>
        </is>
      </c>
      <c r="D426" t="inlineStr">
        <is>
          <t>L05 B5 docs_fee</t>
        </is>
      </c>
    </row>
    <row r="427">
      <c r="A427" t="inlineStr">
        <is>
          <t>rate.L05.B5.other_fee</t>
        </is>
      </c>
      <c r="B427">
        <f>IF('Rate Card'!M29="","",'Rate Card'!M29)</f>
        <v/>
      </c>
      <c r="C427" t="inlineStr">
        <is>
          <t>number</t>
        </is>
      </c>
      <c r="D427" t="inlineStr">
        <is>
          <t>L05 B5 other_fee</t>
        </is>
      </c>
    </row>
    <row r="428">
      <c r="A428" t="inlineStr">
        <is>
          <t>rate.L05.B5.discount_B_pct</t>
        </is>
      </c>
      <c r="B428">
        <f>IF('Rate Card'!N29="","",'Rate Card'!N29)</f>
        <v/>
      </c>
      <c r="C428" t="inlineStr">
        <is>
          <t>percent</t>
        </is>
      </c>
      <c r="D428" t="inlineStr">
        <is>
          <t>L05 B5 discount_B_pct</t>
        </is>
      </c>
    </row>
    <row r="429">
      <c r="A429" t="inlineStr">
        <is>
          <t>rate.L05.B5.cost_per_shipment</t>
        </is>
      </c>
      <c r="B429">
        <f>IF('Rate Card'!P29="","",'Rate Card'!P29)</f>
        <v/>
      </c>
      <c r="C429" t="inlineStr">
        <is>
          <t>number</t>
        </is>
      </c>
      <c r="D429" t="inlineStr">
        <is>
          <t>L05 B5 cost_per_shipment</t>
        </is>
      </c>
    </row>
    <row r="430">
      <c r="A430" t="inlineStr">
        <is>
          <t>rate.L06.B1.mode</t>
        </is>
      </c>
      <c r="B430">
        <f>IF('Rate Card'!G30="","",'Rate Card'!G30)</f>
        <v/>
      </c>
      <c r="C430" t="inlineStr">
        <is>
          <t>text</t>
        </is>
      </c>
      <c r="D430" t="inlineStr">
        <is>
          <t>L06 B1 mode</t>
        </is>
      </c>
    </row>
    <row r="431">
      <c r="A431" t="inlineStr">
        <is>
          <t>rate.L06.B1.transit_days</t>
        </is>
      </c>
      <c r="B431">
        <f>IF('Rate Card'!H30="","",'Rate Card'!H30)</f>
        <v/>
      </c>
      <c r="C431" t="inlineStr">
        <is>
          <t>number</t>
        </is>
      </c>
      <c r="D431" t="inlineStr">
        <is>
          <t>L06 B1 transit_days</t>
        </is>
      </c>
    </row>
    <row r="432">
      <c r="A432" t="inlineStr">
        <is>
          <t>rate.L06.B1.transit_worst_days</t>
        </is>
      </c>
      <c r="B432">
        <f>IF('Rate Card'!S30="","",'Rate Card'!S30)</f>
        <v/>
      </c>
      <c r="C432" t="inlineStr">
        <is>
          <t>number</t>
        </is>
      </c>
      <c r="D432" t="inlineStr">
        <is>
          <t>L06 B1 transit_worst_days</t>
        </is>
      </c>
    </row>
    <row r="433">
      <c r="A433" t="inlineStr">
        <is>
          <t>rate.L06.B1.rate_per_kg</t>
        </is>
      </c>
      <c r="B433">
        <f>IF('Rate Card'!I30="","",'Rate Card'!I30)</f>
        <v/>
      </c>
      <c r="C433" t="inlineStr">
        <is>
          <t>number</t>
        </is>
      </c>
      <c r="D433" t="inlineStr">
        <is>
          <t>L06 B1 rate_per_kg</t>
        </is>
      </c>
    </row>
    <row r="434">
      <c r="A434" t="inlineStr">
        <is>
          <t>rate.L06.B1.min_charge</t>
        </is>
      </c>
      <c r="B434">
        <f>IF('Rate Card'!J30="","",'Rate Card'!J30)</f>
        <v/>
      </c>
      <c r="C434" t="inlineStr">
        <is>
          <t>number</t>
        </is>
      </c>
      <c r="D434" t="inlineStr">
        <is>
          <t>L06 B1 min_charge</t>
        </is>
      </c>
    </row>
    <row r="435">
      <c r="A435" t="inlineStr">
        <is>
          <t>rate.L06.B1.fuel_pct</t>
        </is>
      </c>
      <c r="B435">
        <f>IF('Rate Card'!K30="","",'Rate Card'!K30)</f>
        <v/>
      </c>
      <c r="C435" t="inlineStr">
        <is>
          <t>percent</t>
        </is>
      </c>
      <c r="D435" t="inlineStr">
        <is>
          <t>L06 B1 fuel_pct</t>
        </is>
      </c>
    </row>
    <row r="436">
      <c r="A436" t="inlineStr">
        <is>
          <t>rate.L06.B1.docs_fee</t>
        </is>
      </c>
      <c r="B436">
        <f>IF('Rate Card'!L30="","",'Rate Card'!L30)</f>
        <v/>
      </c>
      <c r="C436" t="inlineStr">
        <is>
          <t>number</t>
        </is>
      </c>
      <c r="D436" t="inlineStr">
        <is>
          <t>L06 B1 docs_fee</t>
        </is>
      </c>
    </row>
    <row r="437">
      <c r="A437" t="inlineStr">
        <is>
          <t>rate.L06.B1.other_fee</t>
        </is>
      </c>
      <c r="B437">
        <f>IF('Rate Card'!M30="","",'Rate Card'!M30)</f>
        <v/>
      </c>
      <c r="C437" t="inlineStr">
        <is>
          <t>number</t>
        </is>
      </c>
      <c r="D437" t="inlineStr">
        <is>
          <t>L06 B1 other_fee</t>
        </is>
      </c>
    </row>
    <row r="438">
      <c r="A438" t="inlineStr">
        <is>
          <t>rate.L06.B1.discount_B_pct</t>
        </is>
      </c>
      <c r="B438">
        <f>IF('Rate Card'!N30="","",'Rate Card'!N30)</f>
        <v/>
      </c>
      <c r="C438" t="inlineStr">
        <is>
          <t>percent</t>
        </is>
      </c>
      <c r="D438" t="inlineStr">
        <is>
          <t>L06 B1 discount_B_pct</t>
        </is>
      </c>
    </row>
    <row r="439">
      <c r="A439" t="inlineStr">
        <is>
          <t>rate.L06.B1.cost_per_shipment</t>
        </is>
      </c>
      <c r="B439">
        <f>IF('Rate Card'!P30="","",'Rate Card'!P30)</f>
        <v/>
      </c>
      <c r="C439" t="inlineStr">
        <is>
          <t>number</t>
        </is>
      </c>
      <c r="D439" t="inlineStr">
        <is>
          <t>L06 B1 cost_per_shipment</t>
        </is>
      </c>
    </row>
    <row r="440">
      <c r="A440" t="inlineStr">
        <is>
          <t>rate.L06.B2.mode</t>
        </is>
      </c>
      <c r="B440">
        <f>IF('Rate Card'!G31="","",'Rate Card'!G31)</f>
        <v/>
      </c>
      <c r="C440" t="inlineStr">
        <is>
          <t>text</t>
        </is>
      </c>
      <c r="D440" t="inlineStr">
        <is>
          <t>L06 B2 mode</t>
        </is>
      </c>
    </row>
    <row r="441">
      <c r="A441" t="inlineStr">
        <is>
          <t>rate.L06.B2.transit_days</t>
        </is>
      </c>
      <c r="B441">
        <f>IF('Rate Card'!H31="","",'Rate Card'!H31)</f>
        <v/>
      </c>
      <c r="C441" t="inlineStr">
        <is>
          <t>number</t>
        </is>
      </c>
      <c r="D441" t="inlineStr">
        <is>
          <t>L06 B2 transit_days</t>
        </is>
      </c>
    </row>
    <row r="442">
      <c r="A442" t="inlineStr">
        <is>
          <t>rate.L06.B2.transit_worst_days</t>
        </is>
      </c>
      <c r="B442">
        <f>IF('Rate Card'!S31="","",'Rate Card'!S31)</f>
        <v/>
      </c>
      <c r="C442" t="inlineStr">
        <is>
          <t>number</t>
        </is>
      </c>
      <c r="D442" t="inlineStr">
        <is>
          <t>L06 B2 transit_worst_days</t>
        </is>
      </c>
    </row>
    <row r="443">
      <c r="A443" t="inlineStr">
        <is>
          <t>rate.L06.B2.rate_per_kg</t>
        </is>
      </c>
      <c r="B443">
        <f>IF('Rate Card'!I31="","",'Rate Card'!I31)</f>
        <v/>
      </c>
      <c r="C443" t="inlineStr">
        <is>
          <t>number</t>
        </is>
      </c>
      <c r="D443" t="inlineStr">
        <is>
          <t>L06 B2 rate_per_kg</t>
        </is>
      </c>
    </row>
    <row r="444">
      <c r="A444" t="inlineStr">
        <is>
          <t>rate.L06.B2.min_charge</t>
        </is>
      </c>
      <c r="B444">
        <f>IF('Rate Card'!J31="","",'Rate Card'!J31)</f>
        <v/>
      </c>
      <c r="C444" t="inlineStr">
        <is>
          <t>number</t>
        </is>
      </c>
      <c r="D444" t="inlineStr">
        <is>
          <t>L06 B2 min_charge</t>
        </is>
      </c>
    </row>
    <row r="445">
      <c r="A445" t="inlineStr">
        <is>
          <t>rate.L06.B2.fuel_pct</t>
        </is>
      </c>
      <c r="B445">
        <f>IF('Rate Card'!K31="","",'Rate Card'!K31)</f>
        <v/>
      </c>
      <c r="C445" t="inlineStr">
        <is>
          <t>percent</t>
        </is>
      </c>
      <c r="D445" t="inlineStr">
        <is>
          <t>L06 B2 fuel_pct</t>
        </is>
      </c>
    </row>
    <row r="446">
      <c r="A446" t="inlineStr">
        <is>
          <t>rate.L06.B2.docs_fee</t>
        </is>
      </c>
      <c r="B446">
        <f>IF('Rate Card'!L31="","",'Rate Card'!L31)</f>
        <v/>
      </c>
      <c r="C446" t="inlineStr">
        <is>
          <t>number</t>
        </is>
      </c>
      <c r="D446" t="inlineStr">
        <is>
          <t>L06 B2 docs_fee</t>
        </is>
      </c>
    </row>
    <row r="447">
      <c r="A447" t="inlineStr">
        <is>
          <t>rate.L06.B2.other_fee</t>
        </is>
      </c>
      <c r="B447">
        <f>IF('Rate Card'!M31="","",'Rate Card'!M31)</f>
        <v/>
      </c>
      <c r="C447" t="inlineStr">
        <is>
          <t>number</t>
        </is>
      </c>
      <c r="D447" t="inlineStr">
        <is>
          <t>L06 B2 other_fee</t>
        </is>
      </c>
    </row>
    <row r="448">
      <c r="A448" t="inlineStr">
        <is>
          <t>rate.L06.B2.discount_B_pct</t>
        </is>
      </c>
      <c r="B448">
        <f>IF('Rate Card'!N31="","",'Rate Card'!N31)</f>
        <v/>
      </c>
      <c r="C448" t="inlineStr">
        <is>
          <t>percent</t>
        </is>
      </c>
      <c r="D448" t="inlineStr">
        <is>
          <t>L06 B2 discount_B_pct</t>
        </is>
      </c>
    </row>
    <row r="449">
      <c r="A449" t="inlineStr">
        <is>
          <t>rate.L06.B2.cost_per_shipment</t>
        </is>
      </c>
      <c r="B449">
        <f>IF('Rate Card'!P31="","",'Rate Card'!P31)</f>
        <v/>
      </c>
      <c r="C449" t="inlineStr">
        <is>
          <t>number</t>
        </is>
      </c>
      <c r="D449" t="inlineStr">
        <is>
          <t>L06 B2 cost_per_shipment</t>
        </is>
      </c>
    </row>
    <row r="450">
      <c r="A450" t="inlineStr">
        <is>
          <t>rate.L06.B3.mode</t>
        </is>
      </c>
      <c r="B450">
        <f>IF('Rate Card'!G32="","",'Rate Card'!G32)</f>
        <v/>
      </c>
      <c r="C450" t="inlineStr">
        <is>
          <t>text</t>
        </is>
      </c>
      <c r="D450" t="inlineStr">
        <is>
          <t>L06 B3 mode</t>
        </is>
      </c>
    </row>
    <row r="451">
      <c r="A451" t="inlineStr">
        <is>
          <t>rate.L06.B3.transit_days</t>
        </is>
      </c>
      <c r="B451">
        <f>IF('Rate Card'!H32="","",'Rate Card'!H32)</f>
        <v/>
      </c>
      <c r="C451" t="inlineStr">
        <is>
          <t>number</t>
        </is>
      </c>
      <c r="D451" t="inlineStr">
        <is>
          <t>L06 B3 transit_days</t>
        </is>
      </c>
    </row>
    <row r="452">
      <c r="A452" t="inlineStr">
        <is>
          <t>rate.L06.B3.transit_worst_days</t>
        </is>
      </c>
      <c r="B452">
        <f>IF('Rate Card'!S32="","",'Rate Card'!S32)</f>
        <v/>
      </c>
      <c r="C452" t="inlineStr">
        <is>
          <t>number</t>
        </is>
      </c>
      <c r="D452" t="inlineStr">
        <is>
          <t>L06 B3 transit_worst_days</t>
        </is>
      </c>
    </row>
    <row r="453">
      <c r="A453" t="inlineStr">
        <is>
          <t>rate.L06.B3.rate_per_kg</t>
        </is>
      </c>
      <c r="B453">
        <f>IF('Rate Card'!I32="","",'Rate Card'!I32)</f>
        <v/>
      </c>
      <c r="C453" t="inlineStr">
        <is>
          <t>number</t>
        </is>
      </c>
      <c r="D453" t="inlineStr">
        <is>
          <t>L06 B3 rate_per_kg</t>
        </is>
      </c>
    </row>
    <row r="454">
      <c r="A454" t="inlineStr">
        <is>
          <t>rate.L06.B3.min_charge</t>
        </is>
      </c>
      <c r="B454">
        <f>IF('Rate Card'!J32="","",'Rate Card'!J32)</f>
        <v/>
      </c>
      <c r="C454" t="inlineStr">
        <is>
          <t>number</t>
        </is>
      </c>
      <c r="D454" t="inlineStr">
        <is>
          <t>L06 B3 min_charge</t>
        </is>
      </c>
    </row>
    <row r="455">
      <c r="A455" t="inlineStr">
        <is>
          <t>rate.L06.B3.fuel_pct</t>
        </is>
      </c>
      <c r="B455">
        <f>IF('Rate Card'!K32="","",'Rate Card'!K32)</f>
        <v/>
      </c>
      <c r="C455" t="inlineStr">
        <is>
          <t>percent</t>
        </is>
      </c>
      <c r="D455" t="inlineStr">
        <is>
          <t>L06 B3 fuel_pct</t>
        </is>
      </c>
    </row>
    <row r="456">
      <c r="A456" t="inlineStr">
        <is>
          <t>rate.L06.B3.docs_fee</t>
        </is>
      </c>
      <c r="B456">
        <f>IF('Rate Card'!L32="","",'Rate Card'!L32)</f>
        <v/>
      </c>
      <c r="C456" t="inlineStr">
        <is>
          <t>number</t>
        </is>
      </c>
      <c r="D456" t="inlineStr">
        <is>
          <t>L06 B3 docs_fee</t>
        </is>
      </c>
    </row>
    <row r="457">
      <c r="A457" t="inlineStr">
        <is>
          <t>rate.L06.B3.other_fee</t>
        </is>
      </c>
      <c r="B457">
        <f>IF('Rate Card'!M32="","",'Rate Card'!M32)</f>
        <v/>
      </c>
      <c r="C457" t="inlineStr">
        <is>
          <t>number</t>
        </is>
      </c>
      <c r="D457" t="inlineStr">
        <is>
          <t>L06 B3 other_fee</t>
        </is>
      </c>
    </row>
    <row r="458">
      <c r="A458" t="inlineStr">
        <is>
          <t>rate.L06.B3.discount_B_pct</t>
        </is>
      </c>
      <c r="B458">
        <f>IF('Rate Card'!N32="","",'Rate Card'!N32)</f>
        <v/>
      </c>
      <c r="C458" t="inlineStr">
        <is>
          <t>percent</t>
        </is>
      </c>
      <c r="D458" t="inlineStr">
        <is>
          <t>L06 B3 discount_B_pct</t>
        </is>
      </c>
    </row>
    <row r="459">
      <c r="A459" t="inlineStr">
        <is>
          <t>rate.L06.B3.cost_per_shipment</t>
        </is>
      </c>
      <c r="B459">
        <f>IF('Rate Card'!P32="","",'Rate Card'!P32)</f>
        <v/>
      </c>
      <c r="C459" t="inlineStr">
        <is>
          <t>number</t>
        </is>
      </c>
      <c r="D459" t="inlineStr">
        <is>
          <t>L06 B3 cost_per_shipment</t>
        </is>
      </c>
    </row>
    <row r="460">
      <c r="A460" t="inlineStr">
        <is>
          <t>rate.L06.B4.mode</t>
        </is>
      </c>
      <c r="B460">
        <f>IF('Rate Card'!G33="","",'Rate Card'!G33)</f>
        <v/>
      </c>
      <c r="C460" t="inlineStr">
        <is>
          <t>text</t>
        </is>
      </c>
      <c r="D460" t="inlineStr">
        <is>
          <t>L06 B4 mode</t>
        </is>
      </c>
    </row>
    <row r="461">
      <c r="A461" t="inlineStr">
        <is>
          <t>rate.L06.B4.transit_days</t>
        </is>
      </c>
      <c r="B461">
        <f>IF('Rate Card'!H33="","",'Rate Card'!H33)</f>
        <v/>
      </c>
      <c r="C461" t="inlineStr">
        <is>
          <t>number</t>
        </is>
      </c>
      <c r="D461" t="inlineStr">
        <is>
          <t>L06 B4 transit_days</t>
        </is>
      </c>
    </row>
    <row r="462">
      <c r="A462" t="inlineStr">
        <is>
          <t>rate.L06.B4.transit_worst_days</t>
        </is>
      </c>
      <c r="B462">
        <f>IF('Rate Card'!S33="","",'Rate Card'!S33)</f>
        <v/>
      </c>
      <c r="C462" t="inlineStr">
        <is>
          <t>number</t>
        </is>
      </c>
      <c r="D462" t="inlineStr">
        <is>
          <t>L06 B4 transit_worst_days</t>
        </is>
      </c>
    </row>
    <row r="463">
      <c r="A463" t="inlineStr">
        <is>
          <t>rate.L06.B4.rate_per_kg</t>
        </is>
      </c>
      <c r="B463">
        <f>IF('Rate Card'!I33="","",'Rate Card'!I33)</f>
        <v/>
      </c>
      <c r="C463" t="inlineStr">
        <is>
          <t>number</t>
        </is>
      </c>
      <c r="D463" t="inlineStr">
        <is>
          <t>L06 B4 rate_per_kg</t>
        </is>
      </c>
    </row>
    <row r="464">
      <c r="A464" t="inlineStr">
        <is>
          <t>rate.L06.B4.min_charge</t>
        </is>
      </c>
      <c r="B464">
        <f>IF('Rate Card'!J33="","",'Rate Card'!J33)</f>
        <v/>
      </c>
      <c r="C464" t="inlineStr">
        <is>
          <t>number</t>
        </is>
      </c>
      <c r="D464" t="inlineStr">
        <is>
          <t>L06 B4 min_charge</t>
        </is>
      </c>
    </row>
    <row r="465">
      <c r="A465" t="inlineStr">
        <is>
          <t>rate.L06.B4.fuel_pct</t>
        </is>
      </c>
      <c r="B465">
        <f>IF('Rate Card'!K33="","",'Rate Card'!K33)</f>
        <v/>
      </c>
      <c r="C465" t="inlineStr">
        <is>
          <t>percent</t>
        </is>
      </c>
      <c r="D465" t="inlineStr">
        <is>
          <t>L06 B4 fuel_pct</t>
        </is>
      </c>
    </row>
    <row r="466">
      <c r="A466" t="inlineStr">
        <is>
          <t>rate.L06.B4.docs_fee</t>
        </is>
      </c>
      <c r="B466">
        <f>IF('Rate Card'!L33="","",'Rate Card'!L33)</f>
        <v/>
      </c>
      <c r="C466" t="inlineStr">
        <is>
          <t>number</t>
        </is>
      </c>
      <c r="D466" t="inlineStr">
        <is>
          <t>L06 B4 docs_fee</t>
        </is>
      </c>
    </row>
    <row r="467">
      <c r="A467" t="inlineStr">
        <is>
          <t>rate.L06.B4.other_fee</t>
        </is>
      </c>
      <c r="B467">
        <f>IF('Rate Card'!M33="","",'Rate Card'!M33)</f>
        <v/>
      </c>
      <c r="C467" t="inlineStr">
        <is>
          <t>number</t>
        </is>
      </c>
      <c r="D467" t="inlineStr">
        <is>
          <t>L06 B4 other_fee</t>
        </is>
      </c>
    </row>
    <row r="468">
      <c r="A468" t="inlineStr">
        <is>
          <t>rate.L06.B4.discount_B_pct</t>
        </is>
      </c>
      <c r="B468">
        <f>IF('Rate Card'!N33="","",'Rate Card'!N33)</f>
        <v/>
      </c>
      <c r="C468" t="inlineStr">
        <is>
          <t>percent</t>
        </is>
      </c>
      <c r="D468" t="inlineStr">
        <is>
          <t>L06 B4 discount_B_pct</t>
        </is>
      </c>
    </row>
    <row r="469">
      <c r="A469" t="inlineStr">
        <is>
          <t>rate.L06.B4.cost_per_shipment</t>
        </is>
      </c>
      <c r="B469">
        <f>IF('Rate Card'!P33="","",'Rate Card'!P33)</f>
        <v/>
      </c>
      <c r="C469" t="inlineStr">
        <is>
          <t>number</t>
        </is>
      </c>
      <c r="D469" t="inlineStr">
        <is>
          <t>L06 B4 cost_per_shipment</t>
        </is>
      </c>
    </row>
    <row r="470">
      <c r="A470" t="inlineStr">
        <is>
          <t>rate.L06.B5.mode</t>
        </is>
      </c>
      <c r="B470">
        <f>IF('Rate Card'!G34="","",'Rate Card'!G34)</f>
        <v/>
      </c>
      <c r="C470" t="inlineStr">
        <is>
          <t>text</t>
        </is>
      </c>
      <c r="D470" t="inlineStr">
        <is>
          <t>L06 B5 mode</t>
        </is>
      </c>
    </row>
    <row r="471">
      <c r="A471" t="inlineStr">
        <is>
          <t>rate.L06.B5.transit_days</t>
        </is>
      </c>
      <c r="B471">
        <f>IF('Rate Card'!H34="","",'Rate Card'!H34)</f>
        <v/>
      </c>
      <c r="C471" t="inlineStr">
        <is>
          <t>number</t>
        </is>
      </c>
      <c r="D471" t="inlineStr">
        <is>
          <t>L06 B5 transit_days</t>
        </is>
      </c>
    </row>
    <row r="472">
      <c r="A472" t="inlineStr">
        <is>
          <t>rate.L06.B5.transit_worst_days</t>
        </is>
      </c>
      <c r="B472">
        <f>IF('Rate Card'!S34="","",'Rate Card'!S34)</f>
        <v/>
      </c>
      <c r="C472" t="inlineStr">
        <is>
          <t>number</t>
        </is>
      </c>
      <c r="D472" t="inlineStr">
        <is>
          <t>L06 B5 transit_worst_days</t>
        </is>
      </c>
    </row>
    <row r="473">
      <c r="A473" t="inlineStr">
        <is>
          <t>rate.L06.B5.rate_per_kg</t>
        </is>
      </c>
      <c r="B473">
        <f>IF('Rate Card'!I34="","",'Rate Card'!I34)</f>
        <v/>
      </c>
      <c r="C473" t="inlineStr">
        <is>
          <t>number</t>
        </is>
      </c>
      <c r="D473" t="inlineStr">
        <is>
          <t>L06 B5 rate_per_kg</t>
        </is>
      </c>
    </row>
    <row r="474">
      <c r="A474" t="inlineStr">
        <is>
          <t>rate.L06.B5.min_charge</t>
        </is>
      </c>
      <c r="B474">
        <f>IF('Rate Card'!J34="","",'Rate Card'!J34)</f>
        <v/>
      </c>
      <c r="C474" t="inlineStr">
        <is>
          <t>number</t>
        </is>
      </c>
      <c r="D474" t="inlineStr">
        <is>
          <t>L06 B5 min_charge</t>
        </is>
      </c>
    </row>
    <row r="475">
      <c r="A475" t="inlineStr">
        <is>
          <t>rate.L06.B5.fuel_pct</t>
        </is>
      </c>
      <c r="B475">
        <f>IF('Rate Card'!K34="","",'Rate Card'!K34)</f>
        <v/>
      </c>
      <c r="C475" t="inlineStr">
        <is>
          <t>percent</t>
        </is>
      </c>
      <c r="D475" t="inlineStr">
        <is>
          <t>L06 B5 fuel_pct</t>
        </is>
      </c>
    </row>
    <row r="476">
      <c r="A476" t="inlineStr">
        <is>
          <t>rate.L06.B5.docs_fee</t>
        </is>
      </c>
      <c r="B476">
        <f>IF('Rate Card'!L34="","",'Rate Card'!L34)</f>
        <v/>
      </c>
      <c r="C476" t="inlineStr">
        <is>
          <t>number</t>
        </is>
      </c>
      <c r="D476" t="inlineStr">
        <is>
          <t>L06 B5 docs_fee</t>
        </is>
      </c>
    </row>
    <row r="477">
      <c r="A477" t="inlineStr">
        <is>
          <t>rate.L06.B5.other_fee</t>
        </is>
      </c>
      <c r="B477">
        <f>IF('Rate Card'!M34="","",'Rate Card'!M34)</f>
        <v/>
      </c>
      <c r="C477" t="inlineStr">
        <is>
          <t>number</t>
        </is>
      </c>
      <c r="D477" t="inlineStr">
        <is>
          <t>L06 B5 other_fee</t>
        </is>
      </c>
    </row>
    <row r="478">
      <c r="A478" t="inlineStr">
        <is>
          <t>rate.L06.B5.discount_B_pct</t>
        </is>
      </c>
      <c r="B478">
        <f>IF('Rate Card'!N34="","",'Rate Card'!N34)</f>
        <v/>
      </c>
      <c r="C478" t="inlineStr">
        <is>
          <t>percent</t>
        </is>
      </c>
      <c r="D478" t="inlineStr">
        <is>
          <t>L06 B5 discount_B_pct</t>
        </is>
      </c>
    </row>
    <row r="479">
      <c r="A479" t="inlineStr">
        <is>
          <t>rate.L06.B5.cost_per_shipment</t>
        </is>
      </c>
      <c r="B479">
        <f>IF('Rate Card'!P34="","",'Rate Card'!P34)</f>
        <v/>
      </c>
      <c r="C479" t="inlineStr">
        <is>
          <t>number</t>
        </is>
      </c>
      <c r="D479" t="inlineStr">
        <is>
          <t>L06 B5 cost_per_shipment</t>
        </is>
      </c>
    </row>
    <row r="480">
      <c r="A480" t="inlineStr">
        <is>
          <t>rate.L07.B1.mode</t>
        </is>
      </c>
      <c r="B480">
        <f>IF('Rate Card'!G35="","",'Rate Card'!G35)</f>
        <v/>
      </c>
      <c r="C480" t="inlineStr">
        <is>
          <t>text</t>
        </is>
      </c>
      <c r="D480" t="inlineStr">
        <is>
          <t>L07 B1 mode</t>
        </is>
      </c>
    </row>
    <row r="481">
      <c r="A481" t="inlineStr">
        <is>
          <t>rate.L07.B1.transit_days</t>
        </is>
      </c>
      <c r="B481">
        <f>IF('Rate Card'!H35="","",'Rate Card'!H35)</f>
        <v/>
      </c>
      <c r="C481" t="inlineStr">
        <is>
          <t>number</t>
        </is>
      </c>
      <c r="D481" t="inlineStr">
        <is>
          <t>L07 B1 transit_days</t>
        </is>
      </c>
    </row>
    <row r="482">
      <c r="A482" t="inlineStr">
        <is>
          <t>rate.L07.B1.transit_worst_days</t>
        </is>
      </c>
      <c r="B482">
        <f>IF('Rate Card'!S35="","",'Rate Card'!S35)</f>
        <v/>
      </c>
      <c r="C482" t="inlineStr">
        <is>
          <t>number</t>
        </is>
      </c>
      <c r="D482" t="inlineStr">
        <is>
          <t>L07 B1 transit_worst_days</t>
        </is>
      </c>
    </row>
    <row r="483">
      <c r="A483" t="inlineStr">
        <is>
          <t>rate.L07.B1.rate_per_kg</t>
        </is>
      </c>
      <c r="B483">
        <f>IF('Rate Card'!I35="","",'Rate Card'!I35)</f>
        <v/>
      </c>
      <c r="C483" t="inlineStr">
        <is>
          <t>number</t>
        </is>
      </c>
      <c r="D483" t="inlineStr">
        <is>
          <t>L07 B1 rate_per_kg</t>
        </is>
      </c>
    </row>
    <row r="484">
      <c r="A484" t="inlineStr">
        <is>
          <t>rate.L07.B1.min_charge</t>
        </is>
      </c>
      <c r="B484">
        <f>IF('Rate Card'!J35="","",'Rate Card'!J35)</f>
        <v/>
      </c>
      <c r="C484" t="inlineStr">
        <is>
          <t>number</t>
        </is>
      </c>
      <c r="D484" t="inlineStr">
        <is>
          <t>L07 B1 min_charge</t>
        </is>
      </c>
    </row>
    <row r="485">
      <c r="A485" t="inlineStr">
        <is>
          <t>rate.L07.B1.fuel_pct</t>
        </is>
      </c>
      <c r="B485">
        <f>IF('Rate Card'!K35="","",'Rate Card'!K35)</f>
        <v/>
      </c>
      <c r="C485" t="inlineStr">
        <is>
          <t>percent</t>
        </is>
      </c>
      <c r="D485" t="inlineStr">
        <is>
          <t>L07 B1 fuel_pct</t>
        </is>
      </c>
    </row>
    <row r="486">
      <c r="A486" t="inlineStr">
        <is>
          <t>rate.L07.B1.docs_fee</t>
        </is>
      </c>
      <c r="B486">
        <f>IF('Rate Card'!L35="","",'Rate Card'!L35)</f>
        <v/>
      </c>
      <c r="C486" t="inlineStr">
        <is>
          <t>number</t>
        </is>
      </c>
      <c r="D486" t="inlineStr">
        <is>
          <t>L07 B1 docs_fee</t>
        </is>
      </c>
    </row>
    <row r="487">
      <c r="A487" t="inlineStr">
        <is>
          <t>rate.L07.B1.other_fee</t>
        </is>
      </c>
      <c r="B487">
        <f>IF('Rate Card'!M35="","",'Rate Card'!M35)</f>
        <v/>
      </c>
      <c r="C487" t="inlineStr">
        <is>
          <t>number</t>
        </is>
      </c>
      <c r="D487" t="inlineStr">
        <is>
          <t>L07 B1 other_fee</t>
        </is>
      </c>
    </row>
    <row r="488">
      <c r="A488" t="inlineStr">
        <is>
          <t>rate.L07.B1.discount_B_pct</t>
        </is>
      </c>
      <c r="B488">
        <f>IF('Rate Card'!N35="","",'Rate Card'!N35)</f>
        <v/>
      </c>
      <c r="C488" t="inlineStr">
        <is>
          <t>percent</t>
        </is>
      </c>
      <c r="D488" t="inlineStr">
        <is>
          <t>L07 B1 discount_B_pct</t>
        </is>
      </c>
    </row>
    <row r="489">
      <c r="A489" t="inlineStr">
        <is>
          <t>rate.L07.B1.cost_per_shipment</t>
        </is>
      </c>
      <c r="B489">
        <f>IF('Rate Card'!P35="","",'Rate Card'!P35)</f>
        <v/>
      </c>
      <c r="C489" t="inlineStr">
        <is>
          <t>number</t>
        </is>
      </c>
      <c r="D489" t="inlineStr">
        <is>
          <t>L07 B1 cost_per_shipment</t>
        </is>
      </c>
    </row>
    <row r="490">
      <c r="A490" t="inlineStr">
        <is>
          <t>rate.L07.B2.mode</t>
        </is>
      </c>
      <c r="B490">
        <f>IF('Rate Card'!G36="","",'Rate Card'!G36)</f>
        <v/>
      </c>
      <c r="C490" t="inlineStr">
        <is>
          <t>text</t>
        </is>
      </c>
      <c r="D490" t="inlineStr">
        <is>
          <t>L07 B2 mode</t>
        </is>
      </c>
    </row>
    <row r="491">
      <c r="A491" t="inlineStr">
        <is>
          <t>rate.L07.B2.transit_days</t>
        </is>
      </c>
      <c r="B491">
        <f>IF('Rate Card'!H36="","",'Rate Card'!H36)</f>
        <v/>
      </c>
      <c r="C491" t="inlineStr">
        <is>
          <t>number</t>
        </is>
      </c>
      <c r="D491" t="inlineStr">
        <is>
          <t>L07 B2 transit_days</t>
        </is>
      </c>
    </row>
    <row r="492">
      <c r="A492" t="inlineStr">
        <is>
          <t>rate.L07.B2.transit_worst_days</t>
        </is>
      </c>
      <c r="B492">
        <f>IF('Rate Card'!S36="","",'Rate Card'!S36)</f>
        <v/>
      </c>
      <c r="C492" t="inlineStr">
        <is>
          <t>number</t>
        </is>
      </c>
      <c r="D492" t="inlineStr">
        <is>
          <t>L07 B2 transit_worst_days</t>
        </is>
      </c>
    </row>
    <row r="493">
      <c r="A493" t="inlineStr">
        <is>
          <t>rate.L07.B2.rate_per_kg</t>
        </is>
      </c>
      <c r="B493">
        <f>IF('Rate Card'!I36="","",'Rate Card'!I36)</f>
        <v/>
      </c>
      <c r="C493" t="inlineStr">
        <is>
          <t>number</t>
        </is>
      </c>
      <c r="D493" t="inlineStr">
        <is>
          <t>L07 B2 rate_per_kg</t>
        </is>
      </c>
    </row>
    <row r="494">
      <c r="A494" t="inlineStr">
        <is>
          <t>rate.L07.B2.min_charge</t>
        </is>
      </c>
      <c r="B494">
        <f>IF('Rate Card'!J36="","",'Rate Card'!J36)</f>
        <v/>
      </c>
      <c r="C494" t="inlineStr">
        <is>
          <t>number</t>
        </is>
      </c>
      <c r="D494" t="inlineStr">
        <is>
          <t>L07 B2 min_charge</t>
        </is>
      </c>
    </row>
    <row r="495">
      <c r="A495" t="inlineStr">
        <is>
          <t>rate.L07.B2.fuel_pct</t>
        </is>
      </c>
      <c r="B495">
        <f>IF('Rate Card'!K36="","",'Rate Card'!K36)</f>
        <v/>
      </c>
      <c r="C495" t="inlineStr">
        <is>
          <t>percent</t>
        </is>
      </c>
      <c r="D495" t="inlineStr">
        <is>
          <t>L07 B2 fuel_pct</t>
        </is>
      </c>
    </row>
    <row r="496">
      <c r="A496" t="inlineStr">
        <is>
          <t>rate.L07.B2.docs_fee</t>
        </is>
      </c>
      <c r="B496">
        <f>IF('Rate Card'!L36="","",'Rate Card'!L36)</f>
        <v/>
      </c>
      <c r="C496" t="inlineStr">
        <is>
          <t>number</t>
        </is>
      </c>
      <c r="D496" t="inlineStr">
        <is>
          <t>L07 B2 docs_fee</t>
        </is>
      </c>
    </row>
    <row r="497">
      <c r="A497" t="inlineStr">
        <is>
          <t>rate.L07.B2.other_fee</t>
        </is>
      </c>
      <c r="B497">
        <f>IF('Rate Card'!M36="","",'Rate Card'!M36)</f>
        <v/>
      </c>
      <c r="C497" t="inlineStr">
        <is>
          <t>number</t>
        </is>
      </c>
      <c r="D497" t="inlineStr">
        <is>
          <t>L07 B2 other_fee</t>
        </is>
      </c>
    </row>
    <row r="498">
      <c r="A498" t="inlineStr">
        <is>
          <t>rate.L07.B2.discount_B_pct</t>
        </is>
      </c>
      <c r="B498">
        <f>IF('Rate Card'!N36="","",'Rate Card'!N36)</f>
        <v/>
      </c>
      <c r="C498" t="inlineStr">
        <is>
          <t>percent</t>
        </is>
      </c>
      <c r="D498" t="inlineStr">
        <is>
          <t>L07 B2 discount_B_pct</t>
        </is>
      </c>
    </row>
    <row r="499">
      <c r="A499" t="inlineStr">
        <is>
          <t>rate.L07.B2.cost_per_shipment</t>
        </is>
      </c>
      <c r="B499">
        <f>IF('Rate Card'!P36="","",'Rate Card'!P36)</f>
        <v/>
      </c>
      <c r="C499" t="inlineStr">
        <is>
          <t>number</t>
        </is>
      </c>
      <c r="D499" t="inlineStr">
        <is>
          <t>L07 B2 cost_per_shipment</t>
        </is>
      </c>
    </row>
    <row r="500">
      <c r="A500" t="inlineStr">
        <is>
          <t>rate.L07.B3.mode</t>
        </is>
      </c>
      <c r="B500">
        <f>IF('Rate Card'!G37="","",'Rate Card'!G37)</f>
        <v/>
      </c>
      <c r="C500" t="inlineStr">
        <is>
          <t>text</t>
        </is>
      </c>
      <c r="D500" t="inlineStr">
        <is>
          <t>L07 B3 mode</t>
        </is>
      </c>
    </row>
    <row r="501">
      <c r="A501" t="inlineStr">
        <is>
          <t>rate.L07.B3.transit_days</t>
        </is>
      </c>
      <c r="B501">
        <f>IF('Rate Card'!H37="","",'Rate Card'!H37)</f>
        <v/>
      </c>
      <c r="C501" t="inlineStr">
        <is>
          <t>number</t>
        </is>
      </c>
      <c r="D501" t="inlineStr">
        <is>
          <t>L07 B3 transit_days</t>
        </is>
      </c>
    </row>
    <row r="502">
      <c r="A502" t="inlineStr">
        <is>
          <t>rate.L07.B3.transit_worst_days</t>
        </is>
      </c>
      <c r="B502">
        <f>IF('Rate Card'!S37="","",'Rate Card'!S37)</f>
        <v/>
      </c>
      <c r="C502" t="inlineStr">
        <is>
          <t>number</t>
        </is>
      </c>
      <c r="D502" t="inlineStr">
        <is>
          <t>L07 B3 transit_worst_days</t>
        </is>
      </c>
    </row>
    <row r="503">
      <c r="A503" t="inlineStr">
        <is>
          <t>rate.L07.B3.rate_per_kg</t>
        </is>
      </c>
      <c r="B503">
        <f>IF('Rate Card'!I37="","",'Rate Card'!I37)</f>
        <v/>
      </c>
      <c r="C503" t="inlineStr">
        <is>
          <t>number</t>
        </is>
      </c>
      <c r="D503" t="inlineStr">
        <is>
          <t>L07 B3 rate_per_kg</t>
        </is>
      </c>
    </row>
    <row r="504">
      <c r="A504" t="inlineStr">
        <is>
          <t>rate.L07.B3.min_charge</t>
        </is>
      </c>
      <c r="B504">
        <f>IF('Rate Card'!J37="","",'Rate Card'!J37)</f>
        <v/>
      </c>
      <c r="C504" t="inlineStr">
        <is>
          <t>number</t>
        </is>
      </c>
      <c r="D504" t="inlineStr">
        <is>
          <t>L07 B3 min_charge</t>
        </is>
      </c>
    </row>
    <row r="505">
      <c r="A505" t="inlineStr">
        <is>
          <t>rate.L07.B3.fuel_pct</t>
        </is>
      </c>
      <c r="B505">
        <f>IF('Rate Card'!K37="","",'Rate Card'!K37)</f>
        <v/>
      </c>
      <c r="C505" t="inlineStr">
        <is>
          <t>percent</t>
        </is>
      </c>
      <c r="D505" t="inlineStr">
        <is>
          <t>L07 B3 fuel_pct</t>
        </is>
      </c>
    </row>
    <row r="506">
      <c r="A506" t="inlineStr">
        <is>
          <t>rate.L07.B3.docs_fee</t>
        </is>
      </c>
      <c r="B506">
        <f>IF('Rate Card'!L37="","",'Rate Card'!L37)</f>
        <v/>
      </c>
      <c r="C506" t="inlineStr">
        <is>
          <t>number</t>
        </is>
      </c>
      <c r="D506" t="inlineStr">
        <is>
          <t>L07 B3 docs_fee</t>
        </is>
      </c>
    </row>
    <row r="507">
      <c r="A507" t="inlineStr">
        <is>
          <t>rate.L07.B3.other_fee</t>
        </is>
      </c>
      <c r="B507">
        <f>IF('Rate Card'!M37="","",'Rate Card'!M37)</f>
        <v/>
      </c>
      <c r="C507" t="inlineStr">
        <is>
          <t>number</t>
        </is>
      </c>
      <c r="D507" t="inlineStr">
        <is>
          <t>L07 B3 other_fee</t>
        </is>
      </c>
    </row>
    <row r="508">
      <c r="A508" t="inlineStr">
        <is>
          <t>rate.L07.B3.discount_B_pct</t>
        </is>
      </c>
      <c r="B508">
        <f>IF('Rate Card'!N37="","",'Rate Card'!N37)</f>
        <v/>
      </c>
      <c r="C508" t="inlineStr">
        <is>
          <t>percent</t>
        </is>
      </c>
      <c r="D508" t="inlineStr">
        <is>
          <t>L07 B3 discount_B_pct</t>
        </is>
      </c>
    </row>
    <row r="509">
      <c r="A509" t="inlineStr">
        <is>
          <t>rate.L07.B3.cost_per_shipment</t>
        </is>
      </c>
      <c r="B509">
        <f>IF('Rate Card'!P37="","",'Rate Card'!P37)</f>
        <v/>
      </c>
      <c r="C509" t="inlineStr">
        <is>
          <t>number</t>
        </is>
      </c>
      <c r="D509" t="inlineStr">
        <is>
          <t>L07 B3 cost_per_shipment</t>
        </is>
      </c>
    </row>
    <row r="510">
      <c r="A510" t="inlineStr">
        <is>
          <t>rate.L07.B4.mode</t>
        </is>
      </c>
      <c r="B510">
        <f>IF('Rate Card'!G38="","",'Rate Card'!G38)</f>
        <v/>
      </c>
      <c r="C510" t="inlineStr">
        <is>
          <t>text</t>
        </is>
      </c>
      <c r="D510" t="inlineStr">
        <is>
          <t>L07 B4 mode</t>
        </is>
      </c>
    </row>
    <row r="511">
      <c r="A511" t="inlineStr">
        <is>
          <t>rate.L07.B4.transit_days</t>
        </is>
      </c>
      <c r="B511">
        <f>IF('Rate Card'!H38="","",'Rate Card'!H38)</f>
        <v/>
      </c>
      <c r="C511" t="inlineStr">
        <is>
          <t>number</t>
        </is>
      </c>
      <c r="D511" t="inlineStr">
        <is>
          <t>L07 B4 transit_days</t>
        </is>
      </c>
    </row>
    <row r="512">
      <c r="A512" t="inlineStr">
        <is>
          <t>rate.L07.B4.transit_worst_days</t>
        </is>
      </c>
      <c r="B512">
        <f>IF('Rate Card'!S38="","",'Rate Card'!S38)</f>
        <v/>
      </c>
      <c r="C512" t="inlineStr">
        <is>
          <t>number</t>
        </is>
      </c>
      <c r="D512" t="inlineStr">
        <is>
          <t>L07 B4 transit_worst_days</t>
        </is>
      </c>
    </row>
    <row r="513">
      <c r="A513" t="inlineStr">
        <is>
          <t>rate.L07.B4.rate_per_kg</t>
        </is>
      </c>
      <c r="B513">
        <f>IF('Rate Card'!I38="","",'Rate Card'!I38)</f>
        <v/>
      </c>
      <c r="C513" t="inlineStr">
        <is>
          <t>number</t>
        </is>
      </c>
      <c r="D513" t="inlineStr">
        <is>
          <t>L07 B4 rate_per_kg</t>
        </is>
      </c>
    </row>
    <row r="514">
      <c r="A514" t="inlineStr">
        <is>
          <t>rate.L07.B4.min_charge</t>
        </is>
      </c>
      <c r="B514">
        <f>IF('Rate Card'!J38="","",'Rate Card'!J38)</f>
        <v/>
      </c>
      <c r="C514" t="inlineStr">
        <is>
          <t>number</t>
        </is>
      </c>
      <c r="D514" t="inlineStr">
        <is>
          <t>L07 B4 min_charge</t>
        </is>
      </c>
    </row>
    <row r="515">
      <c r="A515" t="inlineStr">
        <is>
          <t>rate.L07.B4.fuel_pct</t>
        </is>
      </c>
      <c r="B515">
        <f>IF('Rate Card'!K38="","",'Rate Card'!K38)</f>
        <v/>
      </c>
      <c r="C515" t="inlineStr">
        <is>
          <t>percent</t>
        </is>
      </c>
      <c r="D515" t="inlineStr">
        <is>
          <t>L07 B4 fuel_pct</t>
        </is>
      </c>
    </row>
    <row r="516">
      <c r="A516" t="inlineStr">
        <is>
          <t>rate.L07.B4.docs_fee</t>
        </is>
      </c>
      <c r="B516">
        <f>IF('Rate Card'!L38="","",'Rate Card'!L38)</f>
        <v/>
      </c>
      <c r="C516" t="inlineStr">
        <is>
          <t>number</t>
        </is>
      </c>
      <c r="D516" t="inlineStr">
        <is>
          <t>L07 B4 docs_fee</t>
        </is>
      </c>
    </row>
    <row r="517">
      <c r="A517" t="inlineStr">
        <is>
          <t>rate.L07.B4.other_fee</t>
        </is>
      </c>
      <c r="B517">
        <f>IF('Rate Card'!M38="","",'Rate Card'!M38)</f>
        <v/>
      </c>
      <c r="C517" t="inlineStr">
        <is>
          <t>number</t>
        </is>
      </c>
      <c r="D517" t="inlineStr">
        <is>
          <t>L07 B4 other_fee</t>
        </is>
      </c>
    </row>
    <row r="518">
      <c r="A518" t="inlineStr">
        <is>
          <t>rate.L07.B4.discount_B_pct</t>
        </is>
      </c>
      <c r="B518">
        <f>IF('Rate Card'!N38="","",'Rate Card'!N38)</f>
        <v/>
      </c>
      <c r="C518" t="inlineStr">
        <is>
          <t>percent</t>
        </is>
      </c>
      <c r="D518" t="inlineStr">
        <is>
          <t>L07 B4 discount_B_pct</t>
        </is>
      </c>
    </row>
    <row r="519">
      <c r="A519" t="inlineStr">
        <is>
          <t>rate.L07.B4.cost_per_shipment</t>
        </is>
      </c>
      <c r="B519">
        <f>IF('Rate Card'!P38="","",'Rate Card'!P38)</f>
        <v/>
      </c>
      <c r="C519" t="inlineStr">
        <is>
          <t>number</t>
        </is>
      </c>
      <c r="D519" t="inlineStr">
        <is>
          <t>L07 B4 cost_per_shipment</t>
        </is>
      </c>
    </row>
    <row r="520">
      <c r="A520" t="inlineStr">
        <is>
          <t>rate.L07.B5.mode</t>
        </is>
      </c>
      <c r="B520">
        <f>IF('Rate Card'!G39="","",'Rate Card'!G39)</f>
        <v/>
      </c>
      <c r="C520" t="inlineStr">
        <is>
          <t>text</t>
        </is>
      </c>
      <c r="D520" t="inlineStr">
        <is>
          <t>L07 B5 mode</t>
        </is>
      </c>
    </row>
    <row r="521">
      <c r="A521" t="inlineStr">
        <is>
          <t>rate.L07.B5.transit_days</t>
        </is>
      </c>
      <c r="B521">
        <f>IF('Rate Card'!H39="","",'Rate Card'!H39)</f>
        <v/>
      </c>
      <c r="C521" t="inlineStr">
        <is>
          <t>number</t>
        </is>
      </c>
      <c r="D521" t="inlineStr">
        <is>
          <t>L07 B5 transit_days</t>
        </is>
      </c>
    </row>
    <row r="522">
      <c r="A522" t="inlineStr">
        <is>
          <t>rate.L07.B5.transit_worst_days</t>
        </is>
      </c>
      <c r="B522">
        <f>IF('Rate Card'!S39="","",'Rate Card'!S39)</f>
        <v/>
      </c>
      <c r="C522" t="inlineStr">
        <is>
          <t>number</t>
        </is>
      </c>
      <c r="D522" t="inlineStr">
        <is>
          <t>L07 B5 transit_worst_days</t>
        </is>
      </c>
    </row>
    <row r="523">
      <c r="A523" t="inlineStr">
        <is>
          <t>rate.L07.B5.rate_per_kg</t>
        </is>
      </c>
      <c r="B523">
        <f>IF('Rate Card'!I39="","",'Rate Card'!I39)</f>
        <v/>
      </c>
      <c r="C523" t="inlineStr">
        <is>
          <t>number</t>
        </is>
      </c>
      <c r="D523" t="inlineStr">
        <is>
          <t>L07 B5 rate_per_kg</t>
        </is>
      </c>
    </row>
    <row r="524">
      <c r="A524" t="inlineStr">
        <is>
          <t>rate.L07.B5.min_charge</t>
        </is>
      </c>
      <c r="B524">
        <f>IF('Rate Card'!J39="","",'Rate Card'!J39)</f>
        <v/>
      </c>
      <c r="C524" t="inlineStr">
        <is>
          <t>number</t>
        </is>
      </c>
      <c r="D524" t="inlineStr">
        <is>
          <t>L07 B5 min_charge</t>
        </is>
      </c>
    </row>
    <row r="525">
      <c r="A525" t="inlineStr">
        <is>
          <t>rate.L07.B5.fuel_pct</t>
        </is>
      </c>
      <c r="B525">
        <f>IF('Rate Card'!K39="","",'Rate Card'!K39)</f>
        <v/>
      </c>
      <c r="C525" t="inlineStr">
        <is>
          <t>percent</t>
        </is>
      </c>
      <c r="D525" t="inlineStr">
        <is>
          <t>L07 B5 fuel_pct</t>
        </is>
      </c>
    </row>
    <row r="526">
      <c r="A526" t="inlineStr">
        <is>
          <t>rate.L07.B5.docs_fee</t>
        </is>
      </c>
      <c r="B526">
        <f>IF('Rate Card'!L39="","",'Rate Card'!L39)</f>
        <v/>
      </c>
      <c r="C526" t="inlineStr">
        <is>
          <t>number</t>
        </is>
      </c>
      <c r="D526" t="inlineStr">
        <is>
          <t>L07 B5 docs_fee</t>
        </is>
      </c>
    </row>
    <row r="527">
      <c r="A527" t="inlineStr">
        <is>
          <t>rate.L07.B5.other_fee</t>
        </is>
      </c>
      <c r="B527">
        <f>IF('Rate Card'!M39="","",'Rate Card'!M39)</f>
        <v/>
      </c>
      <c r="C527" t="inlineStr">
        <is>
          <t>number</t>
        </is>
      </c>
      <c r="D527" t="inlineStr">
        <is>
          <t>L07 B5 other_fee</t>
        </is>
      </c>
    </row>
    <row r="528">
      <c r="A528" t="inlineStr">
        <is>
          <t>rate.L07.B5.discount_B_pct</t>
        </is>
      </c>
      <c r="B528">
        <f>IF('Rate Card'!N39="","",'Rate Card'!N39)</f>
        <v/>
      </c>
      <c r="C528" t="inlineStr">
        <is>
          <t>percent</t>
        </is>
      </c>
      <c r="D528" t="inlineStr">
        <is>
          <t>L07 B5 discount_B_pct</t>
        </is>
      </c>
    </row>
    <row r="529">
      <c r="A529" t="inlineStr">
        <is>
          <t>rate.L07.B5.cost_per_shipment</t>
        </is>
      </c>
      <c r="B529">
        <f>IF('Rate Card'!P39="","",'Rate Card'!P39)</f>
        <v/>
      </c>
      <c r="C529" t="inlineStr">
        <is>
          <t>number</t>
        </is>
      </c>
      <c r="D529" t="inlineStr">
        <is>
          <t>L07 B5 cost_per_shipment</t>
        </is>
      </c>
    </row>
    <row r="530">
      <c r="A530" t="inlineStr">
        <is>
          <t>rate.L08.B1.mode</t>
        </is>
      </c>
      <c r="B530">
        <f>IF('Rate Card'!G40="","",'Rate Card'!G40)</f>
        <v/>
      </c>
      <c r="C530" t="inlineStr">
        <is>
          <t>text</t>
        </is>
      </c>
      <c r="D530" t="inlineStr">
        <is>
          <t>L08 B1 mode</t>
        </is>
      </c>
    </row>
    <row r="531">
      <c r="A531" t="inlineStr">
        <is>
          <t>rate.L08.B1.transit_days</t>
        </is>
      </c>
      <c r="B531">
        <f>IF('Rate Card'!H40="","",'Rate Card'!H40)</f>
        <v/>
      </c>
      <c r="C531" t="inlineStr">
        <is>
          <t>number</t>
        </is>
      </c>
      <c r="D531" t="inlineStr">
        <is>
          <t>L08 B1 transit_days</t>
        </is>
      </c>
    </row>
    <row r="532">
      <c r="A532" t="inlineStr">
        <is>
          <t>rate.L08.B1.transit_worst_days</t>
        </is>
      </c>
      <c r="B532">
        <f>IF('Rate Card'!S40="","",'Rate Card'!S40)</f>
        <v/>
      </c>
      <c r="C532" t="inlineStr">
        <is>
          <t>number</t>
        </is>
      </c>
      <c r="D532" t="inlineStr">
        <is>
          <t>L08 B1 transit_worst_days</t>
        </is>
      </c>
    </row>
    <row r="533">
      <c r="A533" t="inlineStr">
        <is>
          <t>rate.L08.B1.rate_per_kg</t>
        </is>
      </c>
      <c r="B533">
        <f>IF('Rate Card'!I40="","",'Rate Card'!I40)</f>
        <v/>
      </c>
      <c r="C533" t="inlineStr">
        <is>
          <t>number</t>
        </is>
      </c>
      <c r="D533" t="inlineStr">
        <is>
          <t>L08 B1 rate_per_kg</t>
        </is>
      </c>
    </row>
    <row r="534">
      <c r="A534" t="inlineStr">
        <is>
          <t>rate.L08.B1.min_charge</t>
        </is>
      </c>
      <c r="B534">
        <f>IF('Rate Card'!J40="","",'Rate Card'!J40)</f>
        <v/>
      </c>
      <c r="C534" t="inlineStr">
        <is>
          <t>number</t>
        </is>
      </c>
      <c r="D534" t="inlineStr">
        <is>
          <t>L08 B1 min_charge</t>
        </is>
      </c>
    </row>
    <row r="535">
      <c r="A535" t="inlineStr">
        <is>
          <t>rate.L08.B1.fuel_pct</t>
        </is>
      </c>
      <c r="B535">
        <f>IF('Rate Card'!K40="","",'Rate Card'!K40)</f>
        <v/>
      </c>
      <c r="C535" t="inlineStr">
        <is>
          <t>percent</t>
        </is>
      </c>
      <c r="D535" t="inlineStr">
        <is>
          <t>L08 B1 fuel_pct</t>
        </is>
      </c>
    </row>
    <row r="536">
      <c r="A536" t="inlineStr">
        <is>
          <t>rate.L08.B1.docs_fee</t>
        </is>
      </c>
      <c r="B536">
        <f>IF('Rate Card'!L40="","",'Rate Card'!L40)</f>
        <v/>
      </c>
      <c r="C536" t="inlineStr">
        <is>
          <t>number</t>
        </is>
      </c>
      <c r="D536" t="inlineStr">
        <is>
          <t>L08 B1 docs_fee</t>
        </is>
      </c>
    </row>
    <row r="537">
      <c r="A537" t="inlineStr">
        <is>
          <t>rate.L08.B1.other_fee</t>
        </is>
      </c>
      <c r="B537">
        <f>IF('Rate Card'!M40="","",'Rate Card'!M40)</f>
        <v/>
      </c>
      <c r="C537" t="inlineStr">
        <is>
          <t>number</t>
        </is>
      </c>
      <c r="D537" t="inlineStr">
        <is>
          <t>L08 B1 other_fee</t>
        </is>
      </c>
    </row>
    <row r="538">
      <c r="A538" t="inlineStr">
        <is>
          <t>rate.L08.B1.discount_B_pct</t>
        </is>
      </c>
      <c r="B538">
        <f>IF('Rate Card'!N40="","",'Rate Card'!N40)</f>
        <v/>
      </c>
      <c r="C538" t="inlineStr">
        <is>
          <t>percent</t>
        </is>
      </c>
      <c r="D538" t="inlineStr">
        <is>
          <t>L08 B1 discount_B_pct</t>
        </is>
      </c>
    </row>
    <row r="539">
      <c r="A539" t="inlineStr">
        <is>
          <t>rate.L08.B1.cost_per_shipment</t>
        </is>
      </c>
      <c r="B539">
        <f>IF('Rate Card'!P40="","",'Rate Card'!P40)</f>
        <v/>
      </c>
      <c r="C539" t="inlineStr">
        <is>
          <t>number</t>
        </is>
      </c>
      <c r="D539" t="inlineStr">
        <is>
          <t>L08 B1 cost_per_shipment</t>
        </is>
      </c>
    </row>
    <row r="540">
      <c r="A540" t="inlineStr">
        <is>
          <t>rate.L08.B2.mode</t>
        </is>
      </c>
      <c r="B540">
        <f>IF('Rate Card'!G41="","",'Rate Card'!G41)</f>
        <v/>
      </c>
      <c r="C540" t="inlineStr">
        <is>
          <t>text</t>
        </is>
      </c>
      <c r="D540" t="inlineStr">
        <is>
          <t>L08 B2 mode</t>
        </is>
      </c>
    </row>
    <row r="541">
      <c r="A541" t="inlineStr">
        <is>
          <t>rate.L08.B2.transit_days</t>
        </is>
      </c>
      <c r="B541">
        <f>IF('Rate Card'!H41="","",'Rate Card'!H41)</f>
        <v/>
      </c>
      <c r="C541" t="inlineStr">
        <is>
          <t>number</t>
        </is>
      </c>
      <c r="D541" t="inlineStr">
        <is>
          <t>L08 B2 transit_days</t>
        </is>
      </c>
    </row>
    <row r="542">
      <c r="A542" t="inlineStr">
        <is>
          <t>rate.L08.B2.transit_worst_days</t>
        </is>
      </c>
      <c r="B542">
        <f>IF('Rate Card'!S41="","",'Rate Card'!S41)</f>
        <v/>
      </c>
      <c r="C542" t="inlineStr">
        <is>
          <t>number</t>
        </is>
      </c>
      <c r="D542" t="inlineStr">
        <is>
          <t>L08 B2 transit_worst_days</t>
        </is>
      </c>
    </row>
    <row r="543">
      <c r="A543" t="inlineStr">
        <is>
          <t>rate.L08.B2.rate_per_kg</t>
        </is>
      </c>
      <c r="B543">
        <f>IF('Rate Card'!I41="","",'Rate Card'!I41)</f>
        <v/>
      </c>
      <c r="C543" t="inlineStr">
        <is>
          <t>number</t>
        </is>
      </c>
      <c r="D543" t="inlineStr">
        <is>
          <t>L08 B2 rate_per_kg</t>
        </is>
      </c>
    </row>
    <row r="544">
      <c r="A544" t="inlineStr">
        <is>
          <t>rate.L08.B2.min_charge</t>
        </is>
      </c>
      <c r="B544">
        <f>IF('Rate Card'!J41="","",'Rate Card'!J41)</f>
        <v/>
      </c>
      <c r="C544" t="inlineStr">
        <is>
          <t>number</t>
        </is>
      </c>
      <c r="D544" t="inlineStr">
        <is>
          <t>L08 B2 min_charge</t>
        </is>
      </c>
    </row>
    <row r="545">
      <c r="A545" t="inlineStr">
        <is>
          <t>rate.L08.B2.fuel_pct</t>
        </is>
      </c>
      <c r="B545">
        <f>IF('Rate Card'!K41="","",'Rate Card'!K41)</f>
        <v/>
      </c>
      <c r="C545" t="inlineStr">
        <is>
          <t>percent</t>
        </is>
      </c>
      <c r="D545" t="inlineStr">
        <is>
          <t>L08 B2 fuel_pct</t>
        </is>
      </c>
    </row>
    <row r="546">
      <c r="A546" t="inlineStr">
        <is>
          <t>rate.L08.B2.docs_fee</t>
        </is>
      </c>
      <c r="B546">
        <f>IF('Rate Card'!L41="","",'Rate Card'!L41)</f>
        <v/>
      </c>
      <c r="C546" t="inlineStr">
        <is>
          <t>number</t>
        </is>
      </c>
      <c r="D546" t="inlineStr">
        <is>
          <t>L08 B2 docs_fee</t>
        </is>
      </c>
    </row>
    <row r="547">
      <c r="A547" t="inlineStr">
        <is>
          <t>rate.L08.B2.other_fee</t>
        </is>
      </c>
      <c r="B547">
        <f>IF('Rate Card'!M41="","",'Rate Card'!M41)</f>
        <v/>
      </c>
      <c r="C547" t="inlineStr">
        <is>
          <t>number</t>
        </is>
      </c>
      <c r="D547" t="inlineStr">
        <is>
          <t>L08 B2 other_fee</t>
        </is>
      </c>
    </row>
    <row r="548">
      <c r="A548" t="inlineStr">
        <is>
          <t>rate.L08.B2.discount_B_pct</t>
        </is>
      </c>
      <c r="B548">
        <f>IF('Rate Card'!N41="","",'Rate Card'!N41)</f>
        <v/>
      </c>
      <c r="C548" t="inlineStr">
        <is>
          <t>percent</t>
        </is>
      </c>
      <c r="D548" t="inlineStr">
        <is>
          <t>L08 B2 discount_B_pct</t>
        </is>
      </c>
    </row>
    <row r="549">
      <c r="A549" t="inlineStr">
        <is>
          <t>rate.L08.B2.cost_per_shipment</t>
        </is>
      </c>
      <c r="B549">
        <f>IF('Rate Card'!P41="","",'Rate Card'!P41)</f>
        <v/>
      </c>
      <c r="C549" t="inlineStr">
        <is>
          <t>number</t>
        </is>
      </c>
      <c r="D549" t="inlineStr">
        <is>
          <t>L08 B2 cost_per_shipment</t>
        </is>
      </c>
    </row>
    <row r="550">
      <c r="A550" t="inlineStr">
        <is>
          <t>rate.L08.B3.mode</t>
        </is>
      </c>
      <c r="B550">
        <f>IF('Rate Card'!G42="","",'Rate Card'!G42)</f>
        <v/>
      </c>
      <c r="C550" t="inlineStr">
        <is>
          <t>text</t>
        </is>
      </c>
      <c r="D550" t="inlineStr">
        <is>
          <t>L08 B3 mode</t>
        </is>
      </c>
    </row>
    <row r="551">
      <c r="A551" t="inlineStr">
        <is>
          <t>rate.L08.B3.transit_days</t>
        </is>
      </c>
      <c r="B551">
        <f>IF('Rate Card'!H42="","",'Rate Card'!H42)</f>
        <v/>
      </c>
      <c r="C551" t="inlineStr">
        <is>
          <t>number</t>
        </is>
      </c>
      <c r="D551" t="inlineStr">
        <is>
          <t>L08 B3 transit_days</t>
        </is>
      </c>
    </row>
    <row r="552">
      <c r="A552" t="inlineStr">
        <is>
          <t>rate.L08.B3.transit_worst_days</t>
        </is>
      </c>
      <c r="B552">
        <f>IF('Rate Card'!S42="","",'Rate Card'!S42)</f>
        <v/>
      </c>
      <c r="C552" t="inlineStr">
        <is>
          <t>number</t>
        </is>
      </c>
      <c r="D552" t="inlineStr">
        <is>
          <t>L08 B3 transit_worst_days</t>
        </is>
      </c>
    </row>
    <row r="553">
      <c r="A553" t="inlineStr">
        <is>
          <t>rate.L08.B3.rate_per_kg</t>
        </is>
      </c>
      <c r="B553">
        <f>IF('Rate Card'!I42="","",'Rate Card'!I42)</f>
        <v/>
      </c>
      <c r="C553" t="inlineStr">
        <is>
          <t>number</t>
        </is>
      </c>
      <c r="D553" t="inlineStr">
        <is>
          <t>L08 B3 rate_per_kg</t>
        </is>
      </c>
    </row>
    <row r="554">
      <c r="A554" t="inlineStr">
        <is>
          <t>rate.L08.B3.min_charge</t>
        </is>
      </c>
      <c r="B554">
        <f>IF('Rate Card'!J42="","",'Rate Card'!J42)</f>
        <v/>
      </c>
      <c r="C554" t="inlineStr">
        <is>
          <t>number</t>
        </is>
      </c>
      <c r="D554" t="inlineStr">
        <is>
          <t>L08 B3 min_charge</t>
        </is>
      </c>
    </row>
    <row r="555">
      <c r="A555" t="inlineStr">
        <is>
          <t>rate.L08.B3.fuel_pct</t>
        </is>
      </c>
      <c r="B555">
        <f>IF('Rate Card'!K42="","",'Rate Card'!K42)</f>
        <v/>
      </c>
      <c r="C555" t="inlineStr">
        <is>
          <t>percent</t>
        </is>
      </c>
      <c r="D555" t="inlineStr">
        <is>
          <t>L08 B3 fuel_pct</t>
        </is>
      </c>
    </row>
    <row r="556">
      <c r="A556" t="inlineStr">
        <is>
          <t>rate.L08.B3.docs_fee</t>
        </is>
      </c>
      <c r="B556">
        <f>IF('Rate Card'!L42="","",'Rate Card'!L42)</f>
        <v/>
      </c>
      <c r="C556" t="inlineStr">
        <is>
          <t>number</t>
        </is>
      </c>
      <c r="D556" t="inlineStr">
        <is>
          <t>L08 B3 docs_fee</t>
        </is>
      </c>
    </row>
    <row r="557">
      <c r="A557" t="inlineStr">
        <is>
          <t>rate.L08.B3.other_fee</t>
        </is>
      </c>
      <c r="B557">
        <f>IF('Rate Card'!M42="","",'Rate Card'!M42)</f>
        <v/>
      </c>
      <c r="C557" t="inlineStr">
        <is>
          <t>number</t>
        </is>
      </c>
      <c r="D557" t="inlineStr">
        <is>
          <t>L08 B3 other_fee</t>
        </is>
      </c>
    </row>
    <row r="558">
      <c r="A558" t="inlineStr">
        <is>
          <t>rate.L08.B3.discount_B_pct</t>
        </is>
      </c>
      <c r="B558">
        <f>IF('Rate Card'!N42="","",'Rate Card'!N42)</f>
        <v/>
      </c>
      <c r="C558" t="inlineStr">
        <is>
          <t>percent</t>
        </is>
      </c>
      <c r="D558" t="inlineStr">
        <is>
          <t>L08 B3 discount_B_pct</t>
        </is>
      </c>
    </row>
    <row r="559">
      <c r="A559" t="inlineStr">
        <is>
          <t>rate.L08.B3.cost_per_shipment</t>
        </is>
      </c>
      <c r="B559">
        <f>IF('Rate Card'!P42="","",'Rate Card'!P42)</f>
        <v/>
      </c>
      <c r="C559" t="inlineStr">
        <is>
          <t>number</t>
        </is>
      </c>
      <c r="D559" t="inlineStr">
        <is>
          <t>L08 B3 cost_per_shipment</t>
        </is>
      </c>
    </row>
    <row r="560">
      <c r="A560" t="inlineStr">
        <is>
          <t>rate.L08.B4.mode</t>
        </is>
      </c>
      <c r="B560">
        <f>IF('Rate Card'!G43="","",'Rate Card'!G43)</f>
        <v/>
      </c>
      <c r="C560" t="inlineStr">
        <is>
          <t>text</t>
        </is>
      </c>
      <c r="D560" t="inlineStr">
        <is>
          <t>L08 B4 mode</t>
        </is>
      </c>
    </row>
    <row r="561">
      <c r="A561" t="inlineStr">
        <is>
          <t>rate.L08.B4.transit_days</t>
        </is>
      </c>
      <c r="B561">
        <f>IF('Rate Card'!H43="","",'Rate Card'!H43)</f>
        <v/>
      </c>
      <c r="C561" t="inlineStr">
        <is>
          <t>number</t>
        </is>
      </c>
      <c r="D561" t="inlineStr">
        <is>
          <t>L08 B4 transit_days</t>
        </is>
      </c>
    </row>
    <row r="562">
      <c r="A562" t="inlineStr">
        <is>
          <t>rate.L08.B4.transit_worst_days</t>
        </is>
      </c>
      <c r="B562">
        <f>IF('Rate Card'!S43="","",'Rate Card'!S43)</f>
        <v/>
      </c>
      <c r="C562" t="inlineStr">
        <is>
          <t>number</t>
        </is>
      </c>
      <c r="D562" t="inlineStr">
        <is>
          <t>L08 B4 transit_worst_days</t>
        </is>
      </c>
    </row>
    <row r="563">
      <c r="A563" t="inlineStr">
        <is>
          <t>rate.L08.B4.rate_per_kg</t>
        </is>
      </c>
      <c r="B563">
        <f>IF('Rate Card'!I43="","",'Rate Card'!I43)</f>
        <v/>
      </c>
      <c r="C563" t="inlineStr">
        <is>
          <t>number</t>
        </is>
      </c>
      <c r="D563" t="inlineStr">
        <is>
          <t>L08 B4 rate_per_kg</t>
        </is>
      </c>
    </row>
    <row r="564">
      <c r="A564" t="inlineStr">
        <is>
          <t>rate.L08.B4.min_charge</t>
        </is>
      </c>
      <c r="B564">
        <f>IF('Rate Card'!J43="","",'Rate Card'!J43)</f>
        <v/>
      </c>
      <c r="C564" t="inlineStr">
        <is>
          <t>number</t>
        </is>
      </c>
      <c r="D564" t="inlineStr">
        <is>
          <t>L08 B4 min_charge</t>
        </is>
      </c>
    </row>
    <row r="565">
      <c r="A565" t="inlineStr">
        <is>
          <t>rate.L08.B4.fuel_pct</t>
        </is>
      </c>
      <c r="B565">
        <f>IF('Rate Card'!K43="","",'Rate Card'!K43)</f>
        <v/>
      </c>
      <c r="C565" t="inlineStr">
        <is>
          <t>percent</t>
        </is>
      </c>
      <c r="D565" t="inlineStr">
        <is>
          <t>L08 B4 fuel_pct</t>
        </is>
      </c>
    </row>
    <row r="566">
      <c r="A566" t="inlineStr">
        <is>
          <t>rate.L08.B4.docs_fee</t>
        </is>
      </c>
      <c r="B566">
        <f>IF('Rate Card'!L43="","",'Rate Card'!L43)</f>
        <v/>
      </c>
      <c r="C566" t="inlineStr">
        <is>
          <t>number</t>
        </is>
      </c>
      <c r="D566" t="inlineStr">
        <is>
          <t>L08 B4 docs_fee</t>
        </is>
      </c>
    </row>
    <row r="567">
      <c r="A567" t="inlineStr">
        <is>
          <t>rate.L08.B4.other_fee</t>
        </is>
      </c>
      <c r="B567">
        <f>IF('Rate Card'!M43="","",'Rate Card'!M43)</f>
        <v/>
      </c>
      <c r="C567" t="inlineStr">
        <is>
          <t>number</t>
        </is>
      </c>
      <c r="D567" t="inlineStr">
        <is>
          <t>L08 B4 other_fee</t>
        </is>
      </c>
    </row>
    <row r="568">
      <c r="A568" t="inlineStr">
        <is>
          <t>rate.L08.B4.discount_B_pct</t>
        </is>
      </c>
      <c r="B568">
        <f>IF('Rate Card'!N43="","",'Rate Card'!N43)</f>
        <v/>
      </c>
      <c r="C568" t="inlineStr">
        <is>
          <t>percent</t>
        </is>
      </c>
      <c r="D568" t="inlineStr">
        <is>
          <t>L08 B4 discount_B_pct</t>
        </is>
      </c>
    </row>
    <row r="569">
      <c r="A569" t="inlineStr">
        <is>
          <t>rate.L08.B4.cost_per_shipment</t>
        </is>
      </c>
      <c r="B569">
        <f>IF('Rate Card'!P43="","",'Rate Card'!P43)</f>
        <v/>
      </c>
      <c r="C569" t="inlineStr">
        <is>
          <t>number</t>
        </is>
      </c>
      <c r="D569" t="inlineStr">
        <is>
          <t>L08 B4 cost_per_shipment</t>
        </is>
      </c>
    </row>
    <row r="570">
      <c r="A570" t="inlineStr">
        <is>
          <t>rate.L08.B5.mode</t>
        </is>
      </c>
      <c r="B570">
        <f>IF('Rate Card'!G44="","",'Rate Card'!G44)</f>
        <v/>
      </c>
      <c r="C570" t="inlineStr">
        <is>
          <t>text</t>
        </is>
      </c>
      <c r="D570" t="inlineStr">
        <is>
          <t>L08 B5 mode</t>
        </is>
      </c>
    </row>
    <row r="571">
      <c r="A571" t="inlineStr">
        <is>
          <t>rate.L08.B5.transit_days</t>
        </is>
      </c>
      <c r="B571">
        <f>IF('Rate Card'!H44="","",'Rate Card'!H44)</f>
        <v/>
      </c>
      <c r="C571" t="inlineStr">
        <is>
          <t>number</t>
        </is>
      </c>
      <c r="D571" t="inlineStr">
        <is>
          <t>L08 B5 transit_days</t>
        </is>
      </c>
    </row>
    <row r="572">
      <c r="A572" t="inlineStr">
        <is>
          <t>rate.L08.B5.transit_worst_days</t>
        </is>
      </c>
      <c r="B572">
        <f>IF('Rate Card'!S44="","",'Rate Card'!S44)</f>
        <v/>
      </c>
      <c r="C572" t="inlineStr">
        <is>
          <t>number</t>
        </is>
      </c>
      <c r="D572" t="inlineStr">
        <is>
          <t>L08 B5 transit_worst_days</t>
        </is>
      </c>
    </row>
    <row r="573">
      <c r="A573" t="inlineStr">
        <is>
          <t>rate.L08.B5.rate_per_kg</t>
        </is>
      </c>
      <c r="B573">
        <f>IF('Rate Card'!I44="","",'Rate Card'!I44)</f>
        <v/>
      </c>
      <c r="C573" t="inlineStr">
        <is>
          <t>number</t>
        </is>
      </c>
      <c r="D573" t="inlineStr">
        <is>
          <t>L08 B5 rate_per_kg</t>
        </is>
      </c>
    </row>
    <row r="574">
      <c r="A574" t="inlineStr">
        <is>
          <t>rate.L08.B5.min_charge</t>
        </is>
      </c>
      <c r="B574">
        <f>IF('Rate Card'!J44="","",'Rate Card'!J44)</f>
        <v/>
      </c>
      <c r="C574" t="inlineStr">
        <is>
          <t>number</t>
        </is>
      </c>
      <c r="D574" t="inlineStr">
        <is>
          <t>L08 B5 min_charge</t>
        </is>
      </c>
    </row>
    <row r="575">
      <c r="A575" t="inlineStr">
        <is>
          <t>rate.L08.B5.fuel_pct</t>
        </is>
      </c>
      <c r="B575">
        <f>IF('Rate Card'!K44="","",'Rate Card'!K44)</f>
        <v/>
      </c>
      <c r="C575" t="inlineStr">
        <is>
          <t>percent</t>
        </is>
      </c>
      <c r="D575" t="inlineStr">
        <is>
          <t>L08 B5 fuel_pct</t>
        </is>
      </c>
    </row>
    <row r="576">
      <c r="A576" t="inlineStr">
        <is>
          <t>rate.L08.B5.docs_fee</t>
        </is>
      </c>
      <c r="B576">
        <f>IF('Rate Card'!L44="","",'Rate Card'!L44)</f>
        <v/>
      </c>
      <c r="C576" t="inlineStr">
        <is>
          <t>number</t>
        </is>
      </c>
      <c r="D576" t="inlineStr">
        <is>
          <t>L08 B5 docs_fee</t>
        </is>
      </c>
    </row>
    <row r="577">
      <c r="A577" t="inlineStr">
        <is>
          <t>rate.L08.B5.other_fee</t>
        </is>
      </c>
      <c r="B577">
        <f>IF('Rate Card'!M44="","",'Rate Card'!M44)</f>
        <v/>
      </c>
      <c r="C577" t="inlineStr">
        <is>
          <t>number</t>
        </is>
      </c>
      <c r="D577" t="inlineStr">
        <is>
          <t>L08 B5 other_fee</t>
        </is>
      </c>
    </row>
    <row r="578">
      <c r="A578" t="inlineStr">
        <is>
          <t>rate.L08.B5.discount_B_pct</t>
        </is>
      </c>
      <c r="B578">
        <f>IF('Rate Card'!N44="","",'Rate Card'!N44)</f>
        <v/>
      </c>
      <c r="C578" t="inlineStr">
        <is>
          <t>percent</t>
        </is>
      </c>
      <c r="D578" t="inlineStr">
        <is>
          <t>L08 B5 discount_B_pct</t>
        </is>
      </c>
    </row>
    <row r="579">
      <c r="A579" t="inlineStr">
        <is>
          <t>rate.L08.B5.cost_per_shipment</t>
        </is>
      </c>
      <c r="B579">
        <f>IF('Rate Card'!P44="","",'Rate Card'!P44)</f>
        <v/>
      </c>
      <c r="C579" t="inlineStr">
        <is>
          <t>number</t>
        </is>
      </c>
      <c r="D579" t="inlineStr">
        <is>
          <t>L08 B5 cost_per_shipment</t>
        </is>
      </c>
    </row>
    <row r="580">
      <c r="A580" t="inlineStr">
        <is>
          <t>rate.L09.B1.mode</t>
        </is>
      </c>
      <c r="B580">
        <f>IF('Rate Card'!G45="","",'Rate Card'!G45)</f>
        <v/>
      </c>
      <c r="C580" t="inlineStr">
        <is>
          <t>text</t>
        </is>
      </c>
      <c r="D580" t="inlineStr">
        <is>
          <t>L09 B1 mode</t>
        </is>
      </c>
    </row>
    <row r="581">
      <c r="A581" t="inlineStr">
        <is>
          <t>rate.L09.B1.transit_days</t>
        </is>
      </c>
      <c r="B581">
        <f>IF('Rate Card'!H45="","",'Rate Card'!H45)</f>
        <v/>
      </c>
      <c r="C581" t="inlineStr">
        <is>
          <t>number</t>
        </is>
      </c>
      <c r="D581" t="inlineStr">
        <is>
          <t>L09 B1 transit_days</t>
        </is>
      </c>
    </row>
    <row r="582">
      <c r="A582" t="inlineStr">
        <is>
          <t>rate.L09.B1.transit_worst_days</t>
        </is>
      </c>
      <c r="B582">
        <f>IF('Rate Card'!S45="","",'Rate Card'!S45)</f>
        <v/>
      </c>
      <c r="C582" t="inlineStr">
        <is>
          <t>number</t>
        </is>
      </c>
      <c r="D582" t="inlineStr">
        <is>
          <t>L09 B1 transit_worst_days</t>
        </is>
      </c>
    </row>
    <row r="583">
      <c r="A583" t="inlineStr">
        <is>
          <t>rate.L09.B1.rate_per_kg</t>
        </is>
      </c>
      <c r="B583">
        <f>IF('Rate Card'!I45="","",'Rate Card'!I45)</f>
        <v/>
      </c>
      <c r="C583" t="inlineStr">
        <is>
          <t>number</t>
        </is>
      </c>
      <c r="D583" t="inlineStr">
        <is>
          <t>L09 B1 rate_per_kg</t>
        </is>
      </c>
    </row>
    <row r="584">
      <c r="A584" t="inlineStr">
        <is>
          <t>rate.L09.B1.min_charge</t>
        </is>
      </c>
      <c r="B584">
        <f>IF('Rate Card'!J45="","",'Rate Card'!J45)</f>
        <v/>
      </c>
      <c r="C584" t="inlineStr">
        <is>
          <t>number</t>
        </is>
      </c>
      <c r="D584" t="inlineStr">
        <is>
          <t>L09 B1 min_charge</t>
        </is>
      </c>
    </row>
    <row r="585">
      <c r="A585" t="inlineStr">
        <is>
          <t>rate.L09.B1.fuel_pct</t>
        </is>
      </c>
      <c r="B585">
        <f>IF('Rate Card'!K45="","",'Rate Card'!K45)</f>
        <v/>
      </c>
      <c r="C585" t="inlineStr">
        <is>
          <t>percent</t>
        </is>
      </c>
      <c r="D585" t="inlineStr">
        <is>
          <t>L09 B1 fuel_pct</t>
        </is>
      </c>
    </row>
    <row r="586">
      <c r="A586" t="inlineStr">
        <is>
          <t>rate.L09.B1.docs_fee</t>
        </is>
      </c>
      <c r="B586">
        <f>IF('Rate Card'!L45="","",'Rate Card'!L45)</f>
        <v/>
      </c>
      <c r="C586" t="inlineStr">
        <is>
          <t>number</t>
        </is>
      </c>
      <c r="D586" t="inlineStr">
        <is>
          <t>L09 B1 docs_fee</t>
        </is>
      </c>
    </row>
    <row r="587">
      <c r="A587" t="inlineStr">
        <is>
          <t>rate.L09.B1.other_fee</t>
        </is>
      </c>
      <c r="B587">
        <f>IF('Rate Card'!M45="","",'Rate Card'!M45)</f>
        <v/>
      </c>
      <c r="C587" t="inlineStr">
        <is>
          <t>number</t>
        </is>
      </c>
      <c r="D587" t="inlineStr">
        <is>
          <t>L09 B1 other_fee</t>
        </is>
      </c>
    </row>
    <row r="588">
      <c r="A588" t="inlineStr">
        <is>
          <t>rate.L09.B1.discount_B_pct</t>
        </is>
      </c>
      <c r="B588">
        <f>IF('Rate Card'!N45="","",'Rate Card'!N45)</f>
        <v/>
      </c>
      <c r="C588" t="inlineStr">
        <is>
          <t>percent</t>
        </is>
      </c>
      <c r="D588" t="inlineStr">
        <is>
          <t>L09 B1 discount_B_pct</t>
        </is>
      </c>
    </row>
    <row r="589">
      <c r="A589" t="inlineStr">
        <is>
          <t>rate.L09.B1.cost_per_shipment</t>
        </is>
      </c>
      <c r="B589">
        <f>IF('Rate Card'!P45="","",'Rate Card'!P45)</f>
        <v/>
      </c>
      <c r="C589" t="inlineStr">
        <is>
          <t>number</t>
        </is>
      </c>
      <c r="D589" t="inlineStr">
        <is>
          <t>L09 B1 cost_per_shipment</t>
        </is>
      </c>
    </row>
    <row r="590">
      <c r="A590" t="inlineStr">
        <is>
          <t>rate.L09.B2.mode</t>
        </is>
      </c>
      <c r="B590">
        <f>IF('Rate Card'!G46="","",'Rate Card'!G46)</f>
        <v/>
      </c>
      <c r="C590" t="inlineStr">
        <is>
          <t>text</t>
        </is>
      </c>
      <c r="D590" t="inlineStr">
        <is>
          <t>L09 B2 mode</t>
        </is>
      </c>
    </row>
    <row r="591">
      <c r="A591" t="inlineStr">
        <is>
          <t>rate.L09.B2.transit_days</t>
        </is>
      </c>
      <c r="B591">
        <f>IF('Rate Card'!H46="","",'Rate Card'!H46)</f>
        <v/>
      </c>
      <c r="C591" t="inlineStr">
        <is>
          <t>number</t>
        </is>
      </c>
      <c r="D591" t="inlineStr">
        <is>
          <t>L09 B2 transit_days</t>
        </is>
      </c>
    </row>
    <row r="592">
      <c r="A592" t="inlineStr">
        <is>
          <t>rate.L09.B2.transit_worst_days</t>
        </is>
      </c>
      <c r="B592">
        <f>IF('Rate Card'!S46="","",'Rate Card'!S46)</f>
        <v/>
      </c>
      <c r="C592" t="inlineStr">
        <is>
          <t>number</t>
        </is>
      </c>
      <c r="D592" t="inlineStr">
        <is>
          <t>L09 B2 transit_worst_days</t>
        </is>
      </c>
    </row>
    <row r="593">
      <c r="A593" t="inlineStr">
        <is>
          <t>rate.L09.B2.rate_per_kg</t>
        </is>
      </c>
      <c r="B593">
        <f>IF('Rate Card'!I46="","",'Rate Card'!I46)</f>
        <v/>
      </c>
      <c r="C593" t="inlineStr">
        <is>
          <t>number</t>
        </is>
      </c>
      <c r="D593" t="inlineStr">
        <is>
          <t>L09 B2 rate_per_kg</t>
        </is>
      </c>
    </row>
    <row r="594">
      <c r="A594" t="inlineStr">
        <is>
          <t>rate.L09.B2.min_charge</t>
        </is>
      </c>
      <c r="B594">
        <f>IF('Rate Card'!J46="","",'Rate Card'!J46)</f>
        <v/>
      </c>
      <c r="C594" t="inlineStr">
        <is>
          <t>number</t>
        </is>
      </c>
      <c r="D594" t="inlineStr">
        <is>
          <t>L09 B2 min_charge</t>
        </is>
      </c>
    </row>
    <row r="595">
      <c r="A595" t="inlineStr">
        <is>
          <t>rate.L09.B2.fuel_pct</t>
        </is>
      </c>
      <c r="B595">
        <f>IF('Rate Card'!K46="","",'Rate Card'!K46)</f>
        <v/>
      </c>
      <c r="C595" t="inlineStr">
        <is>
          <t>percent</t>
        </is>
      </c>
      <c r="D595" t="inlineStr">
        <is>
          <t>L09 B2 fuel_pct</t>
        </is>
      </c>
    </row>
    <row r="596">
      <c r="A596" t="inlineStr">
        <is>
          <t>rate.L09.B2.docs_fee</t>
        </is>
      </c>
      <c r="B596">
        <f>IF('Rate Card'!L46="","",'Rate Card'!L46)</f>
        <v/>
      </c>
      <c r="C596" t="inlineStr">
        <is>
          <t>number</t>
        </is>
      </c>
      <c r="D596" t="inlineStr">
        <is>
          <t>L09 B2 docs_fee</t>
        </is>
      </c>
    </row>
    <row r="597">
      <c r="A597" t="inlineStr">
        <is>
          <t>rate.L09.B2.other_fee</t>
        </is>
      </c>
      <c r="B597">
        <f>IF('Rate Card'!M46="","",'Rate Card'!M46)</f>
        <v/>
      </c>
      <c r="C597" t="inlineStr">
        <is>
          <t>number</t>
        </is>
      </c>
      <c r="D597" t="inlineStr">
        <is>
          <t>L09 B2 other_fee</t>
        </is>
      </c>
    </row>
    <row r="598">
      <c r="A598" t="inlineStr">
        <is>
          <t>rate.L09.B2.discount_B_pct</t>
        </is>
      </c>
      <c r="B598">
        <f>IF('Rate Card'!N46="","",'Rate Card'!N46)</f>
        <v/>
      </c>
      <c r="C598" t="inlineStr">
        <is>
          <t>percent</t>
        </is>
      </c>
      <c r="D598" t="inlineStr">
        <is>
          <t>L09 B2 discount_B_pct</t>
        </is>
      </c>
    </row>
    <row r="599">
      <c r="A599" t="inlineStr">
        <is>
          <t>rate.L09.B2.cost_per_shipment</t>
        </is>
      </c>
      <c r="B599">
        <f>IF('Rate Card'!P46="","",'Rate Card'!P46)</f>
        <v/>
      </c>
      <c r="C599" t="inlineStr">
        <is>
          <t>number</t>
        </is>
      </c>
      <c r="D599" t="inlineStr">
        <is>
          <t>L09 B2 cost_per_shipment</t>
        </is>
      </c>
    </row>
    <row r="600">
      <c r="A600" t="inlineStr">
        <is>
          <t>rate.L09.B3.mode</t>
        </is>
      </c>
      <c r="B600">
        <f>IF('Rate Card'!G47="","",'Rate Card'!G47)</f>
        <v/>
      </c>
      <c r="C600" t="inlineStr">
        <is>
          <t>text</t>
        </is>
      </c>
      <c r="D600" t="inlineStr">
        <is>
          <t>L09 B3 mode</t>
        </is>
      </c>
    </row>
    <row r="601">
      <c r="A601" t="inlineStr">
        <is>
          <t>rate.L09.B3.transit_days</t>
        </is>
      </c>
      <c r="B601">
        <f>IF('Rate Card'!H47="","",'Rate Card'!H47)</f>
        <v/>
      </c>
      <c r="C601" t="inlineStr">
        <is>
          <t>number</t>
        </is>
      </c>
      <c r="D601" t="inlineStr">
        <is>
          <t>L09 B3 transit_days</t>
        </is>
      </c>
    </row>
    <row r="602">
      <c r="A602" t="inlineStr">
        <is>
          <t>rate.L09.B3.transit_worst_days</t>
        </is>
      </c>
      <c r="B602">
        <f>IF('Rate Card'!S47="","",'Rate Card'!S47)</f>
        <v/>
      </c>
      <c r="C602" t="inlineStr">
        <is>
          <t>number</t>
        </is>
      </c>
      <c r="D602" t="inlineStr">
        <is>
          <t>L09 B3 transit_worst_days</t>
        </is>
      </c>
    </row>
    <row r="603">
      <c r="A603" t="inlineStr">
        <is>
          <t>rate.L09.B3.rate_per_kg</t>
        </is>
      </c>
      <c r="B603">
        <f>IF('Rate Card'!I47="","",'Rate Card'!I47)</f>
        <v/>
      </c>
      <c r="C603" t="inlineStr">
        <is>
          <t>number</t>
        </is>
      </c>
      <c r="D603" t="inlineStr">
        <is>
          <t>L09 B3 rate_per_kg</t>
        </is>
      </c>
    </row>
    <row r="604">
      <c r="A604" t="inlineStr">
        <is>
          <t>rate.L09.B3.min_charge</t>
        </is>
      </c>
      <c r="B604">
        <f>IF('Rate Card'!J47="","",'Rate Card'!J47)</f>
        <v/>
      </c>
      <c r="C604" t="inlineStr">
        <is>
          <t>number</t>
        </is>
      </c>
      <c r="D604" t="inlineStr">
        <is>
          <t>L09 B3 min_charge</t>
        </is>
      </c>
    </row>
    <row r="605">
      <c r="A605" t="inlineStr">
        <is>
          <t>rate.L09.B3.fuel_pct</t>
        </is>
      </c>
      <c r="B605">
        <f>IF('Rate Card'!K47="","",'Rate Card'!K47)</f>
        <v/>
      </c>
      <c r="C605" t="inlineStr">
        <is>
          <t>percent</t>
        </is>
      </c>
      <c r="D605" t="inlineStr">
        <is>
          <t>L09 B3 fuel_pct</t>
        </is>
      </c>
    </row>
    <row r="606">
      <c r="A606" t="inlineStr">
        <is>
          <t>rate.L09.B3.docs_fee</t>
        </is>
      </c>
      <c r="B606">
        <f>IF('Rate Card'!L47="","",'Rate Card'!L47)</f>
        <v/>
      </c>
      <c r="C606" t="inlineStr">
        <is>
          <t>number</t>
        </is>
      </c>
      <c r="D606" t="inlineStr">
        <is>
          <t>L09 B3 docs_fee</t>
        </is>
      </c>
    </row>
    <row r="607">
      <c r="A607" t="inlineStr">
        <is>
          <t>rate.L09.B3.other_fee</t>
        </is>
      </c>
      <c r="B607">
        <f>IF('Rate Card'!M47="","",'Rate Card'!M47)</f>
        <v/>
      </c>
      <c r="C607" t="inlineStr">
        <is>
          <t>number</t>
        </is>
      </c>
      <c r="D607" t="inlineStr">
        <is>
          <t>L09 B3 other_fee</t>
        </is>
      </c>
    </row>
    <row r="608">
      <c r="A608" t="inlineStr">
        <is>
          <t>rate.L09.B3.discount_B_pct</t>
        </is>
      </c>
      <c r="B608">
        <f>IF('Rate Card'!N47="","",'Rate Card'!N47)</f>
        <v/>
      </c>
      <c r="C608" t="inlineStr">
        <is>
          <t>percent</t>
        </is>
      </c>
      <c r="D608" t="inlineStr">
        <is>
          <t>L09 B3 discount_B_pct</t>
        </is>
      </c>
    </row>
    <row r="609">
      <c r="A609" t="inlineStr">
        <is>
          <t>rate.L09.B3.cost_per_shipment</t>
        </is>
      </c>
      <c r="B609">
        <f>IF('Rate Card'!P47="","",'Rate Card'!P47)</f>
        <v/>
      </c>
      <c r="C609" t="inlineStr">
        <is>
          <t>number</t>
        </is>
      </c>
      <c r="D609" t="inlineStr">
        <is>
          <t>L09 B3 cost_per_shipment</t>
        </is>
      </c>
    </row>
    <row r="610">
      <c r="A610" t="inlineStr">
        <is>
          <t>rate.L09.B4.mode</t>
        </is>
      </c>
      <c r="B610">
        <f>IF('Rate Card'!G48="","",'Rate Card'!G48)</f>
        <v/>
      </c>
      <c r="C610" t="inlineStr">
        <is>
          <t>text</t>
        </is>
      </c>
      <c r="D610" t="inlineStr">
        <is>
          <t>L09 B4 mode</t>
        </is>
      </c>
    </row>
    <row r="611">
      <c r="A611" t="inlineStr">
        <is>
          <t>rate.L09.B4.transit_days</t>
        </is>
      </c>
      <c r="B611">
        <f>IF('Rate Card'!H48="","",'Rate Card'!H48)</f>
        <v/>
      </c>
      <c r="C611" t="inlineStr">
        <is>
          <t>number</t>
        </is>
      </c>
      <c r="D611" t="inlineStr">
        <is>
          <t>L09 B4 transit_days</t>
        </is>
      </c>
    </row>
    <row r="612">
      <c r="A612" t="inlineStr">
        <is>
          <t>rate.L09.B4.transit_worst_days</t>
        </is>
      </c>
      <c r="B612">
        <f>IF('Rate Card'!S48="","",'Rate Card'!S48)</f>
        <v/>
      </c>
      <c r="C612" t="inlineStr">
        <is>
          <t>number</t>
        </is>
      </c>
      <c r="D612" t="inlineStr">
        <is>
          <t>L09 B4 transit_worst_days</t>
        </is>
      </c>
    </row>
    <row r="613">
      <c r="A613" t="inlineStr">
        <is>
          <t>rate.L09.B4.rate_per_kg</t>
        </is>
      </c>
      <c r="B613">
        <f>IF('Rate Card'!I48="","",'Rate Card'!I48)</f>
        <v/>
      </c>
      <c r="C613" t="inlineStr">
        <is>
          <t>number</t>
        </is>
      </c>
      <c r="D613" t="inlineStr">
        <is>
          <t>L09 B4 rate_per_kg</t>
        </is>
      </c>
    </row>
    <row r="614">
      <c r="A614" t="inlineStr">
        <is>
          <t>rate.L09.B4.min_charge</t>
        </is>
      </c>
      <c r="B614">
        <f>IF('Rate Card'!J48="","",'Rate Card'!J48)</f>
        <v/>
      </c>
      <c r="C614" t="inlineStr">
        <is>
          <t>number</t>
        </is>
      </c>
      <c r="D614" t="inlineStr">
        <is>
          <t>L09 B4 min_charge</t>
        </is>
      </c>
    </row>
    <row r="615">
      <c r="A615" t="inlineStr">
        <is>
          <t>rate.L09.B4.fuel_pct</t>
        </is>
      </c>
      <c r="B615">
        <f>IF('Rate Card'!K48="","",'Rate Card'!K48)</f>
        <v/>
      </c>
      <c r="C615" t="inlineStr">
        <is>
          <t>percent</t>
        </is>
      </c>
      <c r="D615" t="inlineStr">
        <is>
          <t>L09 B4 fuel_pct</t>
        </is>
      </c>
    </row>
    <row r="616">
      <c r="A616" t="inlineStr">
        <is>
          <t>rate.L09.B4.docs_fee</t>
        </is>
      </c>
      <c r="B616">
        <f>IF('Rate Card'!L48="","",'Rate Card'!L48)</f>
        <v/>
      </c>
      <c r="C616" t="inlineStr">
        <is>
          <t>number</t>
        </is>
      </c>
      <c r="D616" t="inlineStr">
        <is>
          <t>L09 B4 docs_fee</t>
        </is>
      </c>
    </row>
    <row r="617">
      <c r="A617" t="inlineStr">
        <is>
          <t>rate.L09.B4.other_fee</t>
        </is>
      </c>
      <c r="B617">
        <f>IF('Rate Card'!M48="","",'Rate Card'!M48)</f>
        <v/>
      </c>
      <c r="C617" t="inlineStr">
        <is>
          <t>number</t>
        </is>
      </c>
      <c r="D617" t="inlineStr">
        <is>
          <t>L09 B4 other_fee</t>
        </is>
      </c>
    </row>
    <row r="618">
      <c r="A618" t="inlineStr">
        <is>
          <t>rate.L09.B4.discount_B_pct</t>
        </is>
      </c>
      <c r="B618">
        <f>IF('Rate Card'!N48="","",'Rate Card'!N48)</f>
        <v/>
      </c>
      <c r="C618" t="inlineStr">
        <is>
          <t>percent</t>
        </is>
      </c>
      <c r="D618" t="inlineStr">
        <is>
          <t>L09 B4 discount_B_pct</t>
        </is>
      </c>
    </row>
    <row r="619">
      <c r="A619" t="inlineStr">
        <is>
          <t>rate.L09.B4.cost_per_shipment</t>
        </is>
      </c>
      <c r="B619">
        <f>IF('Rate Card'!P48="","",'Rate Card'!P48)</f>
        <v/>
      </c>
      <c r="C619" t="inlineStr">
        <is>
          <t>number</t>
        </is>
      </c>
      <c r="D619" t="inlineStr">
        <is>
          <t>L09 B4 cost_per_shipment</t>
        </is>
      </c>
    </row>
    <row r="620">
      <c r="A620" t="inlineStr">
        <is>
          <t>rate.L09.B5.mode</t>
        </is>
      </c>
      <c r="B620">
        <f>IF('Rate Card'!G49="","",'Rate Card'!G49)</f>
        <v/>
      </c>
      <c r="C620" t="inlineStr">
        <is>
          <t>text</t>
        </is>
      </c>
      <c r="D620" t="inlineStr">
        <is>
          <t>L09 B5 mode</t>
        </is>
      </c>
    </row>
    <row r="621">
      <c r="A621" t="inlineStr">
        <is>
          <t>rate.L09.B5.transit_days</t>
        </is>
      </c>
      <c r="B621">
        <f>IF('Rate Card'!H49="","",'Rate Card'!H49)</f>
        <v/>
      </c>
      <c r="C621" t="inlineStr">
        <is>
          <t>number</t>
        </is>
      </c>
      <c r="D621" t="inlineStr">
        <is>
          <t>L09 B5 transit_days</t>
        </is>
      </c>
    </row>
    <row r="622">
      <c r="A622" t="inlineStr">
        <is>
          <t>rate.L09.B5.transit_worst_days</t>
        </is>
      </c>
      <c r="B622">
        <f>IF('Rate Card'!S49="","",'Rate Card'!S49)</f>
        <v/>
      </c>
      <c r="C622" t="inlineStr">
        <is>
          <t>number</t>
        </is>
      </c>
      <c r="D622" t="inlineStr">
        <is>
          <t>L09 B5 transit_worst_days</t>
        </is>
      </c>
    </row>
    <row r="623">
      <c r="A623" t="inlineStr">
        <is>
          <t>rate.L09.B5.rate_per_kg</t>
        </is>
      </c>
      <c r="B623">
        <f>IF('Rate Card'!I49="","",'Rate Card'!I49)</f>
        <v/>
      </c>
      <c r="C623" t="inlineStr">
        <is>
          <t>number</t>
        </is>
      </c>
      <c r="D623" t="inlineStr">
        <is>
          <t>L09 B5 rate_per_kg</t>
        </is>
      </c>
    </row>
    <row r="624">
      <c r="A624" t="inlineStr">
        <is>
          <t>rate.L09.B5.min_charge</t>
        </is>
      </c>
      <c r="B624">
        <f>IF('Rate Card'!J49="","",'Rate Card'!J49)</f>
        <v/>
      </c>
      <c r="C624" t="inlineStr">
        <is>
          <t>number</t>
        </is>
      </c>
      <c r="D624" t="inlineStr">
        <is>
          <t>L09 B5 min_charge</t>
        </is>
      </c>
    </row>
    <row r="625">
      <c r="A625" t="inlineStr">
        <is>
          <t>rate.L09.B5.fuel_pct</t>
        </is>
      </c>
      <c r="B625">
        <f>IF('Rate Card'!K49="","",'Rate Card'!K49)</f>
        <v/>
      </c>
      <c r="C625" t="inlineStr">
        <is>
          <t>percent</t>
        </is>
      </c>
      <c r="D625" t="inlineStr">
        <is>
          <t>L09 B5 fuel_pct</t>
        </is>
      </c>
    </row>
    <row r="626">
      <c r="A626" t="inlineStr">
        <is>
          <t>rate.L09.B5.docs_fee</t>
        </is>
      </c>
      <c r="B626">
        <f>IF('Rate Card'!L49="","",'Rate Card'!L49)</f>
        <v/>
      </c>
      <c r="C626" t="inlineStr">
        <is>
          <t>number</t>
        </is>
      </c>
      <c r="D626" t="inlineStr">
        <is>
          <t>L09 B5 docs_fee</t>
        </is>
      </c>
    </row>
    <row r="627">
      <c r="A627" t="inlineStr">
        <is>
          <t>rate.L09.B5.other_fee</t>
        </is>
      </c>
      <c r="B627">
        <f>IF('Rate Card'!M49="","",'Rate Card'!M49)</f>
        <v/>
      </c>
      <c r="C627" t="inlineStr">
        <is>
          <t>number</t>
        </is>
      </c>
      <c r="D627" t="inlineStr">
        <is>
          <t>L09 B5 other_fee</t>
        </is>
      </c>
    </row>
    <row r="628">
      <c r="A628" t="inlineStr">
        <is>
          <t>rate.L09.B5.discount_B_pct</t>
        </is>
      </c>
      <c r="B628">
        <f>IF('Rate Card'!N49="","",'Rate Card'!N49)</f>
        <v/>
      </c>
      <c r="C628" t="inlineStr">
        <is>
          <t>percent</t>
        </is>
      </c>
      <c r="D628" t="inlineStr">
        <is>
          <t>L09 B5 discount_B_pct</t>
        </is>
      </c>
    </row>
    <row r="629">
      <c r="A629" t="inlineStr">
        <is>
          <t>rate.L09.B5.cost_per_shipment</t>
        </is>
      </c>
      <c r="B629">
        <f>IF('Rate Card'!P49="","",'Rate Card'!P49)</f>
        <v/>
      </c>
      <c r="C629" t="inlineStr">
        <is>
          <t>number</t>
        </is>
      </c>
      <c r="D629" t="inlineStr">
        <is>
          <t>L09 B5 cost_per_shipment</t>
        </is>
      </c>
    </row>
    <row r="630">
      <c r="A630" t="inlineStr">
        <is>
          <t>cost.A.all_from_helmond</t>
        </is>
      </c>
      <c r="B630">
        <f>IF('Cost Overview'!E14="","",'Cost Overview'!E14)</f>
        <v/>
      </c>
      <c r="C630" t="inlineStr">
        <is>
          <t>number</t>
        </is>
      </c>
      <c r="D630" t="inlineStr">
        <is>
          <t>Scenario A: annual cost, every shipment from Helmond (EUR)</t>
        </is>
      </c>
    </row>
    <row r="631">
      <c r="A631" t="inlineStr">
        <is>
          <t>cost.A.direct_from_helmond</t>
        </is>
      </c>
      <c r="B631">
        <f>IF('Cost Overview'!P14="","",'Cost Overview'!P14)</f>
        <v/>
      </c>
      <c r="C631" t="inlineStr">
        <is>
          <t>number</t>
        </is>
      </c>
      <c r="D631" t="inlineStr">
        <is>
          <t>Scenario A: direct transport from Helmond (EUR)</t>
        </is>
      </c>
    </row>
    <row r="632">
      <c r="A632" t="inlineStr">
        <is>
          <t>cost.A.other_origins</t>
        </is>
      </c>
      <c r="B632">
        <f>IF('Cost Overview'!T7="","",'Cost Overview'!T7)</f>
        <v/>
      </c>
      <c r="C632" t="inlineStr">
        <is>
          <t>number</t>
        </is>
      </c>
      <c r="D632" t="inlineStr">
        <is>
          <t>Scenario A: other origins incl. regional stock (EUR)</t>
        </is>
      </c>
    </row>
    <row r="633">
      <c r="A633" t="inlineStr">
        <is>
          <t>cost.A.total</t>
        </is>
      </c>
      <c r="B633">
        <f>IF('Cost Overview'!T8="","",'Cost Overview'!T8)</f>
        <v/>
      </c>
      <c r="C633" t="inlineStr">
        <is>
          <t>number</t>
        </is>
      </c>
      <c r="D633" t="inlineStr">
        <is>
          <t>Scenario A: total logistics cost (EUR)</t>
        </is>
      </c>
    </row>
    <row r="634">
      <c r="A634" t="inlineStr">
        <is>
          <t>cost.B.all_from_helmond</t>
        </is>
      </c>
      <c r="B634">
        <f>IF('Cost Overview'!J14="","",'Cost Overview'!J14)</f>
        <v/>
      </c>
      <c r="C634" t="inlineStr">
        <is>
          <t>number</t>
        </is>
      </c>
      <c r="D634" t="inlineStr">
        <is>
          <t>Scenario B: annual cost, every shipment from Helmond (EUR)</t>
        </is>
      </c>
    </row>
    <row r="635">
      <c r="A635" t="inlineStr">
        <is>
          <t>cost.B.direct_from_helmond</t>
        </is>
      </c>
      <c r="B635">
        <f>IF('Cost Overview'!Q14="","",'Cost Overview'!Q14)</f>
        <v/>
      </c>
      <c r="C635" t="inlineStr">
        <is>
          <t>number</t>
        </is>
      </c>
      <c r="D635" t="inlineStr">
        <is>
          <t>Scenario B: direct transport from Helmond (EUR)</t>
        </is>
      </c>
    </row>
    <row r="636">
      <c r="A636" t="inlineStr">
        <is>
          <t>cost.B.other_origins</t>
        </is>
      </c>
      <c r="B636">
        <f>IF('Cost Overview'!U7="","",'Cost Overview'!U7)</f>
        <v/>
      </c>
      <c r="C636" t="inlineStr">
        <is>
          <t>number</t>
        </is>
      </c>
      <c r="D636" t="inlineStr">
        <is>
          <t>Scenario B: other origins incl. regional stock (EUR)</t>
        </is>
      </c>
    </row>
    <row r="637">
      <c r="A637" t="inlineStr">
        <is>
          <t>cost.B.total</t>
        </is>
      </c>
      <c r="B637">
        <f>IF('Cost Overview'!U8="","",'Cost Overview'!U8)</f>
        <v/>
      </c>
      <c r="C637" t="inlineStr">
        <is>
          <t>number</t>
        </is>
      </c>
      <c r="D637" t="inlineStr">
        <is>
          <t>Scenario B: total logistics cost (EUR)</t>
        </is>
      </c>
    </row>
    <row r="638">
      <c r="A638" t="inlineStr">
        <is>
          <t>cost.A.per_kg</t>
        </is>
      </c>
      <c r="B638">
        <f>IF('Cost Overview'!F14="","",'Cost Overview'!F14)</f>
        <v/>
      </c>
      <c r="C638" t="inlineStr">
        <is>
          <t>number</t>
        </is>
      </c>
      <c r="D638" t="inlineStr">
        <is>
          <t>Scenario A cost per chargeable kg, all from Helmond</t>
        </is>
      </c>
    </row>
    <row r="639">
      <c r="A639" t="inlineStr">
        <is>
          <t>cost.B.per_kg</t>
        </is>
      </c>
      <c r="B639">
        <f>IF('Cost Overview'!K14="","",'Cost Overview'!K14)</f>
        <v/>
      </c>
      <c r="C639" t="inlineStr">
        <is>
          <t>number</t>
        </is>
      </c>
      <c r="D639" t="inlineStr">
        <is>
          <t>Scenario B cost per chargeable kg, all from Helmond</t>
        </is>
      </c>
    </row>
    <row r="640">
      <c r="A640" t="inlineStr">
        <is>
          <t>coverage.bands_without_rate</t>
        </is>
      </c>
      <c r="B640">
        <f>IF('Cost Overview'!N14="","",'Cost Overview'!N14)</f>
        <v/>
      </c>
      <c r="C640" t="inlineStr">
        <is>
          <t>number</t>
        </is>
      </c>
      <c r="D640" t="inlineStr">
        <is>
          <t>Lane-band rows without a rate (of 45)</t>
        </is>
      </c>
    </row>
    <row r="641">
      <c r="A641" t="inlineStr">
        <is>
          <t>cost.L01.A</t>
        </is>
      </c>
      <c r="B641">
        <f>IF('Cost Overview'!E5="","",'Cost Overview'!E5)</f>
        <v/>
      </c>
      <c r="C641" t="inlineStr">
        <is>
          <t>number</t>
        </is>
      </c>
      <c r="D641" t="inlineStr">
        <is>
          <t>Saudi Arabia annual cost A</t>
        </is>
      </c>
    </row>
    <row r="642">
      <c r="A642" t="inlineStr">
        <is>
          <t>cost.L01.B</t>
        </is>
      </c>
      <c r="B642">
        <f>IF('Cost Overview'!J5="","",'Cost Overview'!J5)</f>
        <v/>
      </c>
      <c r="C642" t="inlineStr">
        <is>
          <t>number</t>
        </is>
      </c>
      <c r="D642" t="inlineStr">
        <is>
          <t>Saudi Arabia annual cost B</t>
        </is>
      </c>
    </row>
    <row r="643">
      <c r="A643" t="inlineStr">
        <is>
          <t>cost.L01.B.per_kg</t>
        </is>
      </c>
      <c r="B643">
        <f>IF('Cost Overview'!K5="","",'Cost Overview'!K5)</f>
        <v/>
      </c>
      <c r="C643" t="inlineStr">
        <is>
          <t>number</t>
        </is>
      </c>
      <c r="D643" t="inlineStr">
        <is>
          <t>Saudi Arabia cost per kg B</t>
        </is>
      </c>
    </row>
    <row r="644">
      <c r="A644" t="inlineStr">
        <is>
          <t>transit.L01.avg_days</t>
        </is>
      </c>
      <c r="B644">
        <f>IF('Cost Overview'!M5="","",'Cost Overview'!M5)</f>
        <v/>
      </c>
      <c r="C644" t="inlineStr">
        <is>
          <t>number</t>
        </is>
      </c>
      <c r="D644" t="inlineStr">
        <is>
          <t>Saudi Arabia avg transit days</t>
        </is>
      </c>
    </row>
    <row r="645">
      <c r="A645" t="inlineStr">
        <is>
          <t>timeline.L01.A.on_target_pct</t>
        </is>
      </c>
      <c r="B645">
        <f>IF('Timeline Summary'!G34="","",'Timeline Summary'!G34)</f>
        <v/>
      </c>
      <c r="C645" t="inlineStr">
        <is>
          <t>percent</t>
        </is>
      </c>
      <c r="D645" t="inlineStr">
        <is>
          <t>Saudi Arabia on target A</t>
        </is>
      </c>
    </row>
    <row r="646">
      <c r="A646" t="inlineStr">
        <is>
          <t>timeline.L01.A.avg_days_late</t>
        </is>
      </c>
      <c r="B646">
        <f>IF('Timeline Summary'!H34="","",'Timeline Summary'!H34)</f>
        <v/>
      </c>
      <c r="C646" t="inlineStr">
        <is>
          <t>number</t>
        </is>
      </c>
      <c r="D646" t="inlineStr">
        <is>
          <t>Saudi Arabia days late A</t>
        </is>
      </c>
    </row>
    <row r="647">
      <c r="A647" t="inlineStr">
        <is>
          <t>timeline.L01.B.on_target_pct</t>
        </is>
      </c>
      <c r="B647">
        <f>IF('Timeline Summary'!L34="","",'Timeline Summary'!L34)</f>
        <v/>
      </c>
      <c r="C647" t="inlineStr">
        <is>
          <t>percent</t>
        </is>
      </c>
      <c r="D647" t="inlineStr">
        <is>
          <t>Saudi Arabia on target B</t>
        </is>
      </c>
    </row>
    <row r="648">
      <c r="A648" t="inlineStr">
        <is>
          <t>timeline.L01.B.avg_days_late</t>
        </is>
      </c>
      <c r="B648">
        <f>IF('Timeline Summary'!M34="","",'Timeline Summary'!M34)</f>
        <v/>
      </c>
      <c r="C648" t="inlineStr">
        <is>
          <t>number</t>
        </is>
      </c>
      <c r="D648" t="inlineStr">
        <is>
          <t>Saudi Arabia days late B</t>
        </is>
      </c>
    </row>
    <row r="649">
      <c r="A649" t="inlineStr">
        <is>
          <t>stock.L01.serve_from_stock</t>
        </is>
      </c>
      <c r="B649">
        <f>IF('Optional Regional Stock'!I14="","",'Optional Regional Stock'!I14)</f>
        <v/>
      </c>
      <c r="C649" t="inlineStr">
        <is>
          <t>yesno</t>
        </is>
      </c>
      <c r="D649" t="inlineStr">
        <is>
          <t>Saudi Arabia served from regional stock</t>
        </is>
      </c>
    </row>
    <row r="650">
      <c r="A650" t="inlineStr">
        <is>
          <t>stock.L01.transit_days</t>
        </is>
      </c>
      <c r="B650">
        <f>IF('Optional Regional Stock'!K14="","",'Optional Regional Stock'!K14)</f>
        <v/>
      </c>
      <c r="C650" t="inlineStr">
        <is>
          <t>number</t>
        </is>
      </c>
      <c r="D650" t="inlineStr">
        <is>
          <t>Saudi Arabia transit from stock</t>
        </is>
      </c>
    </row>
    <row r="651">
      <c r="A651" t="inlineStr">
        <is>
          <t>cost.L02.A</t>
        </is>
      </c>
      <c r="B651">
        <f>IF('Cost Overview'!E6="","",'Cost Overview'!E6)</f>
        <v/>
      </c>
      <c r="C651" t="inlineStr">
        <is>
          <t>number</t>
        </is>
      </c>
      <c r="D651" t="inlineStr">
        <is>
          <t>United Arab Emirates annual cost A</t>
        </is>
      </c>
    </row>
    <row r="652">
      <c r="A652" t="inlineStr">
        <is>
          <t>cost.L02.B</t>
        </is>
      </c>
      <c r="B652">
        <f>IF('Cost Overview'!J6="","",'Cost Overview'!J6)</f>
        <v/>
      </c>
      <c r="C652" t="inlineStr">
        <is>
          <t>number</t>
        </is>
      </c>
      <c r="D652" t="inlineStr">
        <is>
          <t>United Arab Emirates annual cost B</t>
        </is>
      </c>
    </row>
    <row r="653">
      <c r="A653" t="inlineStr">
        <is>
          <t>cost.L02.B.per_kg</t>
        </is>
      </c>
      <c r="B653">
        <f>IF('Cost Overview'!K6="","",'Cost Overview'!K6)</f>
        <v/>
      </c>
      <c r="C653" t="inlineStr">
        <is>
          <t>number</t>
        </is>
      </c>
      <c r="D653" t="inlineStr">
        <is>
          <t>United Arab Emirates cost per kg B</t>
        </is>
      </c>
    </row>
    <row r="654">
      <c r="A654" t="inlineStr">
        <is>
          <t>transit.L02.avg_days</t>
        </is>
      </c>
      <c r="B654">
        <f>IF('Cost Overview'!M6="","",'Cost Overview'!M6)</f>
        <v/>
      </c>
      <c r="C654" t="inlineStr">
        <is>
          <t>number</t>
        </is>
      </c>
      <c r="D654" t="inlineStr">
        <is>
          <t>United Arab Emirates avg transit days</t>
        </is>
      </c>
    </row>
    <row r="655">
      <c r="A655" t="inlineStr">
        <is>
          <t>timeline.L02.A.on_target_pct</t>
        </is>
      </c>
      <c r="B655">
        <f>IF('Timeline Summary'!G35="","",'Timeline Summary'!G35)</f>
        <v/>
      </c>
      <c r="C655" t="inlineStr">
        <is>
          <t>percent</t>
        </is>
      </c>
      <c r="D655" t="inlineStr">
        <is>
          <t>United Arab Emirates on target A</t>
        </is>
      </c>
    </row>
    <row r="656">
      <c r="A656" t="inlineStr">
        <is>
          <t>timeline.L02.A.avg_days_late</t>
        </is>
      </c>
      <c r="B656">
        <f>IF('Timeline Summary'!H35="","",'Timeline Summary'!H35)</f>
        <v/>
      </c>
      <c r="C656" t="inlineStr">
        <is>
          <t>number</t>
        </is>
      </c>
      <c r="D656" t="inlineStr">
        <is>
          <t>United Arab Emirates days late A</t>
        </is>
      </c>
    </row>
    <row r="657">
      <c r="A657" t="inlineStr">
        <is>
          <t>timeline.L02.B.on_target_pct</t>
        </is>
      </c>
      <c r="B657">
        <f>IF('Timeline Summary'!L35="","",'Timeline Summary'!L35)</f>
        <v/>
      </c>
      <c r="C657" t="inlineStr">
        <is>
          <t>percent</t>
        </is>
      </c>
      <c r="D657" t="inlineStr">
        <is>
          <t>United Arab Emirates on target B</t>
        </is>
      </c>
    </row>
    <row r="658">
      <c r="A658" t="inlineStr">
        <is>
          <t>timeline.L02.B.avg_days_late</t>
        </is>
      </c>
      <c r="B658">
        <f>IF('Timeline Summary'!M35="","",'Timeline Summary'!M35)</f>
        <v/>
      </c>
      <c r="C658" t="inlineStr">
        <is>
          <t>number</t>
        </is>
      </c>
      <c r="D658" t="inlineStr">
        <is>
          <t>United Arab Emirates days late B</t>
        </is>
      </c>
    </row>
    <row r="659">
      <c r="A659" t="inlineStr">
        <is>
          <t>stock.L02.serve_from_stock</t>
        </is>
      </c>
      <c r="B659">
        <f>IF('Optional Regional Stock'!I15="","",'Optional Regional Stock'!I15)</f>
        <v/>
      </c>
      <c r="C659" t="inlineStr">
        <is>
          <t>yesno</t>
        </is>
      </c>
      <c r="D659" t="inlineStr">
        <is>
          <t>United Arab Emirates served from regional stock</t>
        </is>
      </c>
    </row>
    <row r="660">
      <c r="A660" t="inlineStr">
        <is>
          <t>stock.L02.transit_days</t>
        </is>
      </c>
      <c r="B660">
        <f>IF('Optional Regional Stock'!K15="","",'Optional Regional Stock'!K15)</f>
        <v/>
      </c>
      <c r="C660" t="inlineStr">
        <is>
          <t>number</t>
        </is>
      </c>
      <c r="D660" t="inlineStr">
        <is>
          <t>United Arab Emirates transit from stock</t>
        </is>
      </c>
    </row>
    <row r="661">
      <c r="A661" t="inlineStr">
        <is>
          <t>cost.L03.A</t>
        </is>
      </c>
      <c r="B661">
        <f>IF('Cost Overview'!E7="","",'Cost Overview'!E7)</f>
        <v/>
      </c>
      <c r="C661" t="inlineStr">
        <is>
          <t>number</t>
        </is>
      </c>
      <c r="D661" t="inlineStr">
        <is>
          <t>Kuwait annual cost A</t>
        </is>
      </c>
    </row>
    <row r="662">
      <c r="A662" t="inlineStr">
        <is>
          <t>cost.L03.B</t>
        </is>
      </c>
      <c r="B662">
        <f>IF('Cost Overview'!J7="","",'Cost Overview'!J7)</f>
        <v/>
      </c>
      <c r="C662" t="inlineStr">
        <is>
          <t>number</t>
        </is>
      </c>
      <c r="D662" t="inlineStr">
        <is>
          <t>Kuwait annual cost B</t>
        </is>
      </c>
    </row>
    <row r="663">
      <c r="A663" t="inlineStr">
        <is>
          <t>cost.L03.B.per_kg</t>
        </is>
      </c>
      <c r="B663">
        <f>IF('Cost Overview'!K7="","",'Cost Overview'!K7)</f>
        <v/>
      </c>
      <c r="C663" t="inlineStr">
        <is>
          <t>number</t>
        </is>
      </c>
      <c r="D663" t="inlineStr">
        <is>
          <t>Kuwait cost per kg B</t>
        </is>
      </c>
    </row>
    <row r="664">
      <c r="A664" t="inlineStr">
        <is>
          <t>transit.L03.avg_days</t>
        </is>
      </c>
      <c r="B664">
        <f>IF('Cost Overview'!M7="","",'Cost Overview'!M7)</f>
        <v/>
      </c>
      <c r="C664" t="inlineStr">
        <is>
          <t>number</t>
        </is>
      </c>
      <c r="D664" t="inlineStr">
        <is>
          <t>Kuwait avg transit days</t>
        </is>
      </c>
    </row>
    <row r="665">
      <c r="A665" t="inlineStr">
        <is>
          <t>timeline.L03.A.on_target_pct</t>
        </is>
      </c>
      <c r="B665">
        <f>IF('Timeline Summary'!G36="","",'Timeline Summary'!G36)</f>
        <v/>
      </c>
      <c r="C665" t="inlineStr">
        <is>
          <t>percent</t>
        </is>
      </c>
      <c r="D665" t="inlineStr">
        <is>
          <t>Kuwait on target A</t>
        </is>
      </c>
    </row>
    <row r="666">
      <c r="A666" t="inlineStr">
        <is>
          <t>timeline.L03.A.avg_days_late</t>
        </is>
      </c>
      <c r="B666">
        <f>IF('Timeline Summary'!H36="","",'Timeline Summary'!H36)</f>
        <v/>
      </c>
      <c r="C666" t="inlineStr">
        <is>
          <t>number</t>
        </is>
      </c>
      <c r="D666" t="inlineStr">
        <is>
          <t>Kuwait days late A</t>
        </is>
      </c>
    </row>
    <row r="667">
      <c r="A667" t="inlineStr">
        <is>
          <t>timeline.L03.B.on_target_pct</t>
        </is>
      </c>
      <c r="B667">
        <f>IF('Timeline Summary'!L36="","",'Timeline Summary'!L36)</f>
        <v/>
      </c>
      <c r="C667" t="inlineStr">
        <is>
          <t>percent</t>
        </is>
      </c>
      <c r="D667" t="inlineStr">
        <is>
          <t>Kuwait on target B</t>
        </is>
      </c>
    </row>
    <row r="668">
      <c r="A668" t="inlineStr">
        <is>
          <t>timeline.L03.B.avg_days_late</t>
        </is>
      </c>
      <c r="B668">
        <f>IF('Timeline Summary'!M36="","",'Timeline Summary'!M36)</f>
        <v/>
      </c>
      <c r="C668" t="inlineStr">
        <is>
          <t>number</t>
        </is>
      </c>
      <c r="D668" t="inlineStr">
        <is>
          <t>Kuwait days late B</t>
        </is>
      </c>
    </row>
    <row r="669">
      <c r="A669" t="inlineStr">
        <is>
          <t>stock.L03.serve_from_stock</t>
        </is>
      </c>
      <c r="B669">
        <f>IF('Optional Regional Stock'!I16="","",'Optional Regional Stock'!I16)</f>
        <v/>
      </c>
      <c r="C669" t="inlineStr">
        <is>
          <t>yesno</t>
        </is>
      </c>
      <c r="D669" t="inlineStr">
        <is>
          <t>Kuwait served from regional stock</t>
        </is>
      </c>
    </row>
    <row r="670">
      <c r="A670" t="inlineStr">
        <is>
          <t>stock.L03.transit_days</t>
        </is>
      </c>
      <c r="B670">
        <f>IF('Optional Regional Stock'!K16="","",'Optional Regional Stock'!K16)</f>
        <v/>
      </c>
      <c r="C670" t="inlineStr">
        <is>
          <t>number</t>
        </is>
      </c>
      <c r="D670" t="inlineStr">
        <is>
          <t>Kuwait transit from stock</t>
        </is>
      </c>
    </row>
    <row r="671">
      <c r="A671" t="inlineStr">
        <is>
          <t>cost.L04.A</t>
        </is>
      </c>
      <c r="B671">
        <f>IF('Cost Overview'!E8="","",'Cost Overview'!E8)</f>
        <v/>
      </c>
      <c r="C671" t="inlineStr">
        <is>
          <t>number</t>
        </is>
      </c>
      <c r="D671" t="inlineStr">
        <is>
          <t>Qatar annual cost A</t>
        </is>
      </c>
    </row>
    <row r="672">
      <c r="A672" t="inlineStr">
        <is>
          <t>cost.L04.B</t>
        </is>
      </c>
      <c r="B672">
        <f>IF('Cost Overview'!J8="","",'Cost Overview'!J8)</f>
        <v/>
      </c>
      <c r="C672" t="inlineStr">
        <is>
          <t>number</t>
        </is>
      </c>
      <c r="D672" t="inlineStr">
        <is>
          <t>Qatar annual cost B</t>
        </is>
      </c>
    </row>
    <row r="673">
      <c r="A673" t="inlineStr">
        <is>
          <t>cost.L04.B.per_kg</t>
        </is>
      </c>
      <c r="B673">
        <f>IF('Cost Overview'!K8="","",'Cost Overview'!K8)</f>
        <v/>
      </c>
      <c r="C673" t="inlineStr">
        <is>
          <t>number</t>
        </is>
      </c>
      <c r="D673" t="inlineStr">
        <is>
          <t>Qatar cost per kg B</t>
        </is>
      </c>
    </row>
    <row r="674">
      <c r="A674" t="inlineStr">
        <is>
          <t>transit.L04.avg_days</t>
        </is>
      </c>
      <c r="B674">
        <f>IF('Cost Overview'!M8="","",'Cost Overview'!M8)</f>
        <v/>
      </c>
      <c r="C674" t="inlineStr">
        <is>
          <t>number</t>
        </is>
      </c>
      <c r="D674" t="inlineStr">
        <is>
          <t>Qatar avg transit days</t>
        </is>
      </c>
    </row>
    <row r="675">
      <c r="A675" t="inlineStr">
        <is>
          <t>timeline.L04.A.on_target_pct</t>
        </is>
      </c>
      <c r="B675">
        <f>IF('Timeline Summary'!G37="","",'Timeline Summary'!G37)</f>
        <v/>
      </c>
      <c r="C675" t="inlineStr">
        <is>
          <t>percent</t>
        </is>
      </c>
      <c r="D675" t="inlineStr">
        <is>
          <t>Qatar on target A</t>
        </is>
      </c>
    </row>
    <row r="676">
      <c r="A676" t="inlineStr">
        <is>
          <t>timeline.L04.A.avg_days_late</t>
        </is>
      </c>
      <c r="B676">
        <f>IF('Timeline Summary'!H37="","",'Timeline Summary'!H37)</f>
        <v/>
      </c>
      <c r="C676" t="inlineStr">
        <is>
          <t>number</t>
        </is>
      </c>
      <c r="D676" t="inlineStr">
        <is>
          <t>Qatar days late A</t>
        </is>
      </c>
    </row>
    <row r="677">
      <c r="A677" t="inlineStr">
        <is>
          <t>timeline.L04.B.on_target_pct</t>
        </is>
      </c>
      <c r="B677">
        <f>IF('Timeline Summary'!L37="","",'Timeline Summary'!L37)</f>
        <v/>
      </c>
      <c r="C677" t="inlineStr">
        <is>
          <t>percent</t>
        </is>
      </c>
      <c r="D677" t="inlineStr">
        <is>
          <t>Qatar on target B</t>
        </is>
      </c>
    </row>
    <row r="678">
      <c r="A678" t="inlineStr">
        <is>
          <t>timeline.L04.B.avg_days_late</t>
        </is>
      </c>
      <c r="B678">
        <f>IF('Timeline Summary'!M37="","",'Timeline Summary'!M37)</f>
        <v/>
      </c>
      <c r="C678" t="inlineStr">
        <is>
          <t>number</t>
        </is>
      </c>
      <c r="D678" t="inlineStr">
        <is>
          <t>Qatar days late B</t>
        </is>
      </c>
    </row>
    <row r="679">
      <c r="A679" t="inlineStr">
        <is>
          <t>stock.L04.serve_from_stock</t>
        </is>
      </c>
      <c r="B679">
        <f>IF('Optional Regional Stock'!I17="","",'Optional Regional Stock'!I17)</f>
        <v/>
      </c>
      <c r="C679" t="inlineStr">
        <is>
          <t>yesno</t>
        </is>
      </c>
      <c r="D679" t="inlineStr">
        <is>
          <t>Qatar served from regional stock</t>
        </is>
      </c>
    </row>
    <row r="680">
      <c r="A680" t="inlineStr">
        <is>
          <t>stock.L04.transit_days</t>
        </is>
      </c>
      <c r="B680">
        <f>IF('Optional Regional Stock'!K17="","",'Optional Regional Stock'!K17)</f>
        <v/>
      </c>
      <c r="C680" t="inlineStr">
        <is>
          <t>number</t>
        </is>
      </c>
      <c r="D680" t="inlineStr">
        <is>
          <t>Qatar transit from stock</t>
        </is>
      </c>
    </row>
    <row r="681">
      <c r="A681" t="inlineStr">
        <is>
          <t>cost.L05.A</t>
        </is>
      </c>
      <c r="B681">
        <f>IF('Cost Overview'!E9="","",'Cost Overview'!E9)</f>
        <v/>
      </c>
      <c r="C681" t="inlineStr">
        <is>
          <t>number</t>
        </is>
      </c>
      <c r="D681" t="inlineStr">
        <is>
          <t>Türkiye annual cost A</t>
        </is>
      </c>
    </row>
    <row r="682">
      <c r="A682" t="inlineStr">
        <is>
          <t>cost.L05.B</t>
        </is>
      </c>
      <c r="B682">
        <f>IF('Cost Overview'!J9="","",'Cost Overview'!J9)</f>
        <v/>
      </c>
      <c r="C682" t="inlineStr">
        <is>
          <t>number</t>
        </is>
      </c>
      <c r="D682" t="inlineStr">
        <is>
          <t>Türkiye annual cost B</t>
        </is>
      </c>
    </row>
    <row r="683">
      <c r="A683" t="inlineStr">
        <is>
          <t>cost.L05.B.per_kg</t>
        </is>
      </c>
      <c r="B683">
        <f>IF('Cost Overview'!K9="","",'Cost Overview'!K9)</f>
        <v/>
      </c>
      <c r="C683" t="inlineStr">
        <is>
          <t>number</t>
        </is>
      </c>
      <c r="D683" t="inlineStr">
        <is>
          <t>Türkiye cost per kg B</t>
        </is>
      </c>
    </row>
    <row r="684">
      <c r="A684" t="inlineStr">
        <is>
          <t>transit.L05.avg_days</t>
        </is>
      </c>
      <c r="B684">
        <f>IF('Cost Overview'!M9="","",'Cost Overview'!M9)</f>
        <v/>
      </c>
      <c r="C684" t="inlineStr">
        <is>
          <t>number</t>
        </is>
      </c>
      <c r="D684" t="inlineStr">
        <is>
          <t>Türkiye avg transit days</t>
        </is>
      </c>
    </row>
    <row r="685">
      <c r="A685" t="inlineStr">
        <is>
          <t>timeline.L05.A.on_target_pct</t>
        </is>
      </c>
      <c r="B685">
        <f>IF('Timeline Summary'!G38="","",'Timeline Summary'!G38)</f>
        <v/>
      </c>
      <c r="C685" t="inlineStr">
        <is>
          <t>percent</t>
        </is>
      </c>
      <c r="D685" t="inlineStr">
        <is>
          <t>Türkiye on target A</t>
        </is>
      </c>
    </row>
    <row r="686">
      <c r="A686" t="inlineStr">
        <is>
          <t>timeline.L05.A.avg_days_late</t>
        </is>
      </c>
      <c r="B686">
        <f>IF('Timeline Summary'!H38="","",'Timeline Summary'!H38)</f>
        <v/>
      </c>
      <c r="C686" t="inlineStr">
        <is>
          <t>number</t>
        </is>
      </c>
      <c r="D686" t="inlineStr">
        <is>
          <t>Türkiye days late A</t>
        </is>
      </c>
    </row>
    <row r="687">
      <c r="A687" t="inlineStr">
        <is>
          <t>timeline.L05.B.on_target_pct</t>
        </is>
      </c>
      <c r="B687">
        <f>IF('Timeline Summary'!L38="","",'Timeline Summary'!L38)</f>
        <v/>
      </c>
      <c r="C687" t="inlineStr">
        <is>
          <t>percent</t>
        </is>
      </c>
      <c r="D687" t="inlineStr">
        <is>
          <t>Türkiye on target B</t>
        </is>
      </c>
    </row>
    <row r="688">
      <c r="A688" t="inlineStr">
        <is>
          <t>timeline.L05.B.avg_days_late</t>
        </is>
      </c>
      <c r="B688">
        <f>IF('Timeline Summary'!M38="","",'Timeline Summary'!M38)</f>
        <v/>
      </c>
      <c r="C688" t="inlineStr">
        <is>
          <t>number</t>
        </is>
      </c>
      <c r="D688" t="inlineStr">
        <is>
          <t>Türkiye days late B</t>
        </is>
      </c>
    </row>
    <row r="689">
      <c r="A689" t="inlineStr">
        <is>
          <t>stock.L05.serve_from_stock</t>
        </is>
      </c>
      <c r="B689">
        <f>IF('Optional Regional Stock'!I18="","",'Optional Regional Stock'!I18)</f>
        <v/>
      </c>
      <c r="C689" t="inlineStr">
        <is>
          <t>yesno</t>
        </is>
      </c>
      <c r="D689" t="inlineStr">
        <is>
          <t>Türkiye served from regional stock</t>
        </is>
      </c>
    </row>
    <row r="690">
      <c r="A690" t="inlineStr">
        <is>
          <t>stock.L05.transit_days</t>
        </is>
      </c>
      <c r="B690">
        <f>IF('Optional Regional Stock'!K18="","",'Optional Regional Stock'!K18)</f>
        <v/>
      </c>
      <c r="C690" t="inlineStr">
        <is>
          <t>number</t>
        </is>
      </c>
      <c r="D690" t="inlineStr">
        <is>
          <t>Türkiye transit from stock</t>
        </is>
      </c>
    </row>
    <row r="691">
      <c r="A691" t="inlineStr">
        <is>
          <t>cost.L06.A</t>
        </is>
      </c>
      <c r="B691">
        <f>IF('Cost Overview'!E10="","",'Cost Overview'!E10)</f>
        <v/>
      </c>
      <c r="C691" t="inlineStr">
        <is>
          <t>number</t>
        </is>
      </c>
      <c r="D691" t="inlineStr">
        <is>
          <t>Morocco annual cost A</t>
        </is>
      </c>
    </row>
    <row r="692">
      <c r="A692" t="inlineStr">
        <is>
          <t>cost.L06.B</t>
        </is>
      </c>
      <c r="B692">
        <f>IF('Cost Overview'!J10="","",'Cost Overview'!J10)</f>
        <v/>
      </c>
      <c r="C692" t="inlineStr">
        <is>
          <t>number</t>
        </is>
      </c>
      <c r="D692" t="inlineStr">
        <is>
          <t>Morocco annual cost B</t>
        </is>
      </c>
    </row>
    <row r="693">
      <c r="A693" t="inlineStr">
        <is>
          <t>cost.L06.B.per_kg</t>
        </is>
      </c>
      <c r="B693">
        <f>IF('Cost Overview'!K10="","",'Cost Overview'!K10)</f>
        <v/>
      </c>
      <c r="C693" t="inlineStr">
        <is>
          <t>number</t>
        </is>
      </c>
      <c r="D693" t="inlineStr">
        <is>
          <t>Morocco cost per kg B</t>
        </is>
      </c>
    </row>
    <row r="694">
      <c r="A694" t="inlineStr">
        <is>
          <t>transit.L06.avg_days</t>
        </is>
      </c>
      <c r="B694">
        <f>IF('Cost Overview'!M10="","",'Cost Overview'!M10)</f>
        <v/>
      </c>
      <c r="C694" t="inlineStr">
        <is>
          <t>number</t>
        </is>
      </c>
      <c r="D694" t="inlineStr">
        <is>
          <t>Morocco avg transit days</t>
        </is>
      </c>
    </row>
    <row r="695">
      <c r="A695" t="inlineStr">
        <is>
          <t>timeline.L06.A.on_target_pct</t>
        </is>
      </c>
      <c r="B695">
        <f>IF('Timeline Summary'!G39="","",'Timeline Summary'!G39)</f>
        <v/>
      </c>
      <c r="C695" t="inlineStr">
        <is>
          <t>percent</t>
        </is>
      </c>
      <c r="D695" t="inlineStr">
        <is>
          <t>Morocco on target A</t>
        </is>
      </c>
    </row>
    <row r="696">
      <c r="A696" t="inlineStr">
        <is>
          <t>timeline.L06.A.avg_days_late</t>
        </is>
      </c>
      <c r="B696">
        <f>IF('Timeline Summary'!H39="","",'Timeline Summary'!H39)</f>
        <v/>
      </c>
      <c r="C696" t="inlineStr">
        <is>
          <t>number</t>
        </is>
      </c>
      <c r="D696" t="inlineStr">
        <is>
          <t>Morocco days late A</t>
        </is>
      </c>
    </row>
    <row r="697">
      <c r="A697" t="inlineStr">
        <is>
          <t>timeline.L06.B.on_target_pct</t>
        </is>
      </c>
      <c r="B697">
        <f>IF('Timeline Summary'!L39="","",'Timeline Summary'!L39)</f>
        <v/>
      </c>
      <c r="C697" t="inlineStr">
        <is>
          <t>percent</t>
        </is>
      </c>
      <c r="D697" t="inlineStr">
        <is>
          <t>Morocco on target B</t>
        </is>
      </c>
    </row>
    <row r="698">
      <c r="A698" t="inlineStr">
        <is>
          <t>timeline.L06.B.avg_days_late</t>
        </is>
      </c>
      <c r="B698">
        <f>IF('Timeline Summary'!M39="","",'Timeline Summary'!M39)</f>
        <v/>
      </c>
      <c r="C698" t="inlineStr">
        <is>
          <t>number</t>
        </is>
      </c>
      <c r="D698" t="inlineStr">
        <is>
          <t>Morocco days late B</t>
        </is>
      </c>
    </row>
    <row r="699">
      <c r="A699" t="inlineStr">
        <is>
          <t>stock.L06.serve_from_stock</t>
        </is>
      </c>
      <c r="B699">
        <f>IF('Optional Regional Stock'!I19="","",'Optional Regional Stock'!I19)</f>
        <v/>
      </c>
      <c r="C699" t="inlineStr">
        <is>
          <t>yesno</t>
        </is>
      </c>
      <c r="D699" t="inlineStr">
        <is>
          <t>Morocco served from regional stock</t>
        </is>
      </c>
    </row>
    <row r="700">
      <c r="A700" t="inlineStr">
        <is>
          <t>stock.L06.transit_days</t>
        </is>
      </c>
      <c r="B700">
        <f>IF('Optional Regional Stock'!K19="","",'Optional Regional Stock'!K19)</f>
        <v/>
      </c>
      <c r="C700" t="inlineStr">
        <is>
          <t>number</t>
        </is>
      </c>
      <c r="D700" t="inlineStr">
        <is>
          <t>Morocco transit from stock</t>
        </is>
      </c>
    </row>
    <row r="701">
      <c r="A701" t="inlineStr">
        <is>
          <t>cost.L07.A</t>
        </is>
      </c>
      <c r="B701">
        <f>IF('Cost Overview'!E11="","",'Cost Overview'!E11)</f>
        <v/>
      </c>
      <c r="C701" t="inlineStr">
        <is>
          <t>number</t>
        </is>
      </c>
      <c r="D701" t="inlineStr">
        <is>
          <t>Algeria annual cost A</t>
        </is>
      </c>
    </row>
    <row r="702">
      <c r="A702" t="inlineStr">
        <is>
          <t>cost.L07.B</t>
        </is>
      </c>
      <c r="B702">
        <f>IF('Cost Overview'!J11="","",'Cost Overview'!J11)</f>
        <v/>
      </c>
      <c r="C702" t="inlineStr">
        <is>
          <t>number</t>
        </is>
      </c>
      <c r="D702" t="inlineStr">
        <is>
          <t>Algeria annual cost B</t>
        </is>
      </c>
    </row>
    <row r="703">
      <c r="A703" t="inlineStr">
        <is>
          <t>cost.L07.B.per_kg</t>
        </is>
      </c>
      <c r="B703">
        <f>IF('Cost Overview'!K11="","",'Cost Overview'!K11)</f>
        <v/>
      </c>
      <c r="C703" t="inlineStr">
        <is>
          <t>number</t>
        </is>
      </c>
      <c r="D703" t="inlineStr">
        <is>
          <t>Algeria cost per kg B</t>
        </is>
      </c>
    </row>
    <row r="704">
      <c r="A704" t="inlineStr">
        <is>
          <t>transit.L07.avg_days</t>
        </is>
      </c>
      <c r="B704">
        <f>IF('Cost Overview'!M11="","",'Cost Overview'!M11)</f>
        <v/>
      </c>
      <c r="C704" t="inlineStr">
        <is>
          <t>number</t>
        </is>
      </c>
      <c r="D704" t="inlineStr">
        <is>
          <t>Algeria avg transit days</t>
        </is>
      </c>
    </row>
    <row r="705">
      <c r="A705" t="inlineStr">
        <is>
          <t>timeline.L07.A.on_target_pct</t>
        </is>
      </c>
      <c r="B705">
        <f>IF('Timeline Summary'!G40="","",'Timeline Summary'!G40)</f>
        <v/>
      </c>
      <c r="C705" t="inlineStr">
        <is>
          <t>percent</t>
        </is>
      </c>
      <c r="D705" t="inlineStr">
        <is>
          <t>Algeria on target A</t>
        </is>
      </c>
    </row>
    <row r="706">
      <c r="A706" t="inlineStr">
        <is>
          <t>timeline.L07.A.avg_days_late</t>
        </is>
      </c>
      <c r="B706">
        <f>IF('Timeline Summary'!H40="","",'Timeline Summary'!H40)</f>
        <v/>
      </c>
      <c r="C706" t="inlineStr">
        <is>
          <t>number</t>
        </is>
      </c>
      <c r="D706" t="inlineStr">
        <is>
          <t>Algeria days late A</t>
        </is>
      </c>
    </row>
    <row r="707">
      <c r="A707" t="inlineStr">
        <is>
          <t>timeline.L07.B.on_target_pct</t>
        </is>
      </c>
      <c r="B707">
        <f>IF('Timeline Summary'!L40="","",'Timeline Summary'!L40)</f>
        <v/>
      </c>
      <c r="C707" t="inlineStr">
        <is>
          <t>percent</t>
        </is>
      </c>
      <c r="D707" t="inlineStr">
        <is>
          <t>Algeria on target B</t>
        </is>
      </c>
    </row>
    <row r="708">
      <c r="A708" t="inlineStr">
        <is>
          <t>timeline.L07.B.avg_days_late</t>
        </is>
      </c>
      <c r="B708">
        <f>IF('Timeline Summary'!M40="","",'Timeline Summary'!M40)</f>
        <v/>
      </c>
      <c r="C708" t="inlineStr">
        <is>
          <t>number</t>
        </is>
      </c>
      <c r="D708" t="inlineStr">
        <is>
          <t>Algeria days late B</t>
        </is>
      </c>
    </row>
    <row r="709">
      <c r="A709" t="inlineStr">
        <is>
          <t>stock.L07.serve_from_stock</t>
        </is>
      </c>
      <c r="B709">
        <f>IF('Optional Regional Stock'!I20="","",'Optional Regional Stock'!I20)</f>
        <v/>
      </c>
      <c r="C709" t="inlineStr">
        <is>
          <t>yesno</t>
        </is>
      </c>
      <c r="D709" t="inlineStr">
        <is>
          <t>Algeria served from regional stock</t>
        </is>
      </c>
    </row>
    <row r="710">
      <c r="A710" t="inlineStr">
        <is>
          <t>stock.L07.transit_days</t>
        </is>
      </c>
      <c r="B710">
        <f>IF('Optional Regional Stock'!K20="","",'Optional Regional Stock'!K20)</f>
        <v/>
      </c>
      <c r="C710" t="inlineStr">
        <is>
          <t>number</t>
        </is>
      </c>
      <c r="D710" t="inlineStr">
        <is>
          <t>Algeria transit from stock</t>
        </is>
      </c>
    </row>
    <row r="711">
      <c r="A711" t="inlineStr">
        <is>
          <t>cost.L08.A</t>
        </is>
      </c>
      <c r="B711">
        <f>IF('Cost Overview'!E12="","",'Cost Overview'!E12)</f>
        <v/>
      </c>
      <c r="C711" t="inlineStr">
        <is>
          <t>number</t>
        </is>
      </c>
      <c r="D711" t="inlineStr">
        <is>
          <t>Egypt annual cost A</t>
        </is>
      </c>
    </row>
    <row r="712">
      <c r="A712" t="inlineStr">
        <is>
          <t>cost.L08.B</t>
        </is>
      </c>
      <c r="B712">
        <f>IF('Cost Overview'!J12="","",'Cost Overview'!J12)</f>
        <v/>
      </c>
      <c r="C712" t="inlineStr">
        <is>
          <t>number</t>
        </is>
      </c>
      <c r="D712" t="inlineStr">
        <is>
          <t>Egypt annual cost B</t>
        </is>
      </c>
    </row>
    <row r="713">
      <c r="A713" t="inlineStr">
        <is>
          <t>cost.L08.B.per_kg</t>
        </is>
      </c>
      <c r="B713">
        <f>IF('Cost Overview'!K12="","",'Cost Overview'!K12)</f>
        <v/>
      </c>
      <c r="C713" t="inlineStr">
        <is>
          <t>number</t>
        </is>
      </c>
      <c r="D713" t="inlineStr">
        <is>
          <t>Egypt cost per kg B</t>
        </is>
      </c>
    </row>
    <row r="714">
      <c r="A714" t="inlineStr">
        <is>
          <t>transit.L08.avg_days</t>
        </is>
      </c>
      <c r="B714">
        <f>IF('Cost Overview'!M12="","",'Cost Overview'!M12)</f>
        <v/>
      </c>
      <c r="C714" t="inlineStr">
        <is>
          <t>number</t>
        </is>
      </c>
      <c r="D714" t="inlineStr">
        <is>
          <t>Egypt avg transit days</t>
        </is>
      </c>
    </row>
    <row r="715">
      <c r="A715" t="inlineStr">
        <is>
          <t>timeline.L08.A.on_target_pct</t>
        </is>
      </c>
      <c r="B715">
        <f>IF('Timeline Summary'!G41="","",'Timeline Summary'!G41)</f>
        <v/>
      </c>
      <c r="C715" t="inlineStr">
        <is>
          <t>percent</t>
        </is>
      </c>
      <c r="D715" t="inlineStr">
        <is>
          <t>Egypt on target A</t>
        </is>
      </c>
    </row>
    <row r="716">
      <c r="A716" t="inlineStr">
        <is>
          <t>timeline.L08.A.avg_days_late</t>
        </is>
      </c>
      <c r="B716">
        <f>IF('Timeline Summary'!H41="","",'Timeline Summary'!H41)</f>
        <v/>
      </c>
      <c r="C716" t="inlineStr">
        <is>
          <t>number</t>
        </is>
      </c>
      <c r="D716" t="inlineStr">
        <is>
          <t>Egypt days late A</t>
        </is>
      </c>
    </row>
    <row r="717">
      <c r="A717" t="inlineStr">
        <is>
          <t>timeline.L08.B.on_target_pct</t>
        </is>
      </c>
      <c r="B717">
        <f>IF('Timeline Summary'!L41="","",'Timeline Summary'!L41)</f>
        <v/>
      </c>
      <c r="C717" t="inlineStr">
        <is>
          <t>percent</t>
        </is>
      </c>
      <c r="D717" t="inlineStr">
        <is>
          <t>Egypt on target B</t>
        </is>
      </c>
    </row>
    <row r="718">
      <c r="A718" t="inlineStr">
        <is>
          <t>timeline.L08.B.avg_days_late</t>
        </is>
      </c>
      <c r="B718">
        <f>IF('Timeline Summary'!M41="","",'Timeline Summary'!M41)</f>
        <v/>
      </c>
      <c r="C718" t="inlineStr">
        <is>
          <t>number</t>
        </is>
      </c>
      <c r="D718" t="inlineStr">
        <is>
          <t>Egypt days late B</t>
        </is>
      </c>
    </row>
    <row r="719">
      <c r="A719" t="inlineStr">
        <is>
          <t>stock.L08.serve_from_stock</t>
        </is>
      </c>
      <c r="B719">
        <f>IF('Optional Regional Stock'!I21="","",'Optional Regional Stock'!I21)</f>
        <v/>
      </c>
      <c r="C719" t="inlineStr">
        <is>
          <t>yesno</t>
        </is>
      </c>
      <c r="D719" t="inlineStr">
        <is>
          <t>Egypt served from regional stock</t>
        </is>
      </c>
    </row>
    <row r="720">
      <c r="A720" t="inlineStr">
        <is>
          <t>stock.L08.transit_days</t>
        </is>
      </c>
      <c r="B720">
        <f>IF('Optional Regional Stock'!K21="","",'Optional Regional Stock'!K21)</f>
        <v/>
      </c>
      <c r="C720" t="inlineStr">
        <is>
          <t>number</t>
        </is>
      </c>
      <c r="D720" t="inlineStr">
        <is>
          <t>Egypt transit from stock</t>
        </is>
      </c>
    </row>
    <row r="721">
      <c r="A721" t="inlineStr">
        <is>
          <t>cost.L09.A</t>
        </is>
      </c>
      <c r="B721">
        <f>IF('Cost Overview'!E13="","",'Cost Overview'!E13)</f>
        <v/>
      </c>
      <c r="C721" t="inlineStr">
        <is>
          <t>number</t>
        </is>
      </c>
      <c r="D721" t="inlineStr">
        <is>
          <t>Tunisia annual cost A</t>
        </is>
      </c>
    </row>
    <row r="722">
      <c r="A722" t="inlineStr">
        <is>
          <t>cost.L09.B</t>
        </is>
      </c>
      <c r="B722">
        <f>IF('Cost Overview'!J13="","",'Cost Overview'!J13)</f>
        <v/>
      </c>
      <c r="C722" t="inlineStr">
        <is>
          <t>number</t>
        </is>
      </c>
      <c r="D722" t="inlineStr">
        <is>
          <t>Tunisia annual cost B</t>
        </is>
      </c>
    </row>
    <row r="723">
      <c r="A723" t="inlineStr">
        <is>
          <t>cost.L09.B.per_kg</t>
        </is>
      </c>
      <c r="B723">
        <f>IF('Cost Overview'!K13="","",'Cost Overview'!K13)</f>
        <v/>
      </c>
      <c r="C723" t="inlineStr">
        <is>
          <t>number</t>
        </is>
      </c>
      <c r="D723" t="inlineStr">
        <is>
          <t>Tunisia cost per kg B</t>
        </is>
      </c>
    </row>
    <row r="724">
      <c r="A724" t="inlineStr">
        <is>
          <t>transit.L09.avg_days</t>
        </is>
      </c>
      <c r="B724">
        <f>IF('Cost Overview'!M13="","",'Cost Overview'!M13)</f>
        <v/>
      </c>
      <c r="C724" t="inlineStr">
        <is>
          <t>number</t>
        </is>
      </c>
      <c r="D724" t="inlineStr">
        <is>
          <t>Tunisia avg transit days</t>
        </is>
      </c>
    </row>
    <row r="725">
      <c r="A725" t="inlineStr">
        <is>
          <t>timeline.L09.A.on_target_pct</t>
        </is>
      </c>
      <c r="B725">
        <f>IF('Timeline Summary'!G42="","",'Timeline Summary'!G42)</f>
        <v/>
      </c>
      <c r="C725" t="inlineStr">
        <is>
          <t>percent</t>
        </is>
      </c>
      <c r="D725" t="inlineStr">
        <is>
          <t>Tunisia on target A</t>
        </is>
      </c>
    </row>
    <row r="726">
      <c r="A726" t="inlineStr">
        <is>
          <t>timeline.L09.A.avg_days_late</t>
        </is>
      </c>
      <c r="B726">
        <f>IF('Timeline Summary'!H42="","",'Timeline Summary'!H42)</f>
        <v/>
      </c>
      <c r="C726" t="inlineStr">
        <is>
          <t>number</t>
        </is>
      </c>
      <c r="D726" t="inlineStr">
        <is>
          <t>Tunisia days late A</t>
        </is>
      </c>
    </row>
    <row r="727">
      <c r="A727" t="inlineStr">
        <is>
          <t>timeline.L09.B.on_target_pct</t>
        </is>
      </c>
      <c r="B727">
        <f>IF('Timeline Summary'!L42="","",'Timeline Summary'!L42)</f>
        <v/>
      </c>
      <c r="C727" t="inlineStr">
        <is>
          <t>percent</t>
        </is>
      </c>
      <c r="D727" t="inlineStr">
        <is>
          <t>Tunisia on target B</t>
        </is>
      </c>
    </row>
    <row r="728">
      <c r="A728" t="inlineStr">
        <is>
          <t>timeline.L09.B.avg_days_late</t>
        </is>
      </c>
      <c r="B728">
        <f>IF('Timeline Summary'!M42="","",'Timeline Summary'!M42)</f>
        <v/>
      </c>
      <c r="C728" t="inlineStr">
        <is>
          <t>number</t>
        </is>
      </c>
      <c r="D728" t="inlineStr">
        <is>
          <t>Tunisia days late B</t>
        </is>
      </c>
    </row>
    <row r="729">
      <c r="A729" t="inlineStr">
        <is>
          <t>stock.L09.serve_from_stock</t>
        </is>
      </c>
      <c r="B729">
        <f>IF('Optional Regional Stock'!I22="","",'Optional Regional Stock'!I22)</f>
        <v/>
      </c>
      <c r="C729" t="inlineStr">
        <is>
          <t>yesno</t>
        </is>
      </c>
      <c r="D729" t="inlineStr">
        <is>
          <t>Tunisia served from regional stock</t>
        </is>
      </c>
    </row>
    <row r="730">
      <c r="A730" t="inlineStr">
        <is>
          <t>stock.L09.transit_days</t>
        </is>
      </c>
      <c r="B730">
        <f>IF('Optional Regional Stock'!K22="","",'Optional Regional Stock'!K22)</f>
        <v/>
      </c>
      <c r="C730" t="inlineStr">
        <is>
          <t>number</t>
        </is>
      </c>
      <c r="D730" t="inlineStr">
        <is>
          <t>Tunisia transit from stock</t>
        </is>
      </c>
    </row>
    <row r="731">
      <c r="A731" t="inlineStr">
        <is>
          <t>timeline.A.on_target_pct</t>
        </is>
      </c>
      <c r="B731">
        <f>IF('Timeline Summary'!G43="","",'Timeline Summary'!G43)</f>
        <v/>
      </c>
      <c r="C731" t="inlineStr">
        <is>
          <t>percent</t>
        </is>
      </c>
      <c r="D731" t="inlineStr">
        <is>
          <t>All lanes on target A</t>
        </is>
      </c>
    </row>
    <row r="732">
      <c r="A732" t="inlineStr">
        <is>
          <t>timeline.B.on_target_pct</t>
        </is>
      </c>
      <c r="B732">
        <f>IF('Timeline Summary'!L43="","",'Timeline Summary'!L43)</f>
        <v/>
      </c>
      <c r="C732" t="inlineStr">
        <is>
          <t>percent</t>
        </is>
      </c>
      <c r="D732" t="inlineStr">
        <is>
          <t>All lanes on target B</t>
        </is>
      </c>
    </row>
    <row r="733">
      <c r="A733" t="inlineStr">
        <is>
          <t>stock.W1.location</t>
        </is>
      </c>
      <c r="B733">
        <f>IF('Optional Regional Stock'!B6="","",'Optional Regional Stock'!B6)</f>
        <v/>
      </c>
      <c r="C733" t="inlineStr">
        <is>
          <t>text</t>
        </is>
      </c>
      <c r="D733" t="inlineStr">
        <is>
          <t>Warehouse W1 location</t>
        </is>
      </c>
    </row>
    <row r="734">
      <c r="A734" t="inlineStr">
        <is>
          <t>stock.W2.location</t>
        </is>
      </c>
      <c r="B734">
        <f>IF('Optional Regional Stock'!B7="","",'Optional Regional Stock'!B7)</f>
        <v/>
      </c>
      <c r="C734" t="inlineStr">
        <is>
          <t>text</t>
        </is>
      </c>
      <c r="D734" t="inlineStr">
        <is>
          <t>Warehouse W2 location</t>
        </is>
      </c>
    </row>
    <row r="735">
      <c r="A735" t="inlineStr">
        <is>
          <t>stock.W3.location</t>
        </is>
      </c>
      <c r="B735">
        <f>IF('Optional Regional Stock'!B8="","",'Optional Regional Stock'!B8)</f>
        <v/>
      </c>
      <c r="C735" t="inlineStr">
        <is>
          <t>text</t>
        </is>
      </c>
      <c r="D735" t="inlineStr">
        <is>
          <t>Warehouse W3 location</t>
        </is>
      </c>
    </row>
    <row r="736">
      <c r="A736" t="inlineStr">
        <is>
          <t>stock.A.total_cost</t>
        </is>
      </c>
      <c r="B736">
        <f>IF('Optional Regional Stock'!D44="","",'Optional Regional Stock'!D44)</f>
        <v/>
      </c>
      <c r="C736" t="inlineStr">
        <is>
          <t>number</t>
        </is>
      </c>
      <c r="D736" t="inlineStr">
        <is>
          <t>Other-origin cost A</t>
        </is>
      </c>
    </row>
    <row r="737">
      <c r="A737" t="inlineStr">
        <is>
          <t>stock.B.total_cost</t>
        </is>
      </c>
      <c r="B737">
        <f>IF('Optional Regional Stock'!E44="","",'Optional Regional Stock'!E44)</f>
        <v/>
      </c>
      <c r="C737" t="inlineStr">
        <is>
          <t>number</t>
        </is>
      </c>
      <c r="D737" t="inlineStr">
        <is>
          <t>Other-origin cost B</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FlexiTog EU B.V.</dc:creator>
  <dc:title xmlns:dc="http://purl.org/dc/elements/1.1/">Transport volume scenario RFQ</dc:title>
  <dcterms:created xmlns:dcterms="http://purl.org/dc/terms/" xmlns:xsi="http://www.w3.org/2001/XMLSchema-instance" xsi:type="dcterms:W3CDTF">2026-10-13T09:34:15Z</dcterms:created>
  <dcterms:modified xmlns:dcterms="http://purl.org/dc/terms/" xmlns:xsi="http://www.w3.org/2001/XMLSchema-instance" xsi:type="dcterms:W3CDTF">2026-10-13T09:34:21Z</dcterms:modified>
  <cp:lastModifiedBy>FlexiTog EU B.V.</cp:lastModifiedBy>
</cp:coreProperties>
</file>