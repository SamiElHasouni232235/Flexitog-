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ovider Profile" sheetId="2" state="visible" r:id="rId4"/>
    <sheet name="Volumes" sheetId="3" state="visible" r:id="rId5"/>
    <sheet name="Timeline Rules" sheetId="4" state="visible" r:id="rId6"/>
    <sheet name="Schedule A" sheetId="5" state="visible" r:id="rId7"/>
    <sheet name="Schedule B" sheetId="6" state="visible" r:id="rId8"/>
    <sheet name="Timeline Summary" sheetId="7" state="visible" r:id="rId9"/>
    <sheet name="Rate Card" sheetId="8" state="visible" r:id="rId10"/>
    <sheet name="Cost Overview" sheetId="9" state="visible" r:id="rId11"/>
    <sheet name="Reliability &amp; Quality" sheetId="10" state="visible" r:id="rId12"/>
    <sheet name="Optional Regional Stock" sheetId="11" state="visible" r:id="rId13"/>
    <sheet name="Export" sheetId="12" state="hidden" r:id="rId14"/>
  </sheets>
  <definedNames>
    <definedName function="false" hidden="true" localSheetId="4" name="_xlnm._FilterDatabase" vbProcedure="false">'Schedule A'!$A$4:$Y$145</definedName>
    <definedName function="false" hidden="true" localSheetId="5" name="_xlnm._FilterDatabase" vbProcedure="false">'Schedule B'!$A$4:$Y$333</definedName>
    <definedName function="false" hidden="false" name="DH_Head" vbProcedure="false">'Timeline Rules'!$A$40:$I$40</definedName>
    <definedName function="false" hidden="false" name="DH_Table" vbProcedure="false">'Timeline Rules'!$A$41:$I$57</definedName>
    <definedName function="false" hidden="false" name="EXPORT_TABLE" vbProcedure="false">Export!$A$1:$D$737</definedName>
    <definedName function="false" hidden="false" name="LR_Code" vbProcedure="false">'Timeline Rules'!$D$6:$D$14</definedName>
    <definedName function="false" hidden="false" name="LR_Lane" vbProcedure="false">'Timeline Rules'!$A$6:$A$14</definedName>
    <definedName function="false" hidden="false" name="LR_Target" vbProcedure="false">'Timeline Rules'!$E$6:$E$14</definedName>
    <definedName function="false" hidden="false" name="PP_contact_email" vbProcedure="false">'Provider Profile'!$B$11</definedName>
    <definedName function="false" hidden="false" name="PP_contact_name" vbProcedure="false">'Provider Profile'!$B$9</definedName>
    <definedName function="false" hidden="false" name="PP_contact_phone" vbProcedure="false">'Provider Profile'!$B$10</definedName>
    <definedName function="false" hidden="false" name="PP_currency" vbProcedure="false">'Provider Profile'!$B$16</definedName>
    <definedName function="false" hidden="false" name="PP_hq_country" vbProcedure="false">'Provider Profile'!$B$12</definedName>
    <definedName function="false" hidden="false" name="PP_name" vbProcedure="false">'Provider Profile'!$B$7</definedName>
    <definedName function="false" hidden="false" name="PP_provider_id" vbProcedure="false">'Provider Profile'!$B$6</definedName>
    <definedName function="false" hidden="false" name="PP_quote_reference" vbProcedure="false">'Provider Profile'!$B$13</definedName>
    <definedName function="false" hidden="false" name="PP_quote_valid_until" vbProcedure="false">'Provider Profile'!$B$14</definedName>
    <definedName function="false" hidden="false" name="PP_response_date" vbProcedure="false">'Provider Profile'!$B$15</definedName>
    <definedName function="false" hidden="false" name="PP_website" vbProcedure="false">'Provider Profile'!$B$8</definedName>
    <definedName function="false" hidden="false" name="RC_Band" vbProcedure="false">'Rate Card'!$C$5:$C$49</definedName>
    <definedName function="false" hidden="false" name="RC_CostPS" vbProcedure="false">'Rate Card'!$P$5:$P$49</definedName>
    <definedName function="false" hidden="false" name="RC_Disc" vbProcedure="false">'Rate Card'!$N$5:$N$49</definedName>
    <definedName function="false" hidden="false" name="RC_Lane" vbProcedure="false">'Rate Card'!$A$5:$A$49</definedName>
    <definedName function="false" hidden="false" name="RC_Transit" vbProcedure="false">'Rate Card'!$H$5:$H$49</definedName>
    <definedName function="false" hidden="false" name="RS_Flag" vbProcedure="false">'Optional Regional Stock'!$I$14:$I$22</definedName>
    <definedName function="false" hidden="false" name="RS_Lane" vbProcedure="false">'Optional Regional Stock'!$A$14:$A$22</definedName>
    <definedName function="false" hidden="false" name="RS_Loc" vbProcedure="false">'Optional Regional Stock'!$J$14:$J$22</definedName>
    <definedName function="false" hidden="false" name="RS_Rate" vbProcedure="false">'Optional Regional Stock'!$L$14:$L$22</definedName>
    <definedName function="false" hidden="false" name="RS_TotA" vbProcedure="false">'Optional Regional Stock'!$D$44</definedName>
    <definedName function="false" hidden="false" name="RS_TotB" vbProcedure="false">'Optional Regional Stock'!$E$44</definedName>
    <definedName function="false" hidden="false" name="RS_Transit" vbProcedure="false">'Optional Regional Stock'!$K$14:$K$22</definedName>
    <definedName function="false" hidden="false" name="SA_Chg" vbProcedure="false">'Schedule A'!$H$5:$H$145</definedName>
    <definedName function="false" hidden="false" name="SA_Cost" vbProcedure="false">'Schedule A'!$Y$5:$Y$145</definedName>
    <definedName function="false" hidden="false" name="SA_Date" vbProcedure="false">'Schedule A'!$J$5:$J$145</definedName>
    <definedName function="false" hidden="false" name="SA_Exp" vbProcedure="false">'Schedule A'!$Q$5:$Q$145</definedName>
    <definedName function="false" hidden="false" name="SA_From" vbProcedure="false">'Schedule A'!$U$5:$U$145</definedName>
    <definedName function="false" hidden="false" name="SA_Kg" vbProcedure="false">'Schedule A'!$F$5:$F$145</definedName>
    <definedName function="false" hidden="false" name="SA_Lane" vbProcedure="false">'Schedule A'!$B$5:$B$145</definedName>
    <definedName function="false" hidden="false" name="SA_Late" vbProcedure="false">'Schedule A'!$S$5:$S$145</definedName>
    <definedName function="false" hidden="false" name="SA_M3" vbProcedure="false">'Schedule A'!$G$5:$G$145</definedName>
    <definedName function="false" hidden="false" name="SA_Meet" vbProcedure="false">'Schedule A'!$R$5:$R$145</definedName>
    <definedName function="false" hidden="false" name="SA_Week" vbProcedure="false">'Schedule A'!$K$5:$K$145</definedName>
    <definedName function="false" hidden="false" name="SB_Chg" vbProcedure="false">'Schedule B'!$H$5:$H$333</definedName>
    <definedName function="false" hidden="false" name="SB_Cost" vbProcedure="false">'Schedule B'!$Y$5:$Y$333</definedName>
    <definedName function="false" hidden="false" name="SB_Date" vbProcedure="false">'Schedule B'!$J$5:$J$333</definedName>
    <definedName function="false" hidden="false" name="SB_Exp" vbProcedure="false">'Schedule B'!$Q$5:$Q$333</definedName>
    <definedName function="false" hidden="false" name="SB_From" vbProcedure="false">'Schedule B'!$U$5:$U$333</definedName>
    <definedName function="false" hidden="false" name="SB_Kg" vbProcedure="false">'Schedule B'!$F$5:$F$333</definedName>
    <definedName function="false" hidden="false" name="SB_Lane" vbProcedure="false">'Schedule B'!$B$5:$B$333</definedName>
    <definedName function="false" hidden="false" name="SB_Late" vbProcedure="false">'Schedule B'!$S$5:$S$333</definedName>
    <definedName function="false" hidden="false" name="SB_M3" vbProcedure="false">'Schedule B'!$G$5:$G$333</definedName>
    <definedName function="false" hidden="false" name="SB_Meet" vbProcedure="false">'Schedule B'!$R$5:$R$333</definedName>
    <definedName function="false" hidden="false" name="SB_Week" vbProcedure="false">'Schedule B'!$K$5:$K$333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<sst xmlns="http://schemas.openxmlformats.org/spreadsheetml/2006/main" count="5692" uniqueCount="2372">
  <si>
    <t xml:space="preserve">Transport Volume Scenario: Request for Quotation</t>
  </si>
  <si>
    <t xml:space="preserve">FlexiTog EU B.V., Helmond, the Netherlands. Confidential. Shared for quotation purposes only, not for onward distribution.</t>
  </si>
  <si>
    <t xml:space="preserve">Contact name and e-mail</t>
  </si>
  <si>
    <t xml:space="preserve">[fill in before sending]</t>
  </si>
  <si>
    <t xml:space="preserve">Issue date</t>
  </si>
  <si>
    <t xml:space="preserve">Response deadline</t>
  </si>
  <si>
    <t xml:space="preserve">Rate validity requested</t>
  </si>
  <si>
    <t xml:space="preserve">Purpose</t>
  </si>
  <si>
    <t xml:space="preserve">FlexiTog EU requests rates and service information for shipments to nine destination countries, from its warehouse in Helmond or from a regional hub you propose. Your answers are compared on cost, reliability and quality.</t>
  </si>
  <si>
    <t xml:space="preserve">Origin</t>
  </si>
  <si>
    <t xml:space="preserve">Two possible origins. Default: the FlexiTog EU B.V. warehouse in Helmond, the Netherlands, with collection on working days. Alternative: your own hub or warehouse in the region, if you propose one. FlexiTog then stocks products there and directs supplier deliveries to it, and you deliver to the consignees from there (see Regional stock option). Pickup address and cut-off times are confirmed after selection.</t>
  </si>
  <si>
    <t xml:space="preserve">Destinations</t>
  </si>
  <si>
    <t xml:space="preserve">Nine lanes: Saudi Arabia, United Arab Emirates, Kuwait, Qatar, Türkiye, Morocco, Algeria, Egypt, Tunisia. Deliveries go to business addresses. Main delivery cities per lane are on the Volumes sheet. Deliveries to other cities in the same country follow your standard zone or remote-area pricing.</t>
  </si>
  <si>
    <t xml:space="preserve">Goods</t>
  </si>
  <si>
    <t xml:space="preserve">Cold-store workwear (jackets, trousers, coveralls, baselayers), gloves, footwear, headwear and small accessories in cartons. Occasional crated stainless steel cabinets of around 70 kg. Non-dangerous goods, no temperature control, stackable.</t>
  </si>
  <si>
    <t xml:space="preserve">Incoterm</t>
  </si>
  <si>
    <t xml:space="preserve">DAP, named consignee address (Incoterms 2020). FlexiTog EU pays transport to the door and export clearance in the Netherlands. The consignee clears import and pays import duty and VAT. Please state whether you offer import brokerage on the consignee's account and a DDP option per country.</t>
  </si>
  <si>
    <t xml:space="preserve">Service requirement</t>
  </si>
  <si>
    <t xml:space="preserve">Target door-to-door delivery after collection, in destination working days: GCC (Saudi Arabia, UAE, Kuwait, Qatar) 48 hours, next day preferred. Türkiye and Morocco 3 days. Tunisia and Egypt 4 days. Algeria 5 days. Please state your realistic transit time per lane and weight band. If a target needs local stock, please also complete the Optional Regional Stock sheet.</t>
  </si>
  <si>
    <t xml:space="preserve">Volume scenarios</t>
  </si>
  <si>
    <t xml:space="preserve">Two annual volume levels, Scenario A and Scenario B. Please quote both. Volumes are estimates for quotation and do not form a volume commitment.</t>
  </si>
  <si>
    <t xml:space="preserve">Volume basis</t>
  </si>
  <si>
    <t xml:space="preserve">One order equals one shipment. Weights and volumes are estimates. Chargeable kg uses the 1:6000 volumetric divisor. The peak month carries 1.5 times the average month.</t>
  </si>
  <si>
    <t xml:space="preserve">What to return</t>
  </si>
  <si>
    <t xml:space="preserve">1. Provider Profile: company details, provider type, services, coverage per country and certifications.
2. Rate Card: yellow cells for every lane and weight band you serve, including normal and worst-case transit days.
3. Reliability &amp; Quality: answers in the fixed format of column E.
4. Optional Regional Stock and the optional origin columns in the schedules, if you propose another origin.
Please return this file in .xlsx format without renaming, moving or adding sheets. Only yellow cells are editable.</t>
  </si>
  <si>
    <t xml:space="preserve">Pricing rules</t>
  </si>
  <si>
    <t xml:space="preserve">All prices in EUR, excluding VAT. Rate per chargeable kg, minimum charge per shipment, fuel surcharge as a percentage of freight, and fixed fees per shipment. List every surcharge outside the Rate Card under question C2 of the Reliability &amp; Quality sheet.</t>
  </si>
  <si>
    <t xml:space="preserve">Shipment schedules</t>
  </si>
  <si>
    <t xml:space="preserve">Schedule A and Schedule B list every shipment of the year: lane, delivery city, weight band, kg, m3, cartons, order release date, planned pickup and target delivery date. Dates are indicative and follow the monthly profile on the Timeline Rules sheet.</t>
  </si>
  <si>
    <t xml:space="preserve">Timeline check</t>
  </si>
  <si>
    <t xml:space="preserve">Your transit days on the Rate Card turn into an expected delivery date per shipment, counted in destination working days. The Timeline Summary shows per lane how many shipments meet the target. Overwrite an expected date in the yellow column of a schedule where your network differs from the standard transit time.</t>
  </si>
  <si>
    <t xml:space="preserve">Origin options</t>
  </si>
  <si>
    <t xml:space="preserve">Helmond is the default origin, not a fixed one. Where shipping from another place is possible or better, please propose it: your own hub or warehouse in the region (W1 to W3), a supplier, or another hub. Set whole lanes on the Optional Regional Stock sheet, or single shipments in the yellow origin columns of the schedules, with your transit days and cost from that origin. FlexiTog then directs supplier deliveries to the right place. The schedules, Timeline Summary and Cost Overview follow the origin you choose.</t>
  </si>
  <si>
    <t xml:space="preserve">Legend</t>
  </si>
  <si>
    <t xml:space="preserve">Yellow cells: your input. White cells: FlexiTog EU data or calculations, please leave unchanged.</t>
  </si>
  <si>
    <t xml:space="preserve">Provider profile</t>
  </si>
  <si>
    <t xml:space="preserve">Please complete every yellow cell. Your company details, provider type, services, coverage per country and certifications.</t>
  </si>
  <si>
    <t xml:space="preserve">1. Company details</t>
  </si>
  <si>
    <t xml:space="preserve">Field</t>
  </si>
  <si>
    <t xml:space="preserve">Your answer</t>
  </si>
  <si>
    <t xml:space="preserve">Note</t>
  </si>
  <si>
    <t xml:space="preserve">Provider ID (filled in by FlexiTog)</t>
  </si>
  <si>
    <t xml:space="preserve">PRV-0001</t>
  </si>
  <si>
    <t xml:space="preserve">Do not change</t>
  </si>
  <si>
    <t xml:space="preserve">Company name</t>
  </si>
  <si>
    <t xml:space="preserve">Example Forwarding Co. (dummy)</t>
  </si>
  <si>
    <t xml:space="preserve">Required</t>
  </si>
  <si>
    <t xml:space="preserve">Website</t>
  </si>
  <si>
    <t xml:space="preserve">forwarder.example.com</t>
  </si>
  <si>
    <t xml:space="preserve">Contact person</t>
  </si>
  <si>
    <t xml:space="preserve">Alex Example</t>
  </si>
  <si>
    <t xml:space="preserve">Person responsible for this quote</t>
  </si>
  <si>
    <t xml:space="preserve">Contact phone</t>
  </si>
  <si>
    <t xml:space="preserve">+31 40 000 0001</t>
  </si>
  <si>
    <t xml:space="preserve">Include country code</t>
  </si>
  <si>
    <t xml:space="preserve">Contact e-mail</t>
  </si>
  <si>
    <t xml:space="preserve">alex@forwarder.example.com</t>
  </si>
  <si>
    <t xml:space="preserve">Head office country</t>
  </si>
  <si>
    <t xml:space="preserve">Netherlands</t>
  </si>
  <si>
    <t xml:space="preserve">Your quote reference</t>
  </si>
  <si>
    <t xml:space="preserve">EFC-2026-114</t>
  </si>
  <si>
    <t xml:space="preserve">Quote valid until</t>
  </si>
  <si>
    <t xml:space="preserve">Date</t>
  </si>
  <si>
    <t xml:space="preserve">Response date</t>
  </si>
  <si>
    <t xml:space="preserve">Quote currency</t>
  </si>
  <si>
    <t xml:space="preserve">EUR</t>
  </si>
  <si>
    <t xml:space="preserve">EUR, fixed</t>
  </si>
  <si>
    <t xml:space="preserve">2. Provider type (all that apply)</t>
  </si>
  <si>
    <t xml:space="preserve">Type</t>
  </si>
  <si>
    <t xml:space="preserve">Yes / No</t>
  </si>
  <si>
    <t xml:space="preserve">Freight forwarder</t>
  </si>
  <si>
    <t xml:space="preserve">Yes</t>
  </si>
  <si>
    <t xml:space="preserve">3PL / contract logistics</t>
  </si>
  <si>
    <t xml:space="preserve">No</t>
  </si>
  <si>
    <t xml:space="preserve">Carrier (own fleet)</t>
  </si>
  <si>
    <t xml:space="preserve">Courier / express</t>
  </si>
  <si>
    <t xml:space="preserve">Customs broker</t>
  </si>
  <si>
    <t xml:space="preserve">Distributor</t>
  </si>
  <si>
    <t xml:space="preserve">4PL / lead logistics provider</t>
  </si>
  <si>
    <t xml:space="preserve">3. Services offered</t>
  </si>
  <si>
    <t xml:space="preserve">Service</t>
  </si>
  <si>
    <t xml:space="preserve">Road FTL</t>
  </si>
  <si>
    <t xml:space="preserve">Road groupage (LTL)</t>
  </si>
  <si>
    <t xml:space="preserve">Sea FCL</t>
  </si>
  <si>
    <t xml:space="preserve">Sea LCL</t>
  </si>
  <si>
    <t xml:space="preserve">Air freight</t>
  </si>
  <si>
    <t xml:space="preserve">Express / courier</t>
  </si>
  <si>
    <t xml:space="preserve">Export customs clearance (NL)</t>
  </si>
  <si>
    <t xml:space="preserve">Import customs brokerage</t>
  </si>
  <si>
    <t xml:space="preserve">DDP service</t>
  </si>
  <si>
    <t xml:space="preserve">Warehousing</t>
  </si>
  <si>
    <t xml:space="preserve">Cross-docking</t>
  </si>
  <si>
    <t xml:space="preserve">Last-mile delivery</t>
  </si>
  <si>
    <t xml:space="preserve">Returns handling</t>
  </si>
  <si>
    <t xml:space="preserve">Value-added services (labelling, kitting)</t>
  </si>
  <si>
    <t xml:space="preserve">Track and trace portal</t>
  </si>
  <si>
    <t xml:space="preserve">API / EDI integration</t>
  </si>
  <si>
    <t xml:space="preserve">e-POD</t>
  </si>
  <si>
    <t xml:space="preserve">Cargo insurance</t>
  </si>
  <si>
    <t xml:space="preserve">CO2e reporting</t>
  </si>
  <si>
    <t xml:space="preserve">4. Coverage per destination</t>
  </si>
  <si>
    <t xml:space="preserve">Lane</t>
  </si>
  <si>
    <t xml:space="preserve">Country</t>
  </si>
  <si>
    <t xml:space="preserve">Region</t>
  </si>
  <si>
    <t xml:space="preserve">Presence</t>
  </si>
  <si>
    <t xml:space="preserve">Agent or partner name</t>
  </si>
  <si>
    <t xml:space="preserve">Import brokerage offered</t>
  </si>
  <si>
    <t xml:space="preserve">DDP offered</t>
  </si>
  <si>
    <t xml:space="preserve">L01</t>
  </si>
  <si>
    <t xml:space="preserve">Saudi Arabia</t>
  </si>
  <si>
    <t xml:space="preserve">Gulf/GCC</t>
  </si>
  <si>
    <t xml:space="preserve">Not served</t>
  </si>
  <si>
    <t xml:space="preserve">L02</t>
  </si>
  <si>
    <t xml:space="preserve">United Arab Emirates</t>
  </si>
  <si>
    <t xml:space="preserve">Agent</t>
  </si>
  <si>
    <t xml:space="preserve">L03</t>
  </si>
  <si>
    <t xml:space="preserve">Kuwait</t>
  </si>
  <si>
    <t xml:space="preserve">L04</t>
  </si>
  <si>
    <t xml:space="preserve">Qatar</t>
  </si>
  <si>
    <t xml:space="preserve">L05</t>
  </si>
  <si>
    <t xml:space="preserve">Türkiye</t>
  </si>
  <si>
    <t xml:space="preserve">L06</t>
  </si>
  <si>
    <t xml:space="preserve">Morocco</t>
  </si>
  <si>
    <t xml:space="preserve">North Africa</t>
  </si>
  <si>
    <t xml:space="preserve">L07</t>
  </si>
  <si>
    <t xml:space="preserve">Algeria</t>
  </si>
  <si>
    <t xml:space="preserve">L08</t>
  </si>
  <si>
    <t xml:space="preserve">Egypt</t>
  </si>
  <si>
    <t xml:space="preserve">Own entity</t>
  </si>
  <si>
    <t xml:space="preserve">L09</t>
  </si>
  <si>
    <t xml:space="preserve">Tunisia</t>
  </si>
  <si>
    <t xml:space="preserve">5. Certifications</t>
  </si>
  <si>
    <t xml:space="preserve">Certification</t>
  </si>
  <si>
    <t xml:space="preserve">ISO 9001</t>
  </si>
  <si>
    <t xml:space="preserve">ISO 14001</t>
  </si>
  <si>
    <t xml:space="preserve">ISO 45001</t>
  </si>
  <si>
    <t xml:space="preserve">AEO (authorised economic operator)</t>
  </si>
  <si>
    <t xml:space="preserve">TAPA</t>
  </si>
  <si>
    <t xml:space="preserve">IATA cargo agent</t>
  </si>
  <si>
    <t xml:space="preserve">Other certifications</t>
  </si>
  <si>
    <t xml:space="preserve">Annual volumes per lane</t>
  </si>
  <si>
    <t xml:space="preserve">Default origin: Helmond, NL. Lanes you choose to serve from your own regional hub use that hub as origin (Optional Regional Stock sheet). Estimates for quotation, not a volume commitment. Shipment-level dates are on the Schedule sheets.</t>
  </si>
  <si>
    <t xml:space="preserve">Scenario A</t>
  </si>
  <si>
    <t xml:space="preserve">Destination country</t>
  </si>
  <si>
    <t xml:space="preserve">Main delivery cities</t>
  </si>
  <si>
    <t xml:space="preserve">Annual shipments</t>
  </si>
  <si>
    <t xml:space="preserve">Gross kg</t>
  </si>
  <si>
    <t xml:space="preserve">m3</t>
  </si>
  <si>
    <t xml:space="preserve">Chargeable kg</t>
  </si>
  <si>
    <t xml:space="preserve">Avg kg per shipment</t>
  </si>
  <si>
    <t xml:space="preserve">Peak month shipments</t>
  </si>
  <si>
    <t xml:space="preserve">Jeddah, Riyadh</t>
  </si>
  <si>
    <t xml:space="preserve">Dubai</t>
  </si>
  <si>
    <t xml:space="preserve">Kuwait City</t>
  </si>
  <si>
    <t xml:space="preserve">Doha</t>
  </si>
  <si>
    <t xml:space="preserve">Istanbul</t>
  </si>
  <si>
    <t xml:space="preserve">Casablanca area, Rabat</t>
  </si>
  <si>
    <t xml:space="preserve">Algiers</t>
  </si>
  <si>
    <t xml:space="preserve">Cairo area</t>
  </si>
  <si>
    <t xml:space="preserve">Sousse</t>
  </si>
  <si>
    <t xml:space="preserve">Total</t>
  </si>
  <si>
    <t xml:space="preserve">Scenario B</t>
  </si>
  <si>
    <t xml:space="preserve">Annual shipments per weight band</t>
  </si>
  <si>
    <t xml:space="preserve">Scenario A 
B1  0 to 30 kg</t>
  </si>
  <si>
    <t xml:space="preserve">Scenario A 
B2  30 to 100 kg</t>
  </si>
  <si>
    <t xml:space="preserve">Scenario A 
B3  100 to 500 kg</t>
  </si>
  <si>
    <t xml:space="preserve">Scenario A 
B4  500 to 2,000 kg</t>
  </si>
  <si>
    <t xml:space="preserve">Scenario A 
B5  over 2,000 kg</t>
  </si>
  <si>
    <t xml:space="preserve">Scenario B 
B1  0 to 30 kg</t>
  </si>
  <si>
    <t xml:space="preserve">Scenario B 
B2  30 to 100 kg</t>
  </si>
  <si>
    <t xml:space="preserve">Scenario B 
B3  100 to 500 kg</t>
  </si>
  <si>
    <t xml:space="preserve">Scenario B 
B4  500 to 2,000 kg</t>
  </si>
  <si>
    <t xml:space="preserve">Scenario B 
B5  over 2,000 kg</t>
  </si>
  <si>
    <t xml:space="preserve">Average shipment size per weight band</t>
  </si>
  <si>
    <t xml:space="preserve">Weight band</t>
  </si>
  <si>
    <t xml:space="preserve">Avg gross kg per shipment</t>
  </si>
  <si>
    <t xml:space="preserve">Avg chargeable kg per shipment</t>
  </si>
  <si>
    <t xml:space="preserve">Expected mode</t>
  </si>
  <si>
    <t xml:space="preserve">B1  0 to 30 kg</t>
  </si>
  <si>
    <t xml:space="preserve">Express parcel</t>
  </si>
  <si>
    <t xml:space="preserve">B2  30 to 100 kg</t>
  </si>
  <si>
    <t xml:space="preserve">Express heavy or air</t>
  </si>
  <si>
    <t xml:space="preserve">B3  100 to 500 kg</t>
  </si>
  <si>
    <t xml:space="preserve">B4  500 to 2,000 kg</t>
  </si>
  <si>
    <t xml:space="preserve">Air or groupage road/sea</t>
  </si>
  <si>
    <t xml:space="preserve">B5  over 2,000 kg</t>
  </si>
  <si>
    <t xml:space="preserve">FTL road or sea FCL/LCL</t>
  </si>
  <si>
    <t xml:space="preserve">Timeline rules behind the shipment schedules</t>
  </si>
  <si>
    <t xml:space="preserve">Holiday dates for Islamic holidays are estimates and depend on moon sighting. Please correct any date you know to be different.</t>
  </si>
  <si>
    <t xml:space="preserve">Lane rules</t>
  </si>
  <si>
    <t xml:space="preserve">Monthly order profile (share of annual shipments)</t>
  </si>
  <si>
    <t xml:space="preserve">Destination</t>
  </si>
  <si>
    <t xml:space="preserve">Destination weekend</t>
  </si>
  <si>
    <t xml:space="preserve">Weekend code (Excel)</t>
  </si>
  <si>
    <t xml:space="preserve">Target delivery (working days after pickup)</t>
  </si>
  <si>
    <t xml:space="preserve">Target</t>
  </si>
  <si>
    <t xml:space="preserve">Month</t>
  </si>
  <si>
    <t xml:space="preserve">Weight (1.0 = average month)</t>
  </si>
  <si>
    <t xml:space="preserve">Reason</t>
  </si>
  <si>
    <t xml:space="preserve">Fri-Sat</t>
  </si>
  <si>
    <t xml:space="preserve">48 hours, next day preferred</t>
  </si>
  <si>
    <t xml:space="preserve">Normal month</t>
  </si>
  <si>
    <t xml:space="preserve">Sat-Sun</t>
  </si>
  <si>
    <t xml:space="preserve">Ramadan starts (est. 8 Feb)</t>
  </si>
  <si>
    <t xml:space="preserve">Ramadan and Eid al-Fitr (est. 9 to 11 Mar)</t>
  </si>
  <si>
    <t xml:space="preserve">Post-Ramadan restocking</t>
  </si>
  <si>
    <t xml:space="preserve">3 working days</t>
  </si>
  <si>
    <t xml:space="preserve">Eid al-Adha (est. 15 to 18 May)</t>
  </si>
  <si>
    <t xml:space="preserve">5 working days</t>
  </si>
  <si>
    <t xml:space="preserve">Summer slowdown, GCC heat season</t>
  </si>
  <si>
    <t xml:space="preserve">4 working days</t>
  </si>
  <si>
    <t xml:space="preserve">Summer slowdown, European holidays</t>
  </si>
  <si>
    <t xml:space="preserve">Season start, restocking</t>
  </si>
  <si>
    <t xml:space="preserve">GCC: priority market, next day preferred. Türkiye and Morocco: short routes, road or air. Tunisia and Egypt: longer clearance. Algeria: strictest import controls.</t>
  </si>
  <si>
    <t xml:space="preserve">Peak month</t>
  </si>
  <si>
    <t xml:space="preserve">Order and pickup rules</t>
  </si>
  <si>
    <t xml:space="preserve">Pre year-end orders</t>
  </si>
  <si>
    <t xml:space="preserve">Order release</t>
  </si>
  <si>
    <t xml:space="preserve">Orders are released on Helmond working days (Monday to Friday, excluding the Dutch holidays below).</t>
  </si>
  <si>
    <t xml:space="preserve">Year-end holidays</t>
  </si>
  <si>
    <t xml:space="preserve">Planned pickup</t>
  </si>
  <si>
    <t xml:space="preserve">Same day as order release. Assumes release before your pickup cut-off. Please state your cut-off in question R3.</t>
  </si>
  <si>
    <t xml:space="preserve">Average</t>
  </si>
  <si>
    <t xml:space="preserve">Target delivery date</t>
  </si>
  <si>
    <t xml:space="preserve">Pickup date plus the target working days, counted in destination working days (skipping the destination weekend and holidays).</t>
  </si>
  <si>
    <t xml:space="preserve">Expected delivery date</t>
  </si>
  <si>
    <t xml:space="preserve">Pickup date plus your quoted transit days from the Rate Card, counted the same way. Overwrite per shipment in the yellow column where you know better.</t>
  </si>
  <si>
    <t xml:space="preserve">Weights</t>
  </si>
  <si>
    <t xml:space="preserve">Gross kg per shipment is an estimate. m3 = gross kg x 0.00648. Chargeable kg = gross kg x 1.0794 (1:6000 rule).</t>
  </si>
  <si>
    <t xml:space="preserve">Cartons</t>
  </si>
  <si>
    <t xml:space="preserve">Estimated with a 60 x 40 x 40 cm carton (0.096 m3).</t>
  </si>
  <si>
    <t xml:space="preserve">Helmond non-working days</t>
  </si>
  <si>
    <t xml:space="preserve">Holiday</t>
  </si>
  <si>
    <t xml:space="preserve">New Year's Day</t>
  </si>
  <si>
    <t xml:space="preserve">Easter Monday</t>
  </si>
  <si>
    <t xml:space="preserve">King's Day</t>
  </si>
  <si>
    <t xml:space="preserve">Ascension Day</t>
  </si>
  <si>
    <t xml:space="preserve">Whit Monday</t>
  </si>
  <si>
    <t xml:space="preserve">Destination non-delivery days (indicative, one column per lane)</t>
  </si>
  <si>
    <t xml:space="preserve">L01 Saudi Arabia</t>
  </si>
  <si>
    <t xml:space="preserve">L02 United Arab Emirates</t>
  </si>
  <si>
    <t xml:space="preserve">L03 Kuwait</t>
  </si>
  <si>
    <t xml:space="preserve">L04 Qatar</t>
  </si>
  <si>
    <t xml:space="preserve">L05 Türkiye</t>
  </si>
  <si>
    <t xml:space="preserve">L06 Morocco</t>
  </si>
  <si>
    <t xml:space="preserve">L07 Algeria</t>
  </si>
  <si>
    <t xml:space="preserve">L08 Egypt</t>
  </si>
  <si>
    <t xml:space="preserve">L09 Tunisia</t>
  </si>
  <si>
    <t xml:space="preserve">Covers Eid al-Fitr (est. 9 to 11 Mar), Arafah and Eid al-Adha (est. 15 to 18 May), Islamic New Year, the Prophet's Birthday where observed, and fixed national days.</t>
  </si>
  <si>
    <t xml:space="preserve">Scenario A: shipment schedule</t>
  </si>
  <si>
    <t xml:space="preserve">One row per shipment. Default origin is Helmond. Where another origin is possible or better (your hub W1 to W3, a supplier, another hub), set it per shipment in the yellow origin columns. Expected delivery and shipment cost then follow that origin.</t>
  </si>
  <si>
    <t xml:space="preserve">Shipment ID</t>
  </si>
  <si>
    <t xml:space="preserve">Delivery city</t>
  </si>
  <si>
    <t xml:space="preserve">m3 (est.)</t>
  </si>
  <si>
    <t xml:space="preserve">Cartons (est.)</t>
  </si>
  <si>
    <t xml:space="preserve">Order release date</t>
  </si>
  <si>
    <t xml:space="preserve">Week starting</t>
  </si>
  <si>
    <t xml:space="preserve">Target (working days)</t>
  </si>
  <si>
    <t xml:space="preserve">Quoted transit days</t>
  </si>
  <si>
    <t xml:space="preserve">Your expected delivery date (optional)</t>
  </si>
  <si>
    <t xml:space="preserve">Meets target</t>
  </si>
  <si>
    <t xml:space="preserve">Days late</t>
  </si>
  <si>
    <t xml:space="preserve">Comment</t>
  </si>
  <si>
    <t xml:space="preserve">Ships from</t>
  </si>
  <si>
    <t xml:space="preserve">Proposed origin (optional)</t>
  </si>
  <si>
    <t xml:space="preserve">Transit days from proposed origin (optional)</t>
  </si>
  <si>
    <t xml:space="preserve">Cost per shipment from proposed origin (EUR, optional)</t>
  </si>
  <si>
    <t xml:space="preserve">Shipment cost (EUR)</t>
  </si>
  <si>
    <t xml:space="preserve">A-001</t>
  </si>
  <si>
    <t xml:space="preserve">A-002</t>
  </si>
  <si>
    <t xml:space="preserve">Riyadh</t>
  </si>
  <si>
    <t xml:space="preserve">A-003</t>
  </si>
  <si>
    <t xml:space="preserve">Jeddah</t>
  </si>
  <si>
    <t xml:space="preserve">A-004</t>
  </si>
  <si>
    <t xml:space="preserve">A-005</t>
  </si>
  <si>
    <t xml:space="preserve">A-006</t>
  </si>
  <si>
    <t xml:space="preserve">A-007</t>
  </si>
  <si>
    <t xml:space="preserve">A-008</t>
  </si>
  <si>
    <t xml:space="preserve">Casablanca area</t>
  </si>
  <si>
    <t xml:space="preserve">A-009</t>
  </si>
  <si>
    <t xml:space="preserve">A-010</t>
  </si>
  <si>
    <t xml:space="preserve">A-011</t>
  </si>
  <si>
    <t xml:space="preserve">A-012</t>
  </si>
  <si>
    <t xml:space="preserve">A-013</t>
  </si>
  <si>
    <t xml:space="preserve">A-014</t>
  </si>
  <si>
    <t xml:space="preserve">A-015</t>
  </si>
  <si>
    <t xml:space="preserve">A-016</t>
  </si>
  <si>
    <t xml:space="preserve">Rabat</t>
  </si>
  <si>
    <t xml:space="preserve">A-017</t>
  </si>
  <si>
    <t xml:space="preserve">A-018</t>
  </si>
  <si>
    <t xml:space="preserve">A-019</t>
  </si>
  <si>
    <t xml:space="preserve">A-020</t>
  </si>
  <si>
    <t xml:space="preserve">A-021</t>
  </si>
  <si>
    <t xml:space="preserve">A-022</t>
  </si>
  <si>
    <t xml:space="preserve">A-023</t>
  </si>
  <si>
    <t xml:space="preserve">A-024</t>
  </si>
  <si>
    <t xml:space="preserve">A-025</t>
  </si>
  <si>
    <t xml:space="preserve">A-026</t>
  </si>
  <si>
    <t xml:space="preserve">A-027</t>
  </si>
  <si>
    <t xml:space="preserve">A-028</t>
  </si>
  <si>
    <t xml:space="preserve">A-029</t>
  </si>
  <si>
    <t xml:space="preserve">A-030</t>
  </si>
  <si>
    <t xml:space="preserve">A-031</t>
  </si>
  <si>
    <t xml:space="preserve">A-032</t>
  </si>
  <si>
    <t xml:space="preserve">A-033</t>
  </si>
  <si>
    <t xml:space="preserve">A-034</t>
  </si>
  <si>
    <t xml:space="preserve">A-035</t>
  </si>
  <si>
    <t xml:space="preserve">A-036</t>
  </si>
  <si>
    <t xml:space="preserve">A-037</t>
  </si>
  <si>
    <t xml:space="preserve">A-038</t>
  </si>
  <si>
    <t xml:space="preserve">A-039</t>
  </si>
  <si>
    <t xml:space="preserve">A-040</t>
  </si>
  <si>
    <t xml:space="preserve">A-041</t>
  </si>
  <si>
    <t xml:space="preserve">A-042</t>
  </si>
  <si>
    <t xml:space="preserve">A-043</t>
  </si>
  <si>
    <t xml:space="preserve">A-044</t>
  </si>
  <si>
    <t xml:space="preserve">A-045</t>
  </si>
  <si>
    <t xml:space="preserve">A-046</t>
  </si>
  <si>
    <t xml:space="preserve">A-047</t>
  </si>
  <si>
    <t xml:space="preserve">A-048</t>
  </si>
  <si>
    <t xml:space="preserve">A-049</t>
  </si>
  <si>
    <t xml:space="preserve">A-050</t>
  </si>
  <si>
    <t xml:space="preserve">A-051</t>
  </si>
  <si>
    <t xml:space="preserve">A-052</t>
  </si>
  <si>
    <t xml:space="preserve">A-053</t>
  </si>
  <si>
    <t xml:space="preserve">A-054</t>
  </si>
  <si>
    <t xml:space="preserve">A-055</t>
  </si>
  <si>
    <t xml:space="preserve">A-056</t>
  </si>
  <si>
    <t xml:space="preserve">A-057</t>
  </si>
  <si>
    <t xml:space="preserve">A-058</t>
  </si>
  <si>
    <t xml:space="preserve">A-059</t>
  </si>
  <si>
    <t xml:space="preserve">A-060</t>
  </si>
  <si>
    <t xml:space="preserve">A-061</t>
  </si>
  <si>
    <t xml:space="preserve">A-062</t>
  </si>
  <si>
    <t xml:space="preserve">A-063</t>
  </si>
  <si>
    <t xml:space="preserve">A-064</t>
  </si>
  <si>
    <t xml:space="preserve">A-065</t>
  </si>
  <si>
    <t xml:space="preserve">A-066</t>
  </si>
  <si>
    <t xml:space="preserve">A-067</t>
  </si>
  <si>
    <t xml:space="preserve">A-068</t>
  </si>
  <si>
    <t xml:space="preserve">A-069</t>
  </si>
  <si>
    <t xml:space="preserve">A-070</t>
  </si>
  <si>
    <t xml:space="preserve">A-071</t>
  </si>
  <si>
    <t xml:space="preserve">A-072</t>
  </si>
  <si>
    <t xml:space="preserve">A-073</t>
  </si>
  <si>
    <t xml:space="preserve">A-074</t>
  </si>
  <si>
    <t xml:space="preserve">A-075</t>
  </si>
  <si>
    <t xml:space="preserve">A-076</t>
  </si>
  <si>
    <t xml:space="preserve">A-077</t>
  </si>
  <si>
    <t xml:space="preserve">A-078</t>
  </si>
  <si>
    <t xml:space="preserve">A-079</t>
  </si>
  <si>
    <t xml:space="preserve">A-080</t>
  </si>
  <si>
    <t xml:space="preserve">A-081</t>
  </si>
  <si>
    <t xml:space="preserve">A-082</t>
  </si>
  <si>
    <t xml:space="preserve">A-083</t>
  </si>
  <si>
    <t xml:space="preserve">A-084</t>
  </si>
  <si>
    <t xml:space="preserve">A-085</t>
  </si>
  <si>
    <t xml:space="preserve">A-086</t>
  </si>
  <si>
    <t xml:space="preserve">A-087</t>
  </si>
  <si>
    <t xml:space="preserve">A-088</t>
  </si>
  <si>
    <t xml:space="preserve">A-089</t>
  </si>
  <si>
    <t xml:space="preserve">A-090</t>
  </si>
  <si>
    <t xml:space="preserve">A-091</t>
  </si>
  <si>
    <t xml:space="preserve">A-092</t>
  </si>
  <si>
    <t xml:space="preserve">A-093</t>
  </si>
  <si>
    <t xml:space="preserve">A-094</t>
  </si>
  <si>
    <t xml:space="preserve">A-095</t>
  </si>
  <si>
    <t xml:space="preserve">A-096</t>
  </si>
  <si>
    <t xml:space="preserve">A-097</t>
  </si>
  <si>
    <t xml:space="preserve">A-098</t>
  </si>
  <si>
    <t xml:space="preserve">A-099</t>
  </si>
  <si>
    <t xml:space="preserve">A-100</t>
  </si>
  <si>
    <t xml:space="preserve">A-101</t>
  </si>
  <si>
    <t xml:space="preserve">A-102</t>
  </si>
  <si>
    <t xml:space="preserve">A-103</t>
  </si>
  <si>
    <t xml:space="preserve">A-104</t>
  </si>
  <si>
    <t xml:space="preserve">A-105</t>
  </si>
  <si>
    <t xml:space="preserve">A-106</t>
  </si>
  <si>
    <t xml:space="preserve">A-107</t>
  </si>
  <si>
    <t xml:space="preserve">A-108</t>
  </si>
  <si>
    <t xml:space="preserve">A-109</t>
  </si>
  <si>
    <t xml:space="preserve">A-110</t>
  </si>
  <si>
    <t xml:space="preserve">A-111</t>
  </si>
  <si>
    <t xml:space="preserve">A-112</t>
  </si>
  <si>
    <t xml:space="preserve">A-113</t>
  </si>
  <si>
    <t xml:space="preserve">A-114</t>
  </si>
  <si>
    <t xml:space="preserve">A-115</t>
  </si>
  <si>
    <t xml:space="preserve">A-116</t>
  </si>
  <si>
    <t xml:space="preserve">A-117</t>
  </si>
  <si>
    <t xml:space="preserve">A-118</t>
  </si>
  <si>
    <t xml:space="preserve">A-119</t>
  </si>
  <si>
    <t xml:space="preserve">A-120</t>
  </si>
  <si>
    <t xml:space="preserve">A-121</t>
  </si>
  <si>
    <t xml:space="preserve">A-122</t>
  </si>
  <si>
    <t xml:space="preserve">A-123</t>
  </si>
  <si>
    <t xml:space="preserve">A-124</t>
  </si>
  <si>
    <t xml:space="preserve">A-125</t>
  </si>
  <si>
    <t xml:space="preserve">A-126</t>
  </si>
  <si>
    <t xml:space="preserve">A-127</t>
  </si>
  <si>
    <t xml:space="preserve">A-128</t>
  </si>
  <si>
    <t xml:space="preserve">A-129</t>
  </si>
  <si>
    <t xml:space="preserve">A-130</t>
  </si>
  <si>
    <t xml:space="preserve">A-131</t>
  </si>
  <si>
    <t xml:space="preserve">A-132</t>
  </si>
  <si>
    <t xml:space="preserve">A-133</t>
  </si>
  <si>
    <t xml:space="preserve">A-134</t>
  </si>
  <si>
    <t xml:space="preserve">A-135</t>
  </si>
  <si>
    <t xml:space="preserve">A-136</t>
  </si>
  <si>
    <t xml:space="preserve">A-137</t>
  </si>
  <si>
    <t xml:space="preserve">A-138</t>
  </si>
  <si>
    <t xml:space="preserve">A-139</t>
  </si>
  <si>
    <t xml:space="preserve">A-140</t>
  </si>
  <si>
    <t xml:space="preserve">A-141</t>
  </si>
  <si>
    <t xml:space="preserve">Scenario B: shipment schedule</t>
  </si>
  <si>
    <t xml:space="preserve">B-001</t>
  </si>
  <si>
    <t xml:space="preserve">B-002</t>
  </si>
  <si>
    <t xml:space="preserve">B-003</t>
  </si>
  <si>
    <t xml:space="preserve">B-004</t>
  </si>
  <si>
    <t xml:space="preserve">B-005</t>
  </si>
  <si>
    <t xml:space="preserve">B-006</t>
  </si>
  <si>
    <t xml:space="preserve">B-007</t>
  </si>
  <si>
    <t xml:space="preserve">B-008</t>
  </si>
  <si>
    <t xml:space="preserve">B-009</t>
  </si>
  <si>
    <t xml:space="preserve">B-010</t>
  </si>
  <si>
    <t xml:space="preserve">B-011</t>
  </si>
  <si>
    <t xml:space="preserve">B-012</t>
  </si>
  <si>
    <t xml:space="preserve">B-013</t>
  </si>
  <si>
    <t xml:space="preserve">B-014</t>
  </si>
  <si>
    <t xml:space="preserve">B-015</t>
  </si>
  <si>
    <t xml:space="preserve">B-016</t>
  </si>
  <si>
    <t xml:space="preserve">B-017</t>
  </si>
  <si>
    <t xml:space="preserve">B-018</t>
  </si>
  <si>
    <t xml:space="preserve">B-019</t>
  </si>
  <si>
    <t xml:space="preserve">B-020</t>
  </si>
  <si>
    <t xml:space="preserve">B-021</t>
  </si>
  <si>
    <t xml:space="preserve">B-022</t>
  </si>
  <si>
    <t xml:space="preserve">B-023</t>
  </si>
  <si>
    <t xml:space="preserve">B-024</t>
  </si>
  <si>
    <t xml:space="preserve">B-025</t>
  </si>
  <si>
    <t xml:space="preserve">B-026</t>
  </si>
  <si>
    <t xml:space="preserve">B-027</t>
  </si>
  <si>
    <t xml:space="preserve">B-028</t>
  </si>
  <si>
    <t xml:space="preserve">B-029</t>
  </si>
  <si>
    <t xml:space="preserve">B-030</t>
  </si>
  <si>
    <t xml:space="preserve">B-031</t>
  </si>
  <si>
    <t xml:space="preserve">B-032</t>
  </si>
  <si>
    <t xml:space="preserve">B-033</t>
  </si>
  <si>
    <t xml:space="preserve">B-034</t>
  </si>
  <si>
    <t xml:space="preserve">B-035</t>
  </si>
  <si>
    <t xml:space="preserve">B-036</t>
  </si>
  <si>
    <t xml:space="preserve">B-037</t>
  </si>
  <si>
    <t xml:space="preserve">B-038</t>
  </si>
  <si>
    <t xml:space="preserve">B-039</t>
  </si>
  <si>
    <t xml:space="preserve">B-040</t>
  </si>
  <si>
    <t xml:space="preserve">B-041</t>
  </si>
  <si>
    <t xml:space="preserve">B-042</t>
  </si>
  <si>
    <t xml:space="preserve">B-043</t>
  </si>
  <si>
    <t xml:space="preserve">B-044</t>
  </si>
  <si>
    <t xml:space="preserve">B-045</t>
  </si>
  <si>
    <t xml:space="preserve">B-046</t>
  </si>
  <si>
    <t xml:space="preserve">B-047</t>
  </si>
  <si>
    <t xml:space="preserve">B-048</t>
  </si>
  <si>
    <t xml:space="preserve">B-049</t>
  </si>
  <si>
    <t xml:space="preserve">B-050</t>
  </si>
  <si>
    <t xml:space="preserve">B-051</t>
  </si>
  <si>
    <t xml:space="preserve">B-052</t>
  </si>
  <si>
    <t xml:space="preserve">B-053</t>
  </si>
  <si>
    <t xml:space="preserve">B-054</t>
  </si>
  <si>
    <t xml:space="preserve">B-055</t>
  </si>
  <si>
    <t xml:space="preserve">B-056</t>
  </si>
  <si>
    <t xml:space="preserve">B-057</t>
  </si>
  <si>
    <t xml:space="preserve">B-058</t>
  </si>
  <si>
    <t xml:space="preserve">B-059</t>
  </si>
  <si>
    <t xml:space="preserve">B-060</t>
  </si>
  <si>
    <t xml:space="preserve">B-061</t>
  </si>
  <si>
    <t xml:space="preserve">B-062</t>
  </si>
  <si>
    <t xml:space="preserve">B-063</t>
  </si>
  <si>
    <t xml:space="preserve">B-064</t>
  </si>
  <si>
    <t xml:space="preserve">B-065</t>
  </si>
  <si>
    <t xml:space="preserve">B-066</t>
  </si>
  <si>
    <t xml:space="preserve">B-067</t>
  </si>
  <si>
    <t xml:space="preserve">B-068</t>
  </si>
  <si>
    <t xml:space="preserve">B-069</t>
  </si>
  <si>
    <t xml:space="preserve">B-070</t>
  </si>
  <si>
    <t xml:space="preserve">B-071</t>
  </si>
  <si>
    <t xml:space="preserve">B-072</t>
  </si>
  <si>
    <t xml:space="preserve">B-073</t>
  </si>
  <si>
    <t xml:space="preserve">B-074</t>
  </si>
  <si>
    <t xml:space="preserve">B-075</t>
  </si>
  <si>
    <t xml:space="preserve">B-076</t>
  </si>
  <si>
    <t xml:space="preserve">B-077</t>
  </si>
  <si>
    <t xml:space="preserve">B-078</t>
  </si>
  <si>
    <t xml:space="preserve">B-079</t>
  </si>
  <si>
    <t xml:space="preserve">B-080</t>
  </si>
  <si>
    <t xml:space="preserve">B-081</t>
  </si>
  <si>
    <t xml:space="preserve">B-082</t>
  </si>
  <si>
    <t xml:space="preserve">B-083</t>
  </si>
  <si>
    <t xml:space="preserve">B-084</t>
  </si>
  <si>
    <t xml:space="preserve">B-085</t>
  </si>
  <si>
    <t xml:space="preserve">B-086</t>
  </si>
  <si>
    <t xml:space="preserve">B-087</t>
  </si>
  <si>
    <t xml:space="preserve">B-088</t>
  </si>
  <si>
    <t xml:space="preserve">B-089</t>
  </si>
  <si>
    <t xml:space="preserve">B-090</t>
  </si>
  <si>
    <t xml:space="preserve">B-091</t>
  </si>
  <si>
    <t xml:space="preserve">B-092</t>
  </si>
  <si>
    <t xml:space="preserve">B-093</t>
  </si>
  <si>
    <t xml:space="preserve">B-094</t>
  </si>
  <si>
    <t xml:space="preserve">B-095</t>
  </si>
  <si>
    <t xml:space="preserve">B-096</t>
  </si>
  <si>
    <t xml:space="preserve">B-097</t>
  </si>
  <si>
    <t xml:space="preserve">B-098</t>
  </si>
  <si>
    <t xml:space="preserve">B-099</t>
  </si>
  <si>
    <t xml:space="preserve">B-100</t>
  </si>
  <si>
    <t xml:space="preserve">B-101</t>
  </si>
  <si>
    <t xml:space="preserve">B-102</t>
  </si>
  <si>
    <t xml:space="preserve">B-103</t>
  </si>
  <si>
    <t xml:space="preserve">B-104</t>
  </si>
  <si>
    <t xml:space="preserve">B-105</t>
  </si>
  <si>
    <t xml:space="preserve">B-106</t>
  </si>
  <si>
    <t xml:space="preserve">B-107</t>
  </si>
  <si>
    <t xml:space="preserve">B-108</t>
  </si>
  <si>
    <t xml:space="preserve">B-109</t>
  </si>
  <si>
    <t xml:space="preserve">B-110</t>
  </si>
  <si>
    <t xml:space="preserve">B-111</t>
  </si>
  <si>
    <t xml:space="preserve">B-112</t>
  </si>
  <si>
    <t xml:space="preserve">B-113</t>
  </si>
  <si>
    <t xml:space="preserve">B-114</t>
  </si>
  <si>
    <t xml:space="preserve">B-115</t>
  </si>
  <si>
    <t xml:space="preserve">B-116</t>
  </si>
  <si>
    <t xml:space="preserve">B-117</t>
  </si>
  <si>
    <t xml:space="preserve">B-118</t>
  </si>
  <si>
    <t xml:space="preserve">B-119</t>
  </si>
  <si>
    <t xml:space="preserve">B-120</t>
  </si>
  <si>
    <t xml:space="preserve">B-121</t>
  </si>
  <si>
    <t xml:space="preserve">B-122</t>
  </si>
  <si>
    <t xml:space="preserve">B-123</t>
  </si>
  <si>
    <t xml:space="preserve">B-124</t>
  </si>
  <si>
    <t xml:space="preserve">B-125</t>
  </si>
  <si>
    <t xml:space="preserve">B-126</t>
  </si>
  <si>
    <t xml:space="preserve">B-127</t>
  </si>
  <si>
    <t xml:space="preserve">B-128</t>
  </si>
  <si>
    <t xml:space="preserve">B-129</t>
  </si>
  <si>
    <t xml:space="preserve">B-130</t>
  </si>
  <si>
    <t xml:space="preserve">B-131</t>
  </si>
  <si>
    <t xml:space="preserve">B-132</t>
  </si>
  <si>
    <t xml:space="preserve">B-133</t>
  </si>
  <si>
    <t xml:space="preserve">B-134</t>
  </si>
  <si>
    <t xml:space="preserve">B-135</t>
  </si>
  <si>
    <t xml:space="preserve">B-136</t>
  </si>
  <si>
    <t xml:space="preserve">B-137</t>
  </si>
  <si>
    <t xml:space="preserve">B-138</t>
  </si>
  <si>
    <t xml:space="preserve">B-139</t>
  </si>
  <si>
    <t xml:space="preserve">B-140</t>
  </si>
  <si>
    <t xml:space="preserve">B-141</t>
  </si>
  <si>
    <t xml:space="preserve">B-142</t>
  </si>
  <si>
    <t xml:space="preserve">B-143</t>
  </si>
  <si>
    <t xml:space="preserve">B-144</t>
  </si>
  <si>
    <t xml:space="preserve">B-145</t>
  </si>
  <si>
    <t xml:space="preserve">B-146</t>
  </si>
  <si>
    <t xml:space="preserve">B-147</t>
  </si>
  <si>
    <t xml:space="preserve">B-148</t>
  </si>
  <si>
    <t xml:space="preserve">B-149</t>
  </si>
  <si>
    <t xml:space="preserve">B-150</t>
  </si>
  <si>
    <t xml:space="preserve">B-151</t>
  </si>
  <si>
    <t xml:space="preserve">B-152</t>
  </si>
  <si>
    <t xml:space="preserve">B-153</t>
  </si>
  <si>
    <t xml:space="preserve">B-154</t>
  </si>
  <si>
    <t xml:space="preserve">B-155</t>
  </si>
  <si>
    <t xml:space="preserve">B-156</t>
  </si>
  <si>
    <t xml:space="preserve">B-157</t>
  </si>
  <si>
    <t xml:space="preserve">B-158</t>
  </si>
  <si>
    <t xml:space="preserve">B-159</t>
  </si>
  <si>
    <t xml:space="preserve">B-160</t>
  </si>
  <si>
    <t xml:space="preserve">B-161</t>
  </si>
  <si>
    <t xml:space="preserve">B-162</t>
  </si>
  <si>
    <t xml:space="preserve">B-163</t>
  </si>
  <si>
    <t xml:space="preserve">B-164</t>
  </si>
  <si>
    <t xml:space="preserve">B-165</t>
  </si>
  <si>
    <t xml:space="preserve">B-166</t>
  </si>
  <si>
    <t xml:space="preserve">B-167</t>
  </si>
  <si>
    <t xml:space="preserve">B-168</t>
  </si>
  <si>
    <t xml:space="preserve">B-169</t>
  </si>
  <si>
    <t xml:space="preserve">B-170</t>
  </si>
  <si>
    <t xml:space="preserve">B-171</t>
  </si>
  <si>
    <t xml:space="preserve">B-172</t>
  </si>
  <si>
    <t xml:space="preserve">B-173</t>
  </si>
  <si>
    <t xml:space="preserve">B-174</t>
  </si>
  <si>
    <t xml:space="preserve">B-175</t>
  </si>
  <si>
    <t xml:space="preserve">B-176</t>
  </si>
  <si>
    <t xml:space="preserve">B-177</t>
  </si>
  <si>
    <t xml:space="preserve">B-178</t>
  </si>
  <si>
    <t xml:space="preserve">B-179</t>
  </si>
  <si>
    <t xml:space="preserve">B-180</t>
  </si>
  <si>
    <t xml:space="preserve">B-181</t>
  </si>
  <si>
    <t xml:space="preserve">B-182</t>
  </si>
  <si>
    <t xml:space="preserve">B-183</t>
  </si>
  <si>
    <t xml:space="preserve">B-184</t>
  </si>
  <si>
    <t xml:space="preserve">B-185</t>
  </si>
  <si>
    <t xml:space="preserve">B-186</t>
  </si>
  <si>
    <t xml:space="preserve">B-187</t>
  </si>
  <si>
    <t xml:space="preserve">B-188</t>
  </si>
  <si>
    <t xml:space="preserve">B-189</t>
  </si>
  <si>
    <t xml:space="preserve">B-190</t>
  </si>
  <si>
    <t xml:space="preserve">B-191</t>
  </si>
  <si>
    <t xml:space="preserve">B-192</t>
  </si>
  <si>
    <t xml:space="preserve">B-193</t>
  </si>
  <si>
    <t xml:space="preserve">B-194</t>
  </si>
  <si>
    <t xml:space="preserve">B-195</t>
  </si>
  <si>
    <t xml:space="preserve">B-196</t>
  </si>
  <si>
    <t xml:space="preserve">B-197</t>
  </si>
  <si>
    <t xml:space="preserve">B-198</t>
  </si>
  <si>
    <t xml:space="preserve">B-199</t>
  </si>
  <si>
    <t xml:space="preserve">B-200</t>
  </si>
  <si>
    <t xml:space="preserve">B-201</t>
  </si>
  <si>
    <t xml:space="preserve">B-202</t>
  </si>
  <si>
    <t xml:space="preserve">B-203</t>
  </si>
  <si>
    <t xml:space="preserve">B-204</t>
  </si>
  <si>
    <t xml:space="preserve">B-205</t>
  </si>
  <si>
    <t xml:space="preserve">B-206</t>
  </si>
  <si>
    <t xml:space="preserve">B-207</t>
  </si>
  <si>
    <t xml:space="preserve">B-208</t>
  </si>
  <si>
    <t xml:space="preserve">B-209</t>
  </si>
  <si>
    <t xml:space="preserve">B-210</t>
  </si>
  <si>
    <t xml:space="preserve">B-211</t>
  </si>
  <si>
    <t xml:space="preserve">B-212</t>
  </si>
  <si>
    <t xml:space="preserve">B-213</t>
  </si>
  <si>
    <t xml:space="preserve">B-214</t>
  </si>
  <si>
    <t xml:space="preserve">B-215</t>
  </si>
  <si>
    <t xml:space="preserve">B-216</t>
  </si>
  <si>
    <t xml:space="preserve">B-217</t>
  </si>
  <si>
    <t xml:space="preserve">B-218</t>
  </si>
  <si>
    <t xml:space="preserve">B-219</t>
  </si>
  <si>
    <t xml:space="preserve">B-220</t>
  </si>
  <si>
    <t xml:space="preserve">B-221</t>
  </si>
  <si>
    <t xml:space="preserve">B-222</t>
  </si>
  <si>
    <t xml:space="preserve">B-223</t>
  </si>
  <si>
    <t xml:space="preserve">B-224</t>
  </si>
  <si>
    <t xml:space="preserve">B-225</t>
  </si>
  <si>
    <t xml:space="preserve">B-226</t>
  </si>
  <si>
    <t xml:space="preserve">B-227</t>
  </si>
  <si>
    <t xml:space="preserve">B-228</t>
  </si>
  <si>
    <t xml:space="preserve">B-229</t>
  </si>
  <si>
    <t xml:space="preserve">B-230</t>
  </si>
  <si>
    <t xml:space="preserve">B-231</t>
  </si>
  <si>
    <t xml:space="preserve">B-232</t>
  </si>
  <si>
    <t xml:space="preserve">B-233</t>
  </si>
  <si>
    <t xml:space="preserve">B-234</t>
  </si>
  <si>
    <t xml:space="preserve">B-235</t>
  </si>
  <si>
    <t xml:space="preserve">B-236</t>
  </si>
  <si>
    <t xml:space="preserve">B-237</t>
  </si>
  <si>
    <t xml:space="preserve">B-238</t>
  </si>
  <si>
    <t xml:space="preserve">B-239</t>
  </si>
  <si>
    <t xml:space="preserve">B-240</t>
  </si>
  <si>
    <t xml:space="preserve">B-241</t>
  </si>
  <si>
    <t xml:space="preserve">B-242</t>
  </si>
  <si>
    <t xml:space="preserve">B-243</t>
  </si>
  <si>
    <t xml:space="preserve">B-244</t>
  </si>
  <si>
    <t xml:space="preserve">B-245</t>
  </si>
  <si>
    <t xml:space="preserve">B-246</t>
  </si>
  <si>
    <t xml:space="preserve">B-247</t>
  </si>
  <si>
    <t xml:space="preserve">B-248</t>
  </si>
  <si>
    <t xml:space="preserve">B-249</t>
  </si>
  <si>
    <t xml:space="preserve">B-250</t>
  </si>
  <si>
    <t xml:space="preserve">B-251</t>
  </si>
  <si>
    <t xml:space="preserve">B-252</t>
  </si>
  <si>
    <t xml:space="preserve">B-253</t>
  </si>
  <si>
    <t xml:space="preserve">B-254</t>
  </si>
  <si>
    <t xml:space="preserve">B-255</t>
  </si>
  <si>
    <t xml:space="preserve">B-256</t>
  </si>
  <si>
    <t xml:space="preserve">B-257</t>
  </si>
  <si>
    <t xml:space="preserve">B-258</t>
  </si>
  <si>
    <t xml:space="preserve">B-259</t>
  </si>
  <si>
    <t xml:space="preserve">B-260</t>
  </si>
  <si>
    <t xml:space="preserve">B-261</t>
  </si>
  <si>
    <t xml:space="preserve">B-262</t>
  </si>
  <si>
    <t xml:space="preserve">B-263</t>
  </si>
  <si>
    <t xml:space="preserve">B-264</t>
  </si>
  <si>
    <t xml:space="preserve">B-265</t>
  </si>
  <si>
    <t xml:space="preserve">B-266</t>
  </si>
  <si>
    <t xml:space="preserve">B-267</t>
  </si>
  <si>
    <t xml:space="preserve">B-268</t>
  </si>
  <si>
    <t xml:space="preserve">B-269</t>
  </si>
  <si>
    <t xml:space="preserve">B-270</t>
  </si>
  <si>
    <t xml:space="preserve">B-271</t>
  </si>
  <si>
    <t xml:space="preserve">B-272</t>
  </si>
  <si>
    <t xml:space="preserve">B-273</t>
  </si>
  <si>
    <t xml:space="preserve">B-274</t>
  </si>
  <si>
    <t xml:space="preserve">B-275</t>
  </si>
  <si>
    <t xml:space="preserve">B-276</t>
  </si>
  <si>
    <t xml:space="preserve">B-277</t>
  </si>
  <si>
    <t xml:space="preserve">B-278</t>
  </si>
  <si>
    <t xml:space="preserve">B-279</t>
  </si>
  <si>
    <t xml:space="preserve">B-280</t>
  </si>
  <si>
    <t xml:space="preserve">B-281</t>
  </si>
  <si>
    <t xml:space="preserve">B-282</t>
  </si>
  <si>
    <t xml:space="preserve">B-283</t>
  </si>
  <si>
    <t xml:space="preserve">B-284</t>
  </si>
  <si>
    <t xml:space="preserve">B-285</t>
  </si>
  <si>
    <t xml:space="preserve">B-286</t>
  </si>
  <si>
    <t xml:space="preserve">B-287</t>
  </si>
  <si>
    <t xml:space="preserve">B-288</t>
  </si>
  <si>
    <t xml:space="preserve">B-289</t>
  </si>
  <si>
    <t xml:space="preserve">B-290</t>
  </si>
  <si>
    <t xml:space="preserve">B-291</t>
  </si>
  <si>
    <t xml:space="preserve">B-292</t>
  </si>
  <si>
    <t xml:space="preserve">B-293</t>
  </si>
  <si>
    <t xml:space="preserve">B-294</t>
  </si>
  <si>
    <t xml:space="preserve">B-295</t>
  </si>
  <si>
    <t xml:space="preserve">B-296</t>
  </si>
  <si>
    <t xml:space="preserve">B-297</t>
  </si>
  <si>
    <t xml:space="preserve">B-298</t>
  </si>
  <si>
    <t xml:space="preserve">B-299</t>
  </si>
  <si>
    <t xml:space="preserve">B-300</t>
  </si>
  <si>
    <t xml:space="preserve">B-301</t>
  </si>
  <si>
    <t xml:space="preserve">B-302</t>
  </si>
  <si>
    <t xml:space="preserve">B-303</t>
  </si>
  <si>
    <t xml:space="preserve">B-304</t>
  </si>
  <si>
    <t xml:space="preserve">B-305</t>
  </si>
  <si>
    <t xml:space="preserve">B-306</t>
  </si>
  <si>
    <t xml:space="preserve">B-307</t>
  </si>
  <si>
    <t xml:space="preserve">B-308</t>
  </si>
  <si>
    <t xml:space="preserve">B-309</t>
  </si>
  <si>
    <t xml:space="preserve">B-310</t>
  </si>
  <si>
    <t xml:space="preserve">B-311</t>
  </si>
  <si>
    <t xml:space="preserve">B-312</t>
  </si>
  <si>
    <t xml:space="preserve">B-313</t>
  </si>
  <si>
    <t xml:space="preserve">B-314</t>
  </si>
  <si>
    <t xml:space="preserve">B-315</t>
  </si>
  <si>
    <t xml:space="preserve">B-316</t>
  </si>
  <si>
    <t xml:space="preserve">B-317</t>
  </si>
  <si>
    <t xml:space="preserve">B-318</t>
  </si>
  <si>
    <t xml:space="preserve">B-319</t>
  </si>
  <si>
    <t xml:space="preserve">B-320</t>
  </si>
  <si>
    <t xml:space="preserve">B-321</t>
  </si>
  <si>
    <t xml:space="preserve">B-322</t>
  </si>
  <si>
    <t xml:space="preserve">B-323</t>
  </si>
  <si>
    <t xml:space="preserve">B-324</t>
  </si>
  <si>
    <t xml:space="preserve">B-325</t>
  </si>
  <si>
    <t xml:space="preserve">B-326</t>
  </si>
  <si>
    <t xml:space="preserve">B-327</t>
  </si>
  <si>
    <t xml:space="preserve">B-328</t>
  </si>
  <si>
    <t xml:space="preserve">B-329</t>
  </si>
  <si>
    <t xml:space="preserve">Timeline summary: shipments per month and week, and on-time check</t>
  </si>
  <si>
    <t xml:space="preserve">Counts come from the two schedule sheets. The on-time check fills in once transit days are on the Rate Card.</t>
  </si>
  <si>
    <t xml:space="preserve">Scenario A: shipments per month</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</si>
  <si>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</si>
  <si>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</si>
  <si>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</si>
  <si>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</si>
  <si>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</si>
  <si>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</si>
  <si>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</si>
  <si>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</si>
  <si>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</si>
  <si>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</si>
  <si>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</si>
  <si>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</si>
  <si>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Year</t>
  </si>
  <si>
    <t xml:space="preserve">Scenario B: shipments per month</t>
  </si>
  <si>
    <t xml:space="preserve">On-time check against target (needs transit days on the Rate Card)</t>
  </si>
  <si>
    <t xml:space="preserve">Shipments A</t>
  </si>
  <si>
    <t xml:space="preserve">With expected date A</t>
  </si>
  <si>
    <t xml:space="preserve">Meets target A</t>
  </si>
  <si>
    <t xml:space="preserve">On target % A</t>
  </si>
  <si>
    <t xml:space="preserve">Avg days late A</t>
  </si>
  <si>
    <t xml:space="preserve">Shipments B</t>
  </si>
  <si>
    <t xml:space="preserve">With expected date B</t>
  </si>
  <si>
    <t xml:space="preserve">Meets target B</t>
  </si>
  <si>
    <t xml:space="preserve">On target % B</t>
  </si>
  <si>
    <t xml:space="preserve">Avg days late B</t>
  </si>
  <si>
    <t xml:space="preserve">Shipments per week (all lanes)</t>
  </si>
  <si>
    <t xml:space="preserve">Week starting (Mon)</t>
  </si>
  <si>
    <t xml:space="preserve">Chargeable kg A</t>
  </si>
  <si>
    <t xml:space="preserve">Chargeable kg B</t>
  </si>
  <si>
    <t xml:space="preserve">Busiest week</t>
  </si>
  <si>
    <t xml:space="preserve">Rate card: please fill in the yellow cells</t>
  </si>
  <si>
    <t xml:space="preserve">Rates from Helmond, NL. EUR excl. VAT. Cost per shipment = MAX(minimum, rate x chargeable kg) x (1 + fuel %) + export docs fee + other fixed fees. Use the Scenario B discount if your rates improve at Scenario B volume. Rates from your own regional hub go on the Optional Regional Stock sheet.</t>
  </si>
  <si>
    <t xml:space="preserve">Proposed mode / service</t>
  </si>
  <si>
    <t xml:space="preserve">Transit time door-to-door (working days)</t>
  </si>
  <si>
    <t xml:space="preserve">Rate per chargeable kg</t>
  </si>
  <si>
    <t xml:space="preserve">Minimum charge per shipment</t>
  </si>
  <si>
    <t xml:space="preserve">Fuel surcharge %</t>
  </si>
  <si>
    <t xml:space="preserve">Export customs &amp; docs per shipment</t>
  </si>
  <si>
    <t xml:space="preserve">Other fixed fees per shipment</t>
  </si>
  <si>
    <t xml:space="preserve">Scenario B volume discount %</t>
  </si>
  <si>
    <t xml:space="preserve">Notes</t>
  </si>
  <si>
    <t xml:space="preserve">Cost per shipment</t>
  </si>
  <si>
    <t xml:space="preserve">Annual cost Scenario A</t>
  </si>
  <si>
    <t xml:space="preserve">Annual cost Scenario B</t>
  </si>
  <si>
    <t xml:space="preserve">Worst-case transit (working days)</t>
  </si>
  <si>
    <t xml:space="preserve">Express</t>
  </si>
  <si>
    <t xml:space="preserve">Air</t>
  </si>
  <si>
    <t xml:space="preserve">Air / groupage</t>
  </si>
  <si>
    <t xml:space="preserve">Grey rows have no expected shipments. A rate is still welcome.</t>
  </si>
  <si>
    <t xml:space="preserve">Cost overview (calculates from the Rate Card)</t>
  </si>
  <si>
    <t xml:space="preserve">EUR excl. VAT. Transit time is weighted by Scenario B shipments.</t>
  </si>
  <si>
    <t xml:space="preserve">Annual cost A</t>
  </si>
  <si>
    <t xml:space="preserve">Cost per kg A</t>
  </si>
  <si>
    <t xml:space="preserve">Cost per shipment A</t>
  </si>
  <si>
    <t xml:space="preserve">Annual cost B</t>
  </si>
  <si>
    <t xml:space="preserve">Cost per kg B</t>
  </si>
  <si>
    <t xml:space="preserve">Cost per shipment B</t>
  </si>
  <si>
    <t xml:space="preserve">Avg transit days</t>
  </si>
  <si>
    <t xml:space="preserve">Bands without a rate</t>
  </si>
  <si>
    <t xml:space="preserve">Shipments B from other origins</t>
  </si>
  <si>
    <t xml:space="preserve">Direct transport A (from Helmond)</t>
  </si>
  <si>
    <t xml:space="preserve">Direct transport B (from Helmond)</t>
  </si>
  <si>
    <t xml:space="preserve">Total logistics cost</t>
  </si>
  <si>
    <t xml:space="preserve">Cost block</t>
  </si>
  <si>
    <t xml:space="preserve">Direct transport from Helmond</t>
  </si>
  <si>
    <t xml:space="preserve">Other origins (regional stock, supplier or other hubs)</t>
  </si>
  <si>
    <t xml:space="preserve">Columns E and J price every shipment from Helmond. Columns P and Q and the total block follow the origin chosen per shipment. Supplier freight into a regional warehouse is excluded.</t>
  </si>
  <si>
    <t xml:space="preserve">Reliability, quality and ease of working</t>
  </si>
  <si>
    <t xml:space="preserve">Answer in the fixed format of column E. Add context in Details. Mark whether you can share evidence (KPI report, certificate, reference customer).</t>
  </si>
  <si>
    <t xml:space="preserve">#</t>
  </si>
  <si>
    <t xml:space="preserve">Area</t>
  </si>
  <si>
    <t xml:space="preserve">Question</t>
  </si>
  <si>
    <t xml:space="preserve">Answer format</t>
  </si>
  <si>
    <t xml:space="preserve">Details</t>
  </si>
  <si>
    <t xml:space="preserve">Evidence available</t>
  </si>
  <si>
    <t xml:space="preserve">Evidence description</t>
  </si>
  <si>
    <t xml:space="preserve">R1</t>
  </si>
  <si>
    <t xml:space="preserve">Reliability</t>
  </si>
  <si>
    <t xml:space="preserve">On-time delivery rate on these lanes over the last 12 months (on or before the promised date).</t>
  </si>
  <si>
    <t xml:space="preserve">Percent</t>
  </si>
  <si>
    <t xml:space="preserve">R2</t>
  </si>
  <si>
    <t xml:space="preserve">Share of shipments delivered within the transit time quoted on the Rate Card.</t>
  </si>
  <si>
    <t xml:space="preserve">R3</t>
  </si>
  <si>
    <t xml:space="preserve">Pickups per week at Helmond. State your daily cut-off time in Details.</t>
  </si>
  <si>
    <t xml:space="preserve">Number</t>
  </si>
  <si>
    <t xml:space="preserve">R4</t>
  </si>
  <si>
    <t xml:space="preserve">Guaranteed capacity in peak months (1.5 times the average month).</t>
  </si>
  <si>
    <t xml:space="preserve">Yes/Partial/No</t>
  </si>
  <si>
    <t xml:space="preserve">R5</t>
  </si>
  <si>
    <t xml:space="preserve">Documented contingency routing for disruptions (Red Sea / Suez, airspace, port congestion).</t>
  </si>
  <si>
    <t xml:space="preserve">Partial</t>
  </si>
  <si>
    <t xml:space="preserve">R6</t>
  </si>
  <si>
    <t xml:space="preserve">Average import clearance time across the nine countries. Per country in Details.</t>
  </si>
  <si>
    <t xml:space="preserve">Days</t>
  </si>
  <si>
    <t xml:space="preserve">R7</t>
  </si>
  <si>
    <t xml:space="preserve">Share of shipments held in customs more than 2 working days over the last 12 months.</t>
  </si>
  <si>
    <t xml:space="preserve">R8</t>
  </si>
  <si>
    <t xml:space="preserve">Next-day delivery in the GCC, from Helmond or from regional stock.</t>
  </si>
  <si>
    <t xml:space="preserve">Q1</t>
  </si>
  <si>
    <t xml:space="preserve">Quality</t>
  </si>
  <si>
    <t xml:space="preserve">Damage and loss rate over the last 12 months.</t>
  </si>
  <si>
    <t xml:space="preserve">Q2</t>
  </si>
  <si>
    <t xml:space="preserve">Average claim settlement time.</t>
  </si>
  <si>
    <t xml:space="preserve">Q3</t>
  </si>
  <si>
    <t xml:space="preserve">Liability limit per kg (SDR). Name the convention or terms in Details.</t>
  </si>
  <si>
    <t xml:space="preserve">Q4</t>
  </si>
  <si>
    <t xml:space="preserve">Track and trace with API or EDI integration.</t>
  </si>
  <si>
    <t xml:space="preserve">Q5</t>
  </si>
  <si>
    <t xml:space="preserve">e-POD with signature or photo.</t>
  </si>
  <si>
    <t xml:space="preserve">Q6</t>
  </si>
  <si>
    <t xml:space="preserve">Monthly KPI report per lane.</t>
  </si>
  <si>
    <t xml:space="preserve">Q7</t>
  </si>
  <si>
    <t xml:space="preserve">Dedicated account manager.</t>
  </si>
  <si>
    <t xml:space="preserve">Yes/No</t>
  </si>
  <si>
    <t xml:space="preserve">Q8</t>
  </si>
  <si>
    <t xml:space="preserve">Customer service in English, Arabic, Turkish and French.</t>
  </si>
  <si>
    <t xml:space="preserve">N1</t>
  </si>
  <si>
    <t xml:space="preserve">Compliance</t>
  </si>
  <si>
    <t xml:space="preserve">Experience with Saudi SASO / SABER conformity for textiles and footwear.</t>
  </si>
  <si>
    <t xml:space="preserve">N2</t>
  </si>
  <si>
    <t xml:space="preserve">Support for preferential origin documents EUR.1 and A.TR.</t>
  </si>
  <si>
    <t xml:space="preserve">N3</t>
  </si>
  <si>
    <t xml:space="preserve">Process to collect import duty and VAT from the consignee under DAP, including failed deliveries.</t>
  </si>
  <si>
    <t xml:space="preserve">N4</t>
  </si>
  <si>
    <t xml:space="preserve">Handling of advance cargo information and pre-registration (for example Egypt ACI).</t>
  </si>
  <si>
    <t xml:space="preserve">C1</t>
  </si>
  <si>
    <t xml:space="preserve">Commercial</t>
  </si>
  <si>
    <t xml:space="preserve">Number of surcharges outside the Rate Card. List them in Details.</t>
  </si>
  <si>
    <t xml:space="preserve">C2</t>
  </si>
  <si>
    <t xml:space="preserve">Fuel surcharge linked to a published index. Name the index in Details.</t>
  </si>
  <si>
    <t xml:space="preserve">C3</t>
  </si>
  <si>
    <t xml:space="preserve">Payment terms.</t>
  </si>
  <si>
    <t xml:space="preserve">C4</t>
  </si>
  <si>
    <t xml:space="preserve">Cargo insurance premium as % of invoice value.</t>
  </si>
  <si>
    <t xml:space="preserve">C5</t>
  </si>
  <si>
    <t xml:space="preserve">Better rates if annual volume ends between Scenario A and Scenario B. Describe tiers in Details.</t>
  </si>
  <si>
    <t xml:space="preserve">S1</t>
  </si>
  <si>
    <t xml:space="preserve">Sustainability</t>
  </si>
  <si>
    <t xml:space="preserve">CO2e reporting per shipment (ISO 14083 / GLEC).</t>
  </si>
  <si>
    <t xml:space="preserve">H1</t>
  </si>
  <si>
    <t xml:space="preserve">Ease of working</t>
  </si>
  <si>
    <t xml:space="preserve">Who clears import customs at destination.</t>
  </si>
  <si>
    <t xml:space="preserve">Provider / Consignee broker / Mixed</t>
  </si>
  <si>
    <t xml:space="preserve">Mixed by country</t>
  </si>
  <si>
    <t xml:space="preserve">H2</t>
  </si>
  <si>
    <t xml:space="preserve">Number of parties handling a shipment from Helmond to the consignee door.</t>
  </si>
  <si>
    <t xml:space="preserve">H3</t>
  </si>
  <si>
    <t xml:space="preserve">One invoice covering all lanes.</t>
  </si>
  <si>
    <t xml:space="preserve">H4</t>
  </si>
  <si>
    <t xml:space="preserve">Self-service booking portal.</t>
  </si>
  <si>
    <t xml:space="preserve">H5</t>
  </si>
  <si>
    <t xml:space="preserve">One contact person for all lanes.</t>
  </si>
  <si>
    <t xml:space="preserve">Optional: regional stock held by you</t>
  </si>
  <si>
    <t xml:space="preserve">You may propose to hold FlexiTog stock in the region and deliver from there. FlexiTog then directs supplier deliveries to your warehouse, so replenishment arrives from our suppliers as well as from Helmond.</t>
  </si>
  <si>
    <t xml:space="preserve">1. Proposed stock location(s)</t>
  </si>
  <si>
    <t xml:space="preserve">Location (city, country)</t>
  </si>
  <si>
    <t xml:space="preserve">Type (free zone, bonded, duty-paid)</t>
  </si>
  <si>
    <t xml:space="preserve">Receiving hours and booking lead time</t>
  </si>
  <si>
    <t xml:space="preserve">Inbound formats accepted (FCL 20/40ft, LCL, pallets, parcels)</t>
  </si>
  <si>
    <t xml:space="preserve">Labelling and ASN requirements for supplier deliveries</t>
  </si>
  <si>
    <t xml:space="preserve">W1</t>
  </si>
  <si>
    <t xml:space="preserve">W2</t>
  </si>
  <si>
    <t xml:space="preserve">W3</t>
  </si>
  <si>
    <t xml:space="preserve">2. Lanes served from your stock</t>
  </si>
  <si>
    <t xml:space="preserve">Set "Yes" for lanes you would serve from your stock by default. Single shipments can also move to another origin in the yellow columns of the schedules. Volumes, picks and delivery cost below follow the schedules.</t>
  </si>
  <si>
    <t xml:space="preserve">Orders A</t>
  </si>
  <si>
    <t xml:space="preserve">Order lines (picks) A</t>
  </si>
  <si>
    <t xml:space="preserve">m3 A</t>
  </si>
  <si>
    <t xml:space="preserve">Orders B</t>
  </si>
  <si>
    <t xml:space="preserve">Order lines (picks) B</t>
  </si>
  <si>
    <t xml:space="preserve">m3 B</t>
  </si>
  <si>
    <t xml:space="preserve">Serve from your stock?</t>
  </si>
  <si>
    <t xml:space="preserve">Stock location (W1, W2, W3)</t>
  </si>
  <si>
    <t xml:space="preserve">Transit days from stock (working days)</t>
  </si>
  <si>
    <t xml:space="preserve">Delivery rate per shipment from stock (EUR)</t>
  </si>
  <si>
    <t xml:space="preserve">Delivery cost from other origins A</t>
  </si>
  <si>
    <t xml:space="preserve">Delivery cost from other origins B</t>
  </si>
  <si>
    <t xml:space="preserve">Shipments from your stock A</t>
  </si>
  <si>
    <t xml:space="preserve">Shipments from your stock B</t>
  </si>
  <si>
    <t xml:space="preserve">m3 from stock A</t>
  </si>
  <si>
    <t xml:space="preserve">m3 from stock B</t>
  </si>
  <si>
    <t xml:space="preserve">Picks from stock A</t>
  </si>
  <si>
    <t xml:space="preserve">Picks from stock B</t>
  </si>
  <si>
    <t xml:space="preserve">3. Warehouse volumes for shipments served from your stock</t>
  </si>
  <si>
    <t xml:space="preserve">Item</t>
  </si>
  <si>
    <t xml:space="preserve">Unit</t>
  </si>
  <si>
    <t xml:space="preserve">Average stock pallet positions (indicative)</t>
  </si>
  <si>
    <t xml:space="preserve">pallets</t>
  </si>
  <si>
    <t xml:space="preserve">Inbound pallets per year (supplier and Helmond deliveries)</t>
  </si>
  <si>
    <t xml:space="preserve">Order lines picked per year</t>
  </si>
  <si>
    <t xml:space="preserve">lines</t>
  </si>
  <si>
    <t xml:space="preserve">Outbound orders per year</t>
  </si>
  <si>
    <t xml:space="preserve">orders</t>
  </si>
  <si>
    <t xml:space="preserve">4. Your warehouse rates (EUR excl. VAT)</t>
  </si>
  <si>
    <t xml:space="preserve">Rate</t>
  </si>
  <si>
    <t xml:space="preserve">Your rate</t>
  </si>
  <si>
    <t xml:space="preserve">Storage per pallet position per month</t>
  </si>
  <si>
    <t xml:space="preserve">per pallet per month</t>
  </si>
  <si>
    <t xml:space="preserve">Inbound receiving per pallet (any origin)</t>
  </si>
  <si>
    <t xml:space="preserve">per pallet</t>
  </si>
  <si>
    <t xml:space="preserve">Container devanning, 20ft (information only)</t>
  </si>
  <si>
    <t xml:space="preserve">per container</t>
  </si>
  <si>
    <t xml:space="preserve">Container devanning, 40ft (information only)</t>
  </si>
  <si>
    <t xml:space="preserve">Pick per order line</t>
  </si>
  <si>
    <t xml:space="preserve">per line</t>
  </si>
  <si>
    <t xml:space="preserve">Pack and dispatch per order</t>
  </si>
  <si>
    <t xml:space="preserve">per order</t>
  </si>
  <si>
    <t xml:space="preserve">Fixed monthly fee (account, WMS, minimum)</t>
  </si>
  <si>
    <t xml:space="preserve">per month</t>
  </si>
  <si>
    <t xml:space="preserve">Line haul Helmond to your warehouse per pallet (information only)</t>
  </si>
  <si>
    <t xml:space="preserve">Deliveries from other origins (from the schedules)</t>
  </si>
  <si>
    <t xml:space="preserve">see section 2</t>
  </si>
  <si>
    <t xml:space="preserve">per shipment</t>
  </si>
  <si>
    <t xml:space="preserve">Total other-origin cost</t>
  </si>
  <si>
    <t xml:space="preserve">5. Replenishment</t>
  </si>
  <si>
    <t xml:space="preserve">• FlexiTog arranges and pays the supplier deliveries into your warehouse. Supplier origins are shared after selection.</t>
  </si>
  <si>
    <t xml:space="preserve">• Please describe in section 1 what you need from a supplier delivery: booking lead time, advance shipping notice, pallet type, labels and documents.</t>
  </si>
  <si>
    <t xml:space="preserve">• Please state whether your warehouse holds goods duty-unpaid (free zone or bonded) and how you clear each outbound delivery into the destination country.</t>
  </si>
  <si>
    <t xml:space="preserve">key</t>
  </si>
  <si>
    <t xml:space="preserve">value</t>
  </si>
  <si>
    <t xml:space="preserve">type</t>
  </si>
  <si>
    <t xml:space="preserve">description</t>
  </si>
  <si>
    <t xml:space="preserve">meta.rfq_version</t>
  </si>
  <si>
    <t xml:space="preserve">RFQ-MENA-TR v1.0</t>
  </si>
  <si>
    <t xml:space="preserve">text</t>
  </si>
  <si>
    <t xml:space="preserve">Template version</t>
  </si>
  <si>
    <t xml:space="preserve">meta.export_rows</t>
  </si>
  <si>
    <t xml:space="preserve">number</t>
  </si>
  <si>
    <t xml:space="preserve">Number of key rows below</t>
  </si>
  <si>
    <t xml:space="preserve">provider.provider_id</t>
  </si>
  <si>
    <t xml:space="preserve">provider.name</t>
  </si>
  <si>
    <t xml:space="preserve">provider.website</t>
  </si>
  <si>
    <t xml:space="preserve">provider.contact_name</t>
  </si>
  <si>
    <t xml:space="preserve">provider.contact_phone</t>
  </si>
  <si>
    <t xml:space="preserve">provider.contact_email</t>
  </si>
  <si>
    <t xml:space="preserve">provider.hq_country</t>
  </si>
  <si>
    <t xml:space="preserve">provider.quote_reference</t>
  </si>
  <si>
    <t xml:space="preserve">provider.quote_valid_until</t>
  </si>
  <si>
    <t xml:space="preserve">date</t>
  </si>
  <si>
    <t xml:space="preserve">provider.response_date</t>
  </si>
  <si>
    <t xml:space="preserve">provider.currency</t>
  </si>
  <si>
    <t xml:space="preserve">type.freight_forwarder</t>
  </si>
  <si>
    <t xml:space="preserve">yesno</t>
  </si>
  <si>
    <t xml:space="preserve">type.3pl_contract_logistics</t>
  </si>
  <si>
    <t xml:space="preserve">type.carrier_own_fleet</t>
  </si>
  <si>
    <t xml:space="preserve">type.courier_express</t>
  </si>
  <si>
    <t xml:space="preserve">type.customs_broker</t>
  </si>
  <si>
    <t xml:space="preserve">type.distributor</t>
  </si>
  <si>
    <t xml:space="preserve">type.4pl_lead_logistics_provider</t>
  </si>
  <si>
    <t xml:space="preserve">service.road_ftl</t>
  </si>
  <si>
    <t xml:space="preserve">service.road_groupage_ltl</t>
  </si>
  <si>
    <t xml:space="preserve">service.sea_fcl</t>
  </si>
  <si>
    <t xml:space="preserve">service.sea_lcl</t>
  </si>
  <si>
    <t xml:space="preserve">service.air_freight</t>
  </si>
  <si>
    <t xml:space="preserve">service.express_courier</t>
  </si>
  <si>
    <t xml:space="preserve">service.export_customs_clearance_nl</t>
  </si>
  <si>
    <t xml:space="preserve">service.import_customs_brokerage</t>
  </si>
  <si>
    <t xml:space="preserve">service.ddp_service</t>
  </si>
  <si>
    <t xml:space="preserve">service.warehousing</t>
  </si>
  <si>
    <t xml:space="preserve">service.cross_docking</t>
  </si>
  <si>
    <t xml:space="preserve">service.last_mile_delivery</t>
  </si>
  <si>
    <t xml:space="preserve">service.returns_handling</t>
  </si>
  <si>
    <t xml:space="preserve">service.value_added_services_labelling_kitting</t>
  </si>
  <si>
    <t xml:space="preserve">service.track_and_trace_portal</t>
  </si>
  <si>
    <t xml:space="preserve">service.api_edi_integration</t>
  </si>
  <si>
    <t xml:space="preserve">service.e_pod</t>
  </si>
  <si>
    <t xml:space="preserve">service.cargo_insurance</t>
  </si>
  <si>
    <t xml:space="preserve">service.co2e_reporting</t>
  </si>
  <si>
    <t xml:space="preserve">coverage.L01.presence</t>
  </si>
  <si>
    <t xml:space="preserve">Saudi Arabia: presence</t>
  </si>
  <si>
    <t xml:space="preserve">coverage.L01.partner</t>
  </si>
  <si>
    <t xml:space="preserve">Saudi Arabia: partner</t>
  </si>
  <si>
    <t xml:space="preserve">coverage.L01.import_brokerage</t>
  </si>
  <si>
    <t xml:space="preserve">Saudi Arabia: import brokerage</t>
  </si>
  <si>
    <t xml:space="preserve">coverage.L01.ddp</t>
  </si>
  <si>
    <t xml:space="preserve">Saudi Arabia: ddp</t>
  </si>
  <si>
    <t xml:space="preserve">coverage.L02.presence</t>
  </si>
  <si>
    <t xml:space="preserve">United Arab Emirates: presence</t>
  </si>
  <si>
    <t xml:space="preserve">coverage.L02.partner</t>
  </si>
  <si>
    <t xml:space="preserve">United Arab Emirates: partner</t>
  </si>
  <si>
    <t xml:space="preserve">coverage.L02.import_brokerage</t>
  </si>
  <si>
    <t xml:space="preserve">United Arab Emirates: import brokerage</t>
  </si>
  <si>
    <t xml:space="preserve">coverage.L02.ddp</t>
  </si>
  <si>
    <t xml:space="preserve">United Arab Emirates: ddp</t>
  </si>
  <si>
    <t xml:space="preserve">coverage.L03.presence</t>
  </si>
  <si>
    <t xml:space="preserve">Kuwait: presence</t>
  </si>
  <si>
    <t xml:space="preserve">coverage.L03.partner</t>
  </si>
  <si>
    <t xml:space="preserve">Kuwait: partner</t>
  </si>
  <si>
    <t xml:space="preserve">coverage.L03.import_brokerage</t>
  </si>
  <si>
    <t xml:space="preserve">Kuwait: import brokerage</t>
  </si>
  <si>
    <t xml:space="preserve">coverage.L03.ddp</t>
  </si>
  <si>
    <t xml:space="preserve">Kuwait: ddp</t>
  </si>
  <si>
    <t xml:space="preserve">coverage.L04.presence</t>
  </si>
  <si>
    <t xml:space="preserve">Qatar: presence</t>
  </si>
  <si>
    <t xml:space="preserve">coverage.L04.partner</t>
  </si>
  <si>
    <t xml:space="preserve">Qatar: partner</t>
  </si>
  <si>
    <t xml:space="preserve">coverage.L04.import_brokerage</t>
  </si>
  <si>
    <t xml:space="preserve">Qatar: import brokerage</t>
  </si>
  <si>
    <t xml:space="preserve">coverage.L04.ddp</t>
  </si>
  <si>
    <t xml:space="preserve">Qatar: ddp</t>
  </si>
  <si>
    <t xml:space="preserve">coverage.L05.presence</t>
  </si>
  <si>
    <t xml:space="preserve">Türkiye: presence</t>
  </si>
  <si>
    <t xml:space="preserve">coverage.L05.partner</t>
  </si>
  <si>
    <t xml:space="preserve">Türkiye: partner</t>
  </si>
  <si>
    <t xml:space="preserve">coverage.L05.import_brokerage</t>
  </si>
  <si>
    <t xml:space="preserve">Türkiye: import brokerage</t>
  </si>
  <si>
    <t xml:space="preserve">coverage.L05.ddp</t>
  </si>
  <si>
    <t xml:space="preserve">Türkiye: ddp</t>
  </si>
  <si>
    <t xml:space="preserve">coverage.L06.presence</t>
  </si>
  <si>
    <t xml:space="preserve">Morocco: presence</t>
  </si>
  <si>
    <t xml:space="preserve">coverage.L06.partner</t>
  </si>
  <si>
    <t xml:space="preserve">Morocco: partner</t>
  </si>
  <si>
    <t xml:space="preserve">coverage.L06.import_brokerage</t>
  </si>
  <si>
    <t xml:space="preserve">Morocco: import brokerage</t>
  </si>
  <si>
    <t xml:space="preserve">coverage.L06.ddp</t>
  </si>
  <si>
    <t xml:space="preserve">Morocco: ddp</t>
  </si>
  <si>
    <t xml:space="preserve">coverage.L07.presence</t>
  </si>
  <si>
    <t xml:space="preserve">Algeria: presence</t>
  </si>
  <si>
    <t xml:space="preserve">coverage.L07.partner</t>
  </si>
  <si>
    <t xml:space="preserve">Algeria: partner</t>
  </si>
  <si>
    <t xml:space="preserve">coverage.L07.import_brokerage</t>
  </si>
  <si>
    <t xml:space="preserve">Algeria: import brokerage</t>
  </si>
  <si>
    <t xml:space="preserve">coverage.L07.ddp</t>
  </si>
  <si>
    <t xml:space="preserve">Algeria: ddp</t>
  </si>
  <si>
    <t xml:space="preserve">coverage.L08.presence</t>
  </si>
  <si>
    <t xml:space="preserve">Egypt: presence</t>
  </si>
  <si>
    <t xml:space="preserve">coverage.L08.partner</t>
  </si>
  <si>
    <t xml:space="preserve">Egypt: partner</t>
  </si>
  <si>
    <t xml:space="preserve">coverage.L08.import_brokerage</t>
  </si>
  <si>
    <t xml:space="preserve">Egypt: import brokerage</t>
  </si>
  <si>
    <t xml:space="preserve">coverage.L08.ddp</t>
  </si>
  <si>
    <t xml:space="preserve">Egypt: ddp</t>
  </si>
  <si>
    <t xml:space="preserve">coverage.L09.presence</t>
  </si>
  <si>
    <t xml:space="preserve">Tunisia: presence</t>
  </si>
  <si>
    <t xml:space="preserve">coverage.L09.partner</t>
  </si>
  <si>
    <t xml:space="preserve">Tunisia: partner</t>
  </si>
  <si>
    <t xml:space="preserve">coverage.L09.import_brokerage</t>
  </si>
  <si>
    <t xml:space="preserve">Tunisia: import brokerage</t>
  </si>
  <si>
    <t xml:space="preserve">coverage.L09.ddp</t>
  </si>
  <si>
    <t xml:space="preserve">Tunisia: ddp</t>
  </si>
  <si>
    <t xml:space="preserve">region.turkiye</t>
  </si>
  <si>
    <t xml:space="preserve">Region covered: turkiye</t>
  </si>
  <si>
    <t xml:space="preserve">region.north_africa</t>
  </si>
  <si>
    <t xml:space="preserve">Region covered: north_africa</t>
  </si>
  <si>
    <t xml:space="preserve">region.gulf_gcc</t>
  </si>
  <si>
    <t xml:space="preserve">Region covered: gulf_gcc</t>
  </si>
  <si>
    <t xml:space="preserve">cert.iso_9001</t>
  </si>
  <si>
    <t xml:space="preserve">cert.iso_14001</t>
  </si>
  <si>
    <t xml:space="preserve">cert.iso_45001</t>
  </si>
  <si>
    <t xml:space="preserve">cert.aeo_authorised_economic_operator</t>
  </si>
  <si>
    <t xml:space="preserve">cert.tapa</t>
  </si>
  <si>
    <t xml:space="preserve">cert.iata_cargo_agent</t>
  </si>
  <si>
    <t xml:space="preserve">cert.other</t>
  </si>
  <si>
    <t xml:space="preserve">kpi.R1</t>
  </si>
  <si>
    <t xml:space="preserve">percent</t>
  </si>
  <si>
    <t xml:space="preserve">kpi.R1.evidence</t>
  </si>
  <si>
    <t xml:space="preserve">R1 evidence available</t>
  </si>
  <si>
    <t xml:space="preserve">kpi.R1.details</t>
  </si>
  <si>
    <t xml:space="preserve">R1 details</t>
  </si>
  <si>
    <t xml:space="preserve">kpi.R2</t>
  </si>
  <si>
    <t xml:space="preserve">kpi.R2.evidence</t>
  </si>
  <si>
    <t xml:space="preserve">R2 evidence available</t>
  </si>
  <si>
    <t xml:space="preserve">kpi.R2.details</t>
  </si>
  <si>
    <t xml:space="preserve">R2 details</t>
  </si>
  <si>
    <t xml:space="preserve">kpi.R3</t>
  </si>
  <si>
    <t xml:space="preserve">kpi.R3.evidence</t>
  </si>
  <si>
    <t xml:space="preserve">R3 evidence available</t>
  </si>
  <si>
    <t xml:space="preserve">kpi.R3.details</t>
  </si>
  <si>
    <t xml:space="preserve">R3 details</t>
  </si>
  <si>
    <t xml:space="preserve">kpi.R4</t>
  </si>
  <si>
    <t xml:space="preserve">ypn</t>
  </si>
  <si>
    <t xml:space="preserve">kpi.R4.evidence</t>
  </si>
  <si>
    <t xml:space="preserve">R4 evidence available</t>
  </si>
  <si>
    <t xml:space="preserve">kpi.R4.details</t>
  </si>
  <si>
    <t xml:space="preserve">R4 details</t>
  </si>
  <si>
    <t xml:space="preserve">kpi.R5</t>
  </si>
  <si>
    <t xml:space="preserve">kpi.R5.evidence</t>
  </si>
  <si>
    <t xml:space="preserve">R5 evidence available</t>
  </si>
  <si>
    <t xml:space="preserve">kpi.R5.details</t>
  </si>
  <si>
    <t xml:space="preserve">R5 details</t>
  </si>
  <si>
    <t xml:space="preserve">kpi.R6</t>
  </si>
  <si>
    <t xml:space="preserve">kpi.R6.evidence</t>
  </si>
  <si>
    <t xml:space="preserve">R6 evidence available</t>
  </si>
  <si>
    <t xml:space="preserve">kpi.R6.details</t>
  </si>
  <si>
    <t xml:space="preserve">R6 details</t>
  </si>
  <si>
    <t xml:space="preserve">kpi.R7</t>
  </si>
  <si>
    <t xml:space="preserve">kpi.R7.evidence</t>
  </si>
  <si>
    <t xml:space="preserve">R7 evidence available</t>
  </si>
  <si>
    <t xml:space="preserve">kpi.R7.details</t>
  </si>
  <si>
    <t xml:space="preserve">R7 details</t>
  </si>
  <si>
    <t xml:space="preserve">kpi.R8</t>
  </si>
  <si>
    <t xml:space="preserve">kpi.R8.evidence</t>
  </si>
  <si>
    <t xml:space="preserve">R8 evidence available</t>
  </si>
  <si>
    <t xml:space="preserve">kpi.R8.details</t>
  </si>
  <si>
    <t xml:space="preserve">R8 details</t>
  </si>
  <si>
    <t xml:space="preserve">kpi.Q1</t>
  </si>
  <si>
    <t xml:space="preserve">kpi.Q1.evidence</t>
  </si>
  <si>
    <t xml:space="preserve">Q1 evidence available</t>
  </si>
  <si>
    <t xml:space="preserve">kpi.Q1.details</t>
  </si>
  <si>
    <t xml:space="preserve">Q1 details</t>
  </si>
  <si>
    <t xml:space="preserve">kpi.Q2</t>
  </si>
  <si>
    <t xml:space="preserve">kpi.Q2.evidence</t>
  </si>
  <si>
    <t xml:space="preserve">Q2 evidence available</t>
  </si>
  <si>
    <t xml:space="preserve">kpi.Q2.details</t>
  </si>
  <si>
    <t xml:space="preserve">Q2 details</t>
  </si>
  <si>
    <t xml:space="preserve">kpi.Q3</t>
  </si>
  <si>
    <t xml:space="preserve">kpi.Q3.evidence</t>
  </si>
  <si>
    <t xml:space="preserve">Q3 evidence available</t>
  </si>
  <si>
    <t xml:space="preserve">kpi.Q3.details</t>
  </si>
  <si>
    <t xml:space="preserve">Q3 details</t>
  </si>
  <si>
    <t xml:space="preserve">kpi.Q4</t>
  </si>
  <si>
    <t xml:space="preserve">kpi.Q4.evidence</t>
  </si>
  <si>
    <t xml:space="preserve">Q4 evidence available</t>
  </si>
  <si>
    <t xml:space="preserve">kpi.Q4.details</t>
  </si>
  <si>
    <t xml:space="preserve">Q4 details</t>
  </si>
  <si>
    <t xml:space="preserve">kpi.Q5</t>
  </si>
  <si>
    <t xml:space="preserve">kpi.Q5.evidence</t>
  </si>
  <si>
    <t xml:space="preserve">Q5 evidence available</t>
  </si>
  <si>
    <t xml:space="preserve">kpi.Q5.details</t>
  </si>
  <si>
    <t xml:space="preserve">Q5 details</t>
  </si>
  <si>
    <t xml:space="preserve">kpi.Q6</t>
  </si>
  <si>
    <t xml:space="preserve">kpi.Q6.evidence</t>
  </si>
  <si>
    <t xml:space="preserve">Q6 evidence available</t>
  </si>
  <si>
    <t xml:space="preserve">kpi.Q6.details</t>
  </si>
  <si>
    <t xml:space="preserve">Q6 details</t>
  </si>
  <si>
    <t xml:space="preserve">kpi.Q7</t>
  </si>
  <si>
    <t xml:space="preserve">kpi.Q7.evidence</t>
  </si>
  <si>
    <t xml:space="preserve">Q7 evidence available</t>
  </si>
  <si>
    <t xml:space="preserve">kpi.Q7.details</t>
  </si>
  <si>
    <t xml:space="preserve">Q7 details</t>
  </si>
  <si>
    <t xml:space="preserve">kpi.Q8</t>
  </si>
  <si>
    <t xml:space="preserve">kpi.Q8.evidence</t>
  </si>
  <si>
    <t xml:space="preserve">Q8 evidence available</t>
  </si>
  <si>
    <t xml:space="preserve">kpi.Q8.details</t>
  </si>
  <si>
    <t xml:space="preserve">Q8 details</t>
  </si>
  <si>
    <t xml:space="preserve">kpi.N1</t>
  </si>
  <si>
    <t xml:space="preserve">kpi.N1.evidence</t>
  </si>
  <si>
    <t xml:space="preserve">N1 evidence available</t>
  </si>
  <si>
    <t xml:space="preserve">kpi.N1.details</t>
  </si>
  <si>
    <t xml:space="preserve">N1 details</t>
  </si>
  <si>
    <t xml:space="preserve">kpi.N2</t>
  </si>
  <si>
    <t xml:space="preserve">kpi.N2.evidence</t>
  </si>
  <si>
    <t xml:space="preserve">N2 evidence available</t>
  </si>
  <si>
    <t xml:space="preserve">kpi.N2.details</t>
  </si>
  <si>
    <t xml:space="preserve">N2 details</t>
  </si>
  <si>
    <t xml:space="preserve">kpi.N3</t>
  </si>
  <si>
    <t xml:space="preserve">kpi.N3.evidence</t>
  </si>
  <si>
    <t xml:space="preserve">N3 evidence available</t>
  </si>
  <si>
    <t xml:space="preserve">kpi.N3.details</t>
  </si>
  <si>
    <t xml:space="preserve">N3 details</t>
  </si>
  <si>
    <t xml:space="preserve">kpi.N4</t>
  </si>
  <si>
    <t xml:space="preserve">kpi.N4.evidence</t>
  </si>
  <si>
    <t xml:space="preserve">N4 evidence available</t>
  </si>
  <si>
    <t xml:space="preserve">kpi.N4.details</t>
  </si>
  <si>
    <t xml:space="preserve">N4 details</t>
  </si>
  <si>
    <t xml:space="preserve">kpi.C1</t>
  </si>
  <si>
    <t xml:space="preserve">kpi.C1.evidence</t>
  </si>
  <si>
    <t xml:space="preserve">C1 evidence available</t>
  </si>
  <si>
    <t xml:space="preserve">kpi.C1.details</t>
  </si>
  <si>
    <t xml:space="preserve">C1 details</t>
  </si>
  <si>
    <t xml:space="preserve">kpi.C2</t>
  </si>
  <si>
    <t xml:space="preserve">kpi.C2.evidence</t>
  </si>
  <si>
    <t xml:space="preserve">C2 evidence available</t>
  </si>
  <si>
    <t xml:space="preserve">kpi.C2.details</t>
  </si>
  <si>
    <t xml:space="preserve">C2 details</t>
  </si>
  <si>
    <t xml:space="preserve">kpi.C3</t>
  </si>
  <si>
    <t xml:space="preserve">kpi.C3.evidence</t>
  </si>
  <si>
    <t xml:space="preserve">C3 evidence available</t>
  </si>
  <si>
    <t xml:space="preserve">kpi.C3.details</t>
  </si>
  <si>
    <t xml:space="preserve">C3 details</t>
  </si>
  <si>
    <t xml:space="preserve">kpi.C4</t>
  </si>
  <si>
    <t xml:space="preserve">kpi.C4.evidence</t>
  </si>
  <si>
    <t xml:space="preserve">C4 evidence available</t>
  </si>
  <si>
    <t xml:space="preserve">kpi.C4.details</t>
  </si>
  <si>
    <t xml:space="preserve">C4 details</t>
  </si>
  <si>
    <t xml:space="preserve">kpi.C5</t>
  </si>
  <si>
    <t xml:space="preserve">kpi.C5.evidence</t>
  </si>
  <si>
    <t xml:space="preserve">C5 evidence available</t>
  </si>
  <si>
    <t xml:space="preserve">kpi.C5.details</t>
  </si>
  <si>
    <t xml:space="preserve">C5 details</t>
  </si>
  <si>
    <t xml:space="preserve">kpi.S1</t>
  </si>
  <si>
    <t xml:space="preserve">kpi.S1.evidence</t>
  </si>
  <si>
    <t xml:space="preserve">S1 evidence available</t>
  </si>
  <si>
    <t xml:space="preserve">kpi.S1.details</t>
  </si>
  <si>
    <t xml:space="preserve">S1 details</t>
  </si>
  <si>
    <t xml:space="preserve">kpi.H1</t>
  </si>
  <si>
    <t xml:space="preserve">kpi.H1.evidence</t>
  </si>
  <si>
    <t xml:space="preserve">H1 evidence available</t>
  </si>
  <si>
    <t xml:space="preserve">kpi.H1.details</t>
  </si>
  <si>
    <t xml:space="preserve">H1 details</t>
  </si>
  <si>
    <t xml:space="preserve">kpi.H2</t>
  </si>
  <si>
    <t xml:space="preserve">kpi.H2.evidence</t>
  </si>
  <si>
    <t xml:space="preserve">H2 evidence available</t>
  </si>
  <si>
    <t xml:space="preserve">kpi.H2.details</t>
  </si>
  <si>
    <t xml:space="preserve">H2 details</t>
  </si>
  <si>
    <t xml:space="preserve">kpi.H3</t>
  </si>
  <si>
    <t xml:space="preserve">kpi.H3.evidence</t>
  </si>
  <si>
    <t xml:space="preserve">H3 evidence available</t>
  </si>
  <si>
    <t xml:space="preserve">kpi.H3.details</t>
  </si>
  <si>
    <t xml:space="preserve">H3 details</t>
  </si>
  <si>
    <t xml:space="preserve">kpi.H4</t>
  </si>
  <si>
    <t xml:space="preserve">kpi.H4.evidence</t>
  </si>
  <si>
    <t xml:space="preserve">H4 evidence available</t>
  </si>
  <si>
    <t xml:space="preserve">kpi.H4.details</t>
  </si>
  <si>
    <t xml:space="preserve">H4 details</t>
  </si>
  <si>
    <t xml:space="preserve">kpi.H5</t>
  </si>
  <si>
    <t xml:space="preserve">kpi.H5.evidence</t>
  </si>
  <si>
    <t xml:space="preserve">H5 evidence available</t>
  </si>
  <si>
    <t xml:space="preserve">kpi.H5.details</t>
  </si>
  <si>
    <t xml:space="preserve">H5 details</t>
  </si>
  <si>
    <t xml:space="preserve">rate.L01.B1.mode</t>
  </si>
  <si>
    <t xml:space="preserve">L01 B1 mode</t>
  </si>
  <si>
    <t xml:space="preserve">rate.L01.B1.transit_days</t>
  </si>
  <si>
    <t xml:space="preserve">L01 B1 transit_days</t>
  </si>
  <si>
    <t xml:space="preserve">rate.L01.B1.transit_worst_days</t>
  </si>
  <si>
    <t xml:space="preserve">L01 B1 transit_worst_days</t>
  </si>
  <si>
    <t xml:space="preserve">rate.L01.B1.rate_per_kg</t>
  </si>
  <si>
    <t xml:space="preserve">L01 B1 rate_per_kg</t>
  </si>
  <si>
    <t xml:space="preserve">rate.L01.B1.min_charge</t>
  </si>
  <si>
    <t xml:space="preserve">L01 B1 min_charge</t>
  </si>
  <si>
    <t xml:space="preserve">rate.L01.B1.fuel_pct</t>
  </si>
  <si>
    <t xml:space="preserve">L01 B1 fuel_pct</t>
  </si>
  <si>
    <t xml:space="preserve">rate.L01.B1.docs_fee</t>
  </si>
  <si>
    <t xml:space="preserve">L01 B1 docs_fee</t>
  </si>
  <si>
    <t xml:space="preserve">rate.L01.B1.other_fee</t>
  </si>
  <si>
    <t xml:space="preserve">L01 B1 other_fee</t>
  </si>
  <si>
    <t xml:space="preserve">rate.L01.B1.discount_B_pct</t>
  </si>
  <si>
    <t xml:space="preserve">L01 B1 discount_B_pct</t>
  </si>
  <si>
    <t xml:space="preserve">rate.L01.B1.cost_per_shipment</t>
  </si>
  <si>
    <t xml:space="preserve">L01 B1 cost_per_shipment</t>
  </si>
  <si>
    <t xml:space="preserve">rate.L01.B2.mode</t>
  </si>
  <si>
    <t xml:space="preserve">L01 B2 mode</t>
  </si>
  <si>
    <t xml:space="preserve">rate.L01.B2.transit_days</t>
  </si>
  <si>
    <t xml:space="preserve">L01 B2 transit_days</t>
  </si>
  <si>
    <t xml:space="preserve">rate.L01.B2.transit_worst_days</t>
  </si>
  <si>
    <t xml:space="preserve">L01 B2 transit_worst_days</t>
  </si>
  <si>
    <t xml:space="preserve">rate.L01.B2.rate_per_kg</t>
  </si>
  <si>
    <t xml:space="preserve">L01 B2 rate_per_kg</t>
  </si>
  <si>
    <t xml:space="preserve">rate.L01.B2.min_charge</t>
  </si>
  <si>
    <t xml:space="preserve">L01 B2 min_charge</t>
  </si>
  <si>
    <t xml:space="preserve">rate.L01.B2.fuel_pct</t>
  </si>
  <si>
    <t xml:space="preserve">L01 B2 fuel_pct</t>
  </si>
  <si>
    <t xml:space="preserve">rate.L01.B2.docs_fee</t>
  </si>
  <si>
    <t xml:space="preserve">L01 B2 docs_fee</t>
  </si>
  <si>
    <t xml:space="preserve">rate.L01.B2.other_fee</t>
  </si>
  <si>
    <t xml:space="preserve">L01 B2 other_fee</t>
  </si>
  <si>
    <t xml:space="preserve">rate.L01.B2.discount_B_pct</t>
  </si>
  <si>
    <t xml:space="preserve">L01 B2 discount_B_pct</t>
  </si>
  <si>
    <t xml:space="preserve">rate.L01.B2.cost_per_shipment</t>
  </si>
  <si>
    <t xml:space="preserve">L01 B2 cost_per_shipment</t>
  </si>
  <si>
    <t xml:space="preserve">rate.L01.B3.mode</t>
  </si>
  <si>
    <t xml:space="preserve">L01 B3 mode</t>
  </si>
  <si>
    <t xml:space="preserve">rate.L01.B3.transit_days</t>
  </si>
  <si>
    <t xml:space="preserve">L01 B3 transit_days</t>
  </si>
  <si>
    <t xml:space="preserve">rate.L01.B3.transit_worst_days</t>
  </si>
  <si>
    <t xml:space="preserve">L01 B3 transit_worst_days</t>
  </si>
  <si>
    <t xml:space="preserve">rate.L01.B3.rate_per_kg</t>
  </si>
  <si>
    <t xml:space="preserve">L01 B3 rate_per_kg</t>
  </si>
  <si>
    <t xml:space="preserve">rate.L01.B3.min_charge</t>
  </si>
  <si>
    <t xml:space="preserve">L01 B3 min_charge</t>
  </si>
  <si>
    <t xml:space="preserve">rate.L01.B3.fuel_pct</t>
  </si>
  <si>
    <t xml:space="preserve">L01 B3 fuel_pct</t>
  </si>
  <si>
    <t xml:space="preserve">rate.L01.B3.docs_fee</t>
  </si>
  <si>
    <t xml:space="preserve">L01 B3 docs_fee</t>
  </si>
  <si>
    <t xml:space="preserve">rate.L01.B3.other_fee</t>
  </si>
  <si>
    <t xml:space="preserve">L01 B3 other_fee</t>
  </si>
  <si>
    <t xml:space="preserve">rate.L01.B3.discount_B_pct</t>
  </si>
  <si>
    <t xml:space="preserve">L01 B3 discount_B_pct</t>
  </si>
  <si>
    <t xml:space="preserve">rate.L01.B3.cost_per_shipment</t>
  </si>
  <si>
    <t xml:space="preserve">L01 B3 cost_per_shipment</t>
  </si>
  <si>
    <t xml:space="preserve">rate.L01.B4.mode</t>
  </si>
  <si>
    <t xml:space="preserve">L01 B4 mode</t>
  </si>
  <si>
    <t xml:space="preserve">rate.L01.B4.transit_days</t>
  </si>
  <si>
    <t xml:space="preserve">L01 B4 transit_days</t>
  </si>
  <si>
    <t xml:space="preserve">rate.L01.B4.transit_worst_days</t>
  </si>
  <si>
    <t xml:space="preserve">L01 B4 transit_worst_days</t>
  </si>
  <si>
    <t xml:space="preserve">rate.L01.B4.rate_per_kg</t>
  </si>
  <si>
    <t xml:space="preserve">L01 B4 rate_per_kg</t>
  </si>
  <si>
    <t xml:space="preserve">rate.L01.B4.min_charge</t>
  </si>
  <si>
    <t xml:space="preserve">L01 B4 min_charge</t>
  </si>
  <si>
    <t xml:space="preserve">rate.L01.B4.fuel_pct</t>
  </si>
  <si>
    <t xml:space="preserve">L01 B4 fuel_pct</t>
  </si>
  <si>
    <t xml:space="preserve">rate.L01.B4.docs_fee</t>
  </si>
  <si>
    <t xml:space="preserve">L01 B4 docs_fee</t>
  </si>
  <si>
    <t xml:space="preserve">rate.L01.B4.other_fee</t>
  </si>
  <si>
    <t xml:space="preserve">L01 B4 other_fee</t>
  </si>
  <si>
    <t xml:space="preserve">rate.L01.B4.discount_B_pct</t>
  </si>
  <si>
    <t xml:space="preserve">L01 B4 discount_B_pct</t>
  </si>
  <si>
    <t xml:space="preserve">rate.L01.B4.cost_per_shipment</t>
  </si>
  <si>
    <t xml:space="preserve">L01 B4 cost_per_shipment</t>
  </si>
  <si>
    <t xml:space="preserve">rate.L01.B5.mode</t>
  </si>
  <si>
    <t xml:space="preserve">L01 B5 mode</t>
  </si>
  <si>
    <t xml:space="preserve">rate.L01.B5.transit_days</t>
  </si>
  <si>
    <t xml:space="preserve">L01 B5 transit_days</t>
  </si>
  <si>
    <t xml:space="preserve">rate.L01.B5.transit_worst_days</t>
  </si>
  <si>
    <t xml:space="preserve">L01 B5 transit_worst_days</t>
  </si>
  <si>
    <t xml:space="preserve">rate.L01.B5.rate_per_kg</t>
  </si>
  <si>
    <t xml:space="preserve">L01 B5 rate_per_kg</t>
  </si>
  <si>
    <t xml:space="preserve">rate.L01.B5.min_charge</t>
  </si>
  <si>
    <t xml:space="preserve">L01 B5 min_charge</t>
  </si>
  <si>
    <t xml:space="preserve">rate.L01.B5.fuel_pct</t>
  </si>
  <si>
    <t xml:space="preserve">L01 B5 fuel_pct</t>
  </si>
  <si>
    <t xml:space="preserve">rate.L01.B5.docs_fee</t>
  </si>
  <si>
    <t xml:space="preserve">L01 B5 docs_fee</t>
  </si>
  <si>
    <t xml:space="preserve">rate.L01.B5.other_fee</t>
  </si>
  <si>
    <t xml:space="preserve">L01 B5 other_fee</t>
  </si>
  <si>
    <t xml:space="preserve">rate.L01.B5.discount_B_pct</t>
  </si>
  <si>
    <t xml:space="preserve">L01 B5 discount_B_pct</t>
  </si>
  <si>
    <t xml:space="preserve">rate.L01.B5.cost_per_shipment</t>
  </si>
  <si>
    <t xml:space="preserve">L01 B5 cost_per_shipment</t>
  </si>
  <si>
    <t xml:space="preserve">rate.L02.B1.mode</t>
  </si>
  <si>
    <t xml:space="preserve">L02 B1 mode</t>
  </si>
  <si>
    <t xml:space="preserve">rate.L02.B1.transit_days</t>
  </si>
  <si>
    <t xml:space="preserve">L02 B1 transit_days</t>
  </si>
  <si>
    <t xml:space="preserve">rate.L02.B1.transit_worst_days</t>
  </si>
  <si>
    <t xml:space="preserve">L02 B1 transit_worst_days</t>
  </si>
  <si>
    <t xml:space="preserve">rate.L02.B1.rate_per_kg</t>
  </si>
  <si>
    <t xml:space="preserve">L02 B1 rate_per_kg</t>
  </si>
  <si>
    <t xml:space="preserve">rate.L02.B1.min_charge</t>
  </si>
  <si>
    <t xml:space="preserve">L02 B1 min_charge</t>
  </si>
  <si>
    <t xml:space="preserve">rate.L02.B1.fuel_pct</t>
  </si>
  <si>
    <t xml:space="preserve">L02 B1 fuel_pct</t>
  </si>
  <si>
    <t xml:space="preserve">rate.L02.B1.docs_fee</t>
  </si>
  <si>
    <t xml:space="preserve">L02 B1 docs_fee</t>
  </si>
  <si>
    <t xml:space="preserve">rate.L02.B1.other_fee</t>
  </si>
  <si>
    <t xml:space="preserve">L02 B1 other_fee</t>
  </si>
  <si>
    <t xml:space="preserve">rate.L02.B1.discount_B_pct</t>
  </si>
  <si>
    <t xml:space="preserve">L02 B1 discount_B_pct</t>
  </si>
  <si>
    <t xml:space="preserve">rate.L02.B1.cost_per_shipment</t>
  </si>
  <si>
    <t xml:space="preserve">L02 B1 cost_per_shipment</t>
  </si>
  <si>
    <t xml:space="preserve">rate.L02.B2.mode</t>
  </si>
  <si>
    <t xml:space="preserve">L02 B2 mode</t>
  </si>
  <si>
    <t xml:space="preserve">rate.L02.B2.transit_days</t>
  </si>
  <si>
    <t xml:space="preserve">L02 B2 transit_days</t>
  </si>
  <si>
    <t xml:space="preserve">rate.L02.B2.transit_worst_days</t>
  </si>
  <si>
    <t xml:space="preserve">L02 B2 transit_worst_days</t>
  </si>
  <si>
    <t xml:space="preserve">rate.L02.B2.rate_per_kg</t>
  </si>
  <si>
    <t xml:space="preserve">L02 B2 rate_per_kg</t>
  </si>
  <si>
    <t xml:space="preserve">rate.L02.B2.min_charge</t>
  </si>
  <si>
    <t xml:space="preserve">L02 B2 min_charge</t>
  </si>
  <si>
    <t xml:space="preserve">rate.L02.B2.fuel_pct</t>
  </si>
  <si>
    <t xml:space="preserve">L02 B2 fuel_pct</t>
  </si>
  <si>
    <t xml:space="preserve">rate.L02.B2.docs_fee</t>
  </si>
  <si>
    <t xml:space="preserve">L02 B2 docs_fee</t>
  </si>
  <si>
    <t xml:space="preserve">rate.L02.B2.other_fee</t>
  </si>
  <si>
    <t xml:space="preserve">L02 B2 other_fee</t>
  </si>
  <si>
    <t xml:space="preserve">rate.L02.B2.discount_B_pct</t>
  </si>
  <si>
    <t xml:space="preserve">L02 B2 discount_B_pct</t>
  </si>
  <si>
    <t xml:space="preserve">rate.L02.B2.cost_per_shipment</t>
  </si>
  <si>
    <t xml:space="preserve">L02 B2 cost_per_shipment</t>
  </si>
  <si>
    <t xml:space="preserve">rate.L02.B3.mode</t>
  </si>
  <si>
    <t xml:space="preserve">L02 B3 mode</t>
  </si>
  <si>
    <t xml:space="preserve">rate.L02.B3.transit_days</t>
  </si>
  <si>
    <t xml:space="preserve">L02 B3 transit_days</t>
  </si>
  <si>
    <t xml:space="preserve">rate.L02.B3.transit_worst_days</t>
  </si>
  <si>
    <t xml:space="preserve">L02 B3 transit_worst_days</t>
  </si>
  <si>
    <t xml:space="preserve">rate.L02.B3.rate_per_kg</t>
  </si>
  <si>
    <t xml:space="preserve">L02 B3 rate_per_kg</t>
  </si>
  <si>
    <t xml:space="preserve">rate.L02.B3.min_charge</t>
  </si>
  <si>
    <t xml:space="preserve">L02 B3 min_charge</t>
  </si>
  <si>
    <t xml:space="preserve">rate.L02.B3.fuel_pct</t>
  </si>
  <si>
    <t xml:space="preserve">L02 B3 fuel_pct</t>
  </si>
  <si>
    <t xml:space="preserve">rate.L02.B3.docs_fee</t>
  </si>
  <si>
    <t xml:space="preserve">L02 B3 docs_fee</t>
  </si>
  <si>
    <t xml:space="preserve">rate.L02.B3.other_fee</t>
  </si>
  <si>
    <t xml:space="preserve">L02 B3 other_fee</t>
  </si>
  <si>
    <t xml:space="preserve">rate.L02.B3.discount_B_pct</t>
  </si>
  <si>
    <t xml:space="preserve">L02 B3 discount_B_pct</t>
  </si>
  <si>
    <t xml:space="preserve">rate.L02.B3.cost_per_shipment</t>
  </si>
  <si>
    <t xml:space="preserve">L02 B3 cost_per_shipment</t>
  </si>
  <si>
    <t xml:space="preserve">rate.L02.B4.mode</t>
  </si>
  <si>
    <t xml:space="preserve">L02 B4 mode</t>
  </si>
  <si>
    <t xml:space="preserve">rate.L02.B4.transit_days</t>
  </si>
  <si>
    <t xml:space="preserve">L02 B4 transit_days</t>
  </si>
  <si>
    <t xml:space="preserve">rate.L02.B4.transit_worst_days</t>
  </si>
  <si>
    <t xml:space="preserve">L02 B4 transit_worst_days</t>
  </si>
  <si>
    <t xml:space="preserve">rate.L02.B4.rate_per_kg</t>
  </si>
  <si>
    <t xml:space="preserve">L02 B4 rate_per_kg</t>
  </si>
  <si>
    <t xml:space="preserve">rate.L02.B4.min_charge</t>
  </si>
  <si>
    <t xml:space="preserve">L02 B4 min_charge</t>
  </si>
  <si>
    <t xml:space="preserve">rate.L02.B4.fuel_pct</t>
  </si>
  <si>
    <t xml:space="preserve">L02 B4 fuel_pct</t>
  </si>
  <si>
    <t xml:space="preserve">rate.L02.B4.docs_fee</t>
  </si>
  <si>
    <t xml:space="preserve">L02 B4 docs_fee</t>
  </si>
  <si>
    <t xml:space="preserve">rate.L02.B4.other_fee</t>
  </si>
  <si>
    <t xml:space="preserve">L02 B4 other_fee</t>
  </si>
  <si>
    <t xml:space="preserve">rate.L02.B4.discount_B_pct</t>
  </si>
  <si>
    <t xml:space="preserve">L02 B4 discount_B_pct</t>
  </si>
  <si>
    <t xml:space="preserve">rate.L02.B4.cost_per_shipment</t>
  </si>
  <si>
    <t xml:space="preserve">L02 B4 cost_per_shipment</t>
  </si>
  <si>
    <t xml:space="preserve">rate.L02.B5.mode</t>
  </si>
  <si>
    <t xml:space="preserve">L02 B5 mode</t>
  </si>
  <si>
    <t xml:space="preserve">rate.L02.B5.transit_days</t>
  </si>
  <si>
    <t xml:space="preserve">L02 B5 transit_days</t>
  </si>
  <si>
    <t xml:space="preserve">rate.L02.B5.transit_worst_days</t>
  </si>
  <si>
    <t xml:space="preserve">L02 B5 transit_worst_days</t>
  </si>
  <si>
    <t xml:space="preserve">rate.L02.B5.rate_per_kg</t>
  </si>
  <si>
    <t xml:space="preserve">L02 B5 rate_per_kg</t>
  </si>
  <si>
    <t xml:space="preserve">rate.L02.B5.min_charge</t>
  </si>
  <si>
    <t xml:space="preserve">L02 B5 min_charge</t>
  </si>
  <si>
    <t xml:space="preserve">rate.L02.B5.fuel_pct</t>
  </si>
  <si>
    <t xml:space="preserve">L02 B5 fuel_pct</t>
  </si>
  <si>
    <t xml:space="preserve">rate.L02.B5.docs_fee</t>
  </si>
  <si>
    <t xml:space="preserve">L02 B5 docs_fee</t>
  </si>
  <si>
    <t xml:space="preserve">rate.L02.B5.other_fee</t>
  </si>
  <si>
    <t xml:space="preserve">L02 B5 other_fee</t>
  </si>
  <si>
    <t xml:space="preserve">rate.L02.B5.discount_B_pct</t>
  </si>
  <si>
    <t xml:space="preserve">L02 B5 discount_B_pct</t>
  </si>
  <si>
    <t xml:space="preserve">rate.L02.B5.cost_per_shipment</t>
  </si>
  <si>
    <t xml:space="preserve">L02 B5 cost_per_shipment</t>
  </si>
  <si>
    <t xml:space="preserve">rate.L03.B1.mode</t>
  </si>
  <si>
    <t xml:space="preserve">L03 B1 mode</t>
  </si>
  <si>
    <t xml:space="preserve">rate.L03.B1.transit_days</t>
  </si>
  <si>
    <t xml:space="preserve">L03 B1 transit_days</t>
  </si>
  <si>
    <t xml:space="preserve">rate.L03.B1.transit_worst_days</t>
  </si>
  <si>
    <t xml:space="preserve">L03 B1 transit_worst_days</t>
  </si>
  <si>
    <t xml:space="preserve">rate.L03.B1.rate_per_kg</t>
  </si>
  <si>
    <t xml:space="preserve">L03 B1 rate_per_kg</t>
  </si>
  <si>
    <t xml:space="preserve">rate.L03.B1.min_charge</t>
  </si>
  <si>
    <t xml:space="preserve">L03 B1 min_charge</t>
  </si>
  <si>
    <t xml:space="preserve">rate.L03.B1.fuel_pct</t>
  </si>
  <si>
    <t xml:space="preserve">L03 B1 fuel_pct</t>
  </si>
  <si>
    <t xml:space="preserve">rate.L03.B1.docs_fee</t>
  </si>
  <si>
    <t xml:space="preserve">L03 B1 docs_fee</t>
  </si>
  <si>
    <t xml:space="preserve">rate.L03.B1.other_fee</t>
  </si>
  <si>
    <t xml:space="preserve">L03 B1 other_fee</t>
  </si>
  <si>
    <t xml:space="preserve">rate.L03.B1.discount_B_pct</t>
  </si>
  <si>
    <t xml:space="preserve">L03 B1 discount_B_pct</t>
  </si>
  <si>
    <t xml:space="preserve">rate.L03.B1.cost_per_shipment</t>
  </si>
  <si>
    <t xml:space="preserve">L03 B1 cost_per_shipment</t>
  </si>
  <si>
    <t xml:space="preserve">rate.L03.B2.mode</t>
  </si>
  <si>
    <t xml:space="preserve">L03 B2 mode</t>
  </si>
  <si>
    <t xml:space="preserve">rate.L03.B2.transit_days</t>
  </si>
  <si>
    <t xml:space="preserve">L03 B2 transit_days</t>
  </si>
  <si>
    <t xml:space="preserve">rate.L03.B2.transit_worst_days</t>
  </si>
  <si>
    <t xml:space="preserve">L03 B2 transit_worst_days</t>
  </si>
  <si>
    <t xml:space="preserve">rate.L03.B2.rate_per_kg</t>
  </si>
  <si>
    <t xml:space="preserve">L03 B2 rate_per_kg</t>
  </si>
  <si>
    <t xml:space="preserve">rate.L03.B2.min_charge</t>
  </si>
  <si>
    <t xml:space="preserve">L03 B2 min_charge</t>
  </si>
  <si>
    <t xml:space="preserve">rate.L03.B2.fuel_pct</t>
  </si>
  <si>
    <t xml:space="preserve">L03 B2 fuel_pct</t>
  </si>
  <si>
    <t xml:space="preserve">rate.L03.B2.docs_fee</t>
  </si>
  <si>
    <t xml:space="preserve">L03 B2 docs_fee</t>
  </si>
  <si>
    <t xml:space="preserve">rate.L03.B2.other_fee</t>
  </si>
  <si>
    <t xml:space="preserve">L03 B2 other_fee</t>
  </si>
  <si>
    <t xml:space="preserve">rate.L03.B2.discount_B_pct</t>
  </si>
  <si>
    <t xml:space="preserve">L03 B2 discount_B_pct</t>
  </si>
  <si>
    <t xml:space="preserve">rate.L03.B2.cost_per_shipment</t>
  </si>
  <si>
    <t xml:space="preserve">L03 B2 cost_per_shipment</t>
  </si>
  <si>
    <t xml:space="preserve">rate.L03.B3.mode</t>
  </si>
  <si>
    <t xml:space="preserve">L03 B3 mode</t>
  </si>
  <si>
    <t xml:space="preserve">rate.L03.B3.transit_days</t>
  </si>
  <si>
    <t xml:space="preserve">L03 B3 transit_days</t>
  </si>
  <si>
    <t xml:space="preserve">rate.L03.B3.transit_worst_days</t>
  </si>
  <si>
    <t xml:space="preserve">L03 B3 transit_worst_days</t>
  </si>
  <si>
    <t xml:space="preserve">rate.L03.B3.rate_per_kg</t>
  </si>
  <si>
    <t xml:space="preserve">L03 B3 rate_per_kg</t>
  </si>
  <si>
    <t xml:space="preserve">rate.L03.B3.min_charge</t>
  </si>
  <si>
    <t xml:space="preserve">L03 B3 min_charge</t>
  </si>
  <si>
    <t xml:space="preserve">rate.L03.B3.fuel_pct</t>
  </si>
  <si>
    <t xml:space="preserve">L03 B3 fuel_pct</t>
  </si>
  <si>
    <t xml:space="preserve">rate.L03.B3.docs_fee</t>
  </si>
  <si>
    <t xml:space="preserve">L03 B3 docs_fee</t>
  </si>
  <si>
    <t xml:space="preserve">rate.L03.B3.other_fee</t>
  </si>
  <si>
    <t xml:space="preserve">L03 B3 other_fee</t>
  </si>
  <si>
    <t xml:space="preserve">rate.L03.B3.discount_B_pct</t>
  </si>
  <si>
    <t xml:space="preserve">L03 B3 discount_B_pct</t>
  </si>
  <si>
    <t xml:space="preserve">rate.L03.B3.cost_per_shipment</t>
  </si>
  <si>
    <t xml:space="preserve">L03 B3 cost_per_shipment</t>
  </si>
  <si>
    <t xml:space="preserve">rate.L03.B4.mode</t>
  </si>
  <si>
    <t xml:space="preserve">L03 B4 mode</t>
  </si>
  <si>
    <t xml:space="preserve">rate.L03.B4.transit_days</t>
  </si>
  <si>
    <t xml:space="preserve">L03 B4 transit_days</t>
  </si>
  <si>
    <t xml:space="preserve">rate.L03.B4.transit_worst_days</t>
  </si>
  <si>
    <t xml:space="preserve">L03 B4 transit_worst_days</t>
  </si>
  <si>
    <t xml:space="preserve">rate.L03.B4.rate_per_kg</t>
  </si>
  <si>
    <t xml:space="preserve">L03 B4 rate_per_kg</t>
  </si>
  <si>
    <t xml:space="preserve">rate.L03.B4.min_charge</t>
  </si>
  <si>
    <t xml:space="preserve">L03 B4 min_charge</t>
  </si>
  <si>
    <t xml:space="preserve">rate.L03.B4.fuel_pct</t>
  </si>
  <si>
    <t xml:space="preserve">L03 B4 fuel_pct</t>
  </si>
  <si>
    <t xml:space="preserve">rate.L03.B4.docs_fee</t>
  </si>
  <si>
    <t xml:space="preserve">L03 B4 docs_fee</t>
  </si>
  <si>
    <t xml:space="preserve">rate.L03.B4.other_fee</t>
  </si>
  <si>
    <t xml:space="preserve">L03 B4 other_fee</t>
  </si>
  <si>
    <t xml:space="preserve">rate.L03.B4.discount_B_pct</t>
  </si>
  <si>
    <t xml:space="preserve">L03 B4 discount_B_pct</t>
  </si>
  <si>
    <t xml:space="preserve">rate.L03.B4.cost_per_shipment</t>
  </si>
  <si>
    <t xml:space="preserve">L03 B4 cost_per_shipment</t>
  </si>
  <si>
    <t xml:space="preserve">rate.L03.B5.mode</t>
  </si>
  <si>
    <t xml:space="preserve">L03 B5 mode</t>
  </si>
  <si>
    <t xml:space="preserve">rate.L03.B5.transit_days</t>
  </si>
  <si>
    <t xml:space="preserve">L03 B5 transit_days</t>
  </si>
  <si>
    <t xml:space="preserve">rate.L03.B5.transit_worst_days</t>
  </si>
  <si>
    <t xml:space="preserve">L03 B5 transit_worst_days</t>
  </si>
  <si>
    <t xml:space="preserve">rate.L03.B5.rate_per_kg</t>
  </si>
  <si>
    <t xml:space="preserve">L03 B5 rate_per_kg</t>
  </si>
  <si>
    <t xml:space="preserve">rate.L03.B5.min_charge</t>
  </si>
  <si>
    <t xml:space="preserve">L03 B5 min_charge</t>
  </si>
  <si>
    <t xml:space="preserve">rate.L03.B5.fuel_pct</t>
  </si>
  <si>
    <t xml:space="preserve">L03 B5 fuel_pct</t>
  </si>
  <si>
    <t xml:space="preserve">rate.L03.B5.docs_fee</t>
  </si>
  <si>
    <t xml:space="preserve">L03 B5 docs_fee</t>
  </si>
  <si>
    <t xml:space="preserve">rate.L03.B5.other_fee</t>
  </si>
  <si>
    <t xml:space="preserve">L03 B5 other_fee</t>
  </si>
  <si>
    <t xml:space="preserve">rate.L03.B5.discount_B_pct</t>
  </si>
  <si>
    <t xml:space="preserve">L03 B5 discount_B_pct</t>
  </si>
  <si>
    <t xml:space="preserve">rate.L03.B5.cost_per_shipment</t>
  </si>
  <si>
    <t xml:space="preserve">L03 B5 cost_per_shipment</t>
  </si>
  <si>
    <t xml:space="preserve">rate.L04.B1.mode</t>
  </si>
  <si>
    <t xml:space="preserve">L04 B1 mode</t>
  </si>
  <si>
    <t xml:space="preserve">rate.L04.B1.transit_days</t>
  </si>
  <si>
    <t xml:space="preserve">L04 B1 transit_days</t>
  </si>
  <si>
    <t xml:space="preserve">rate.L04.B1.transit_worst_days</t>
  </si>
  <si>
    <t xml:space="preserve">L04 B1 transit_worst_days</t>
  </si>
  <si>
    <t xml:space="preserve">rate.L04.B1.rate_per_kg</t>
  </si>
  <si>
    <t xml:space="preserve">L04 B1 rate_per_kg</t>
  </si>
  <si>
    <t xml:space="preserve">rate.L04.B1.min_charge</t>
  </si>
  <si>
    <t xml:space="preserve">L04 B1 min_charge</t>
  </si>
  <si>
    <t xml:space="preserve">rate.L04.B1.fuel_pct</t>
  </si>
  <si>
    <t xml:space="preserve">L04 B1 fuel_pct</t>
  </si>
  <si>
    <t xml:space="preserve">rate.L04.B1.docs_fee</t>
  </si>
  <si>
    <t xml:space="preserve">L04 B1 docs_fee</t>
  </si>
  <si>
    <t xml:space="preserve">rate.L04.B1.other_fee</t>
  </si>
  <si>
    <t xml:space="preserve">L04 B1 other_fee</t>
  </si>
  <si>
    <t xml:space="preserve">rate.L04.B1.discount_B_pct</t>
  </si>
  <si>
    <t xml:space="preserve">L04 B1 discount_B_pct</t>
  </si>
  <si>
    <t xml:space="preserve">rate.L04.B1.cost_per_shipment</t>
  </si>
  <si>
    <t xml:space="preserve">L04 B1 cost_per_shipment</t>
  </si>
  <si>
    <t xml:space="preserve">rate.L04.B2.mode</t>
  </si>
  <si>
    <t xml:space="preserve">L04 B2 mode</t>
  </si>
  <si>
    <t xml:space="preserve">rate.L04.B2.transit_days</t>
  </si>
  <si>
    <t xml:space="preserve">L04 B2 transit_days</t>
  </si>
  <si>
    <t xml:space="preserve">rate.L04.B2.transit_worst_days</t>
  </si>
  <si>
    <t xml:space="preserve">L04 B2 transit_worst_days</t>
  </si>
  <si>
    <t xml:space="preserve">rate.L04.B2.rate_per_kg</t>
  </si>
  <si>
    <t xml:space="preserve">L04 B2 rate_per_kg</t>
  </si>
  <si>
    <t xml:space="preserve">rate.L04.B2.min_charge</t>
  </si>
  <si>
    <t xml:space="preserve">L04 B2 min_charge</t>
  </si>
  <si>
    <t xml:space="preserve">rate.L04.B2.fuel_pct</t>
  </si>
  <si>
    <t xml:space="preserve">L04 B2 fuel_pct</t>
  </si>
  <si>
    <t xml:space="preserve">rate.L04.B2.docs_fee</t>
  </si>
  <si>
    <t xml:space="preserve">L04 B2 docs_fee</t>
  </si>
  <si>
    <t xml:space="preserve">rate.L04.B2.other_fee</t>
  </si>
  <si>
    <t xml:space="preserve">L04 B2 other_fee</t>
  </si>
  <si>
    <t xml:space="preserve">rate.L04.B2.discount_B_pct</t>
  </si>
  <si>
    <t xml:space="preserve">L04 B2 discount_B_pct</t>
  </si>
  <si>
    <t xml:space="preserve">rate.L04.B2.cost_per_shipment</t>
  </si>
  <si>
    <t xml:space="preserve">L04 B2 cost_per_shipment</t>
  </si>
  <si>
    <t xml:space="preserve">rate.L04.B3.mode</t>
  </si>
  <si>
    <t xml:space="preserve">L04 B3 mode</t>
  </si>
  <si>
    <t xml:space="preserve">rate.L04.B3.transit_days</t>
  </si>
  <si>
    <t xml:space="preserve">L04 B3 transit_days</t>
  </si>
  <si>
    <t xml:space="preserve">rate.L04.B3.transit_worst_days</t>
  </si>
  <si>
    <t xml:space="preserve">L04 B3 transit_worst_days</t>
  </si>
  <si>
    <t xml:space="preserve">rate.L04.B3.rate_per_kg</t>
  </si>
  <si>
    <t xml:space="preserve">L04 B3 rate_per_kg</t>
  </si>
  <si>
    <t xml:space="preserve">rate.L04.B3.min_charge</t>
  </si>
  <si>
    <t xml:space="preserve">L04 B3 min_charge</t>
  </si>
  <si>
    <t xml:space="preserve">rate.L04.B3.fuel_pct</t>
  </si>
  <si>
    <t xml:space="preserve">L04 B3 fuel_pct</t>
  </si>
  <si>
    <t xml:space="preserve">rate.L04.B3.docs_fee</t>
  </si>
  <si>
    <t xml:space="preserve">L04 B3 docs_fee</t>
  </si>
  <si>
    <t xml:space="preserve">rate.L04.B3.other_fee</t>
  </si>
  <si>
    <t xml:space="preserve">L04 B3 other_fee</t>
  </si>
  <si>
    <t xml:space="preserve">rate.L04.B3.discount_B_pct</t>
  </si>
  <si>
    <t xml:space="preserve">L04 B3 discount_B_pct</t>
  </si>
  <si>
    <t xml:space="preserve">rate.L04.B3.cost_per_shipment</t>
  </si>
  <si>
    <t xml:space="preserve">L04 B3 cost_per_shipment</t>
  </si>
  <si>
    <t xml:space="preserve">rate.L04.B4.mode</t>
  </si>
  <si>
    <t xml:space="preserve">L04 B4 mode</t>
  </si>
  <si>
    <t xml:space="preserve">rate.L04.B4.transit_days</t>
  </si>
  <si>
    <t xml:space="preserve">L04 B4 transit_days</t>
  </si>
  <si>
    <t xml:space="preserve">rate.L04.B4.transit_worst_days</t>
  </si>
  <si>
    <t xml:space="preserve">L04 B4 transit_worst_days</t>
  </si>
  <si>
    <t xml:space="preserve">rate.L04.B4.rate_per_kg</t>
  </si>
  <si>
    <t xml:space="preserve">L04 B4 rate_per_kg</t>
  </si>
  <si>
    <t xml:space="preserve">rate.L04.B4.min_charge</t>
  </si>
  <si>
    <t xml:space="preserve">L04 B4 min_charge</t>
  </si>
  <si>
    <t xml:space="preserve">rate.L04.B4.fuel_pct</t>
  </si>
  <si>
    <t xml:space="preserve">L04 B4 fuel_pct</t>
  </si>
  <si>
    <t xml:space="preserve">rate.L04.B4.docs_fee</t>
  </si>
  <si>
    <t xml:space="preserve">L04 B4 docs_fee</t>
  </si>
  <si>
    <t xml:space="preserve">rate.L04.B4.other_fee</t>
  </si>
  <si>
    <t xml:space="preserve">L04 B4 other_fee</t>
  </si>
  <si>
    <t xml:space="preserve">rate.L04.B4.discount_B_pct</t>
  </si>
  <si>
    <t xml:space="preserve">L04 B4 discount_B_pct</t>
  </si>
  <si>
    <t xml:space="preserve">rate.L04.B4.cost_per_shipment</t>
  </si>
  <si>
    <t xml:space="preserve">L04 B4 cost_per_shipment</t>
  </si>
  <si>
    <t xml:space="preserve">rate.L04.B5.mode</t>
  </si>
  <si>
    <t xml:space="preserve">L04 B5 mode</t>
  </si>
  <si>
    <t xml:space="preserve">rate.L04.B5.transit_days</t>
  </si>
  <si>
    <t xml:space="preserve">L04 B5 transit_days</t>
  </si>
  <si>
    <t xml:space="preserve">rate.L04.B5.transit_worst_days</t>
  </si>
  <si>
    <t xml:space="preserve">L04 B5 transit_worst_days</t>
  </si>
  <si>
    <t xml:space="preserve">rate.L04.B5.rate_per_kg</t>
  </si>
  <si>
    <t xml:space="preserve">L04 B5 rate_per_kg</t>
  </si>
  <si>
    <t xml:space="preserve">rate.L04.B5.min_charge</t>
  </si>
  <si>
    <t xml:space="preserve">L04 B5 min_charge</t>
  </si>
  <si>
    <t xml:space="preserve">rate.L04.B5.fuel_pct</t>
  </si>
  <si>
    <t xml:space="preserve">L04 B5 fuel_pct</t>
  </si>
  <si>
    <t xml:space="preserve">rate.L04.B5.docs_fee</t>
  </si>
  <si>
    <t xml:space="preserve">L04 B5 docs_fee</t>
  </si>
  <si>
    <t xml:space="preserve">rate.L04.B5.other_fee</t>
  </si>
  <si>
    <t xml:space="preserve">L04 B5 other_fee</t>
  </si>
  <si>
    <t xml:space="preserve">rate.L04.B5.discount_B_pct</t>
  </si>
  <si>
    <t xml:space="preserve">L04 B5 discount_B_pct</t>
  </si>
  <si>
    <t xml:space="preserve">rate.L04.B5.cost_per_shipment</t>
  </si>
  <si>
    <t xml:space="preserve">L04 B5 cost_per_shipment</t>
  </si>
  <si>
    <t xml:space="preserve">rate.L05.B1.mode</t>
  </si>
  <si>
    <t xml:space="preserve">L05 B1 mode</t>
  </si>
  <si>
    <t xml:space="preserve">rate.L05.B1.transit_days</t>
  </si>
  <si>
    <t xml:space="preserve">L05 B1 transit_days</t>
  </si>
  <si>
    <t xml:space="preserve">rate.L05.B1.transit_worst_days</t>
  </si>
  <si>
    <t xml:space="preserve">L05 B1 transit_worst_days</t>
  </si>
  <si>
    <t xml:space="preserve">rate.L05.B1.rate_per_kg</t>
  </si>
  <si>
    <t xml:space="preserve">L05 B1 rate_per_kg</t>
  </si>
  <si>
    <t xml:space="preserve">rate.L05.B1.min_charge</t>
  </si>
  <si>
    <t xml:space="preserve">L05 B1 min_charge</t>
  </si>
  <si>
    <t xml:space="preserve">rate.L05.B1.fuel_pct</t>
  </si>
  <si>
    <t xml:space="preserve">L05 B1 fuel_pct</t>
  </si>
  <si>
    <t xml:space="preserve">rate.L05.B1.docs_fee</t>
  </si>
  <si>
    <t xml:space="preserve">L05 B1 docs_fee</t>
  </si>
  <si>
    <t xml:space="preserve">rate.L05.B1.other_fee</t>
  </si>
  <si>
    <t xml:space="preserve">L05 B1 other_fee</t>
  </si>
  <si>
    <t xml:space="preserve">rate.L05.B1.discount_B_pct</t>
  </si>
  <si>
    <t xml:space="preserve">L05 B1 discount_B_pct</t>
  </si>
  <si>
    <t xml:space="preserve">rate.L05.B1.cost_per_shipment</t>
  </si>
  <si>
    <t xml:space="preserve">L05 B1 cost_per_shipment</t>
  </si>
  <si>
    <t xml:space="preserve">rate.L05.B2.mode</t>
  </si>
  <si>
    <t xml:space="preserve">L05 B2 mode</t>
  </si>
  <si>
    <t xml:space="preserve">rate.L05.B2.transit_days</t>
  </si>
  <si>
    <t xml:space="preserve">L05 B2 transit_days</t>
  </si>
  <si>
    <t xml:space="preserve">rate.L05.B2.transit_worst_days</t>
  </si>
  <si>
    <t xml:space="preserve">L05 B2 transit_worst_days</t>
  </si>
  <si>
    <t xml:space="preserve">rate.L05.B2.rate_per_kg</t>
  </si>
  <si>
    <t xml:space="preserve">L05 B2 rate_per_kg</t>
  </si>
  <si>
    <t xml:space="preserve">rate.L05.B2.min_charge</t>
  </si>
  <si>
    <t xml:space="preserve">L05 B2 min_charge</t>
  </si>
  <si>
    <t xml:space="preserve">rate.L05.B2.fuel_pct</t>
  </si>
  <si>
    <t xml:space="preserve">L05 B2 fuel_pct</t>
  </si>
  <si>
    <t xml:space="preserve">rate.L05.B2.docs_fee</t>
  </si>
  <si>
    <t xml:space="preserve">L05 B2 docs_fee</t>
  </si>
  <si>
    <t xml:space="preserve">rate.L05.B2.other_fee</t>
  </si>
  <si>
    <t xml:space="preserve">L05 B2 other_fee</t>
  </si>
  <si>
    <t xml:space="preserve">rate.L05.B2.discount_B_pct</t>
  </si>
  <si>
    <t xml:space="preserve">L05 B2 discount_B_pct</t>
  </si>
  <si>
    <t xml:space="preserve">rate.L05.B2.cost_per_shipment</t>
  </si>
  <si>
    <t xml:space="preserve">L05 B2 cost_per_shipment</t>
  </si>
  <si>
    <t xml:space="preserve">rate.L05.B3.mode</t>
  </si>
  <si>
    <t xml:space="preserve">L05 B3 mode</t>
  </si>
  <si>
    <t xml:space="preserve">rate.L05.B3.transit_days</t>
  </si>
  <si>
    <t xml:space="preserve">L05 B3 transit_days</t>
  </si>
  <si>
    <t xml:space="preserve">rate.L05.B3.transit_worst_days</t>
  </si>
  <si>
    <t xml:space="preserve">L05 B3 transit_worst_days</t>
  </si>
  <si>
    <t xml:space="preserve">rate.L05.B3.rate_per_kg</t>
  </si>
  <si>
    <t xml:space="preserve">L05 B3 rate_per_kg</t>
  </si>
  <si>
    <t xml:space="preserve">rate.L05.B3.min_charge</t>
  </si>
  <si>
    <t xml:space="preserve">L05 B3 min_charge</t>
  </si>
  <si>
    <t xml:space="preserve">rate.L05.B3.fuel_pct</t>
  </si>
  <si>
    <t xml:space="preserve">L05 B3 fuel_pct</t>
  </si>
  <si>
    <t xml:space="preserve">rate.L05.B3.docs_fee</t>
  </si>
  <si>
    <t xml:space="preserve">L05 B3 docs_fee</t>
  </si>
  <si>
    <t xml:space="preserve">rate.L05.B3.other_fee</t>
  </si>
  <si>
    <t xml:space="preserve">L05 B3 other_fee</t>
  </si>
  <si>
    <t xml:space="preserve">rate.L05.B3.discount_B_pct</t>
  </si>
  <si>
    <t xml:space="preserve">L05 B3 discount_B_pct</t>
  </si>
  <si>
    <t xml:space="preserve">rate.L05.B3.cost_per_shipment</t>
  </si>
  <si>
    <t xml:space="preserve">L05 B3 cost_per_shipment</t>
  </si>
  <si>
    <t xml:space="preserve">rate.L05.B4.mode</t>
  </si>
  <si>
    <t xml:space="preserve">L05 B4 mode</t>
  </si>
  <si>
    <t xml:space="preserve">rate.L05.B4.transit_days</t>
  </si>
  <si>
    <t xml:space="preserve">L05 B4 transit_days</t>
  </si>
  <si>
    <t xml:space="preserve">rate.L05.B4.transit_worst_days</t>
  </si>
  <si>
    <t xml:space="preserve">L05 B4 transit_worst_days</t>
  </si>
  <si>
    <t xml:space="preserve">rate.L05.B4.rate_per_kg</t>
  </si>
  <si>
    <t xml:space="preserve">L05 B4 rate_per_kg</t>
  </si>
  <si>
    <t xml:space="preserve">rate.L05.B4.min_charge</t>
  </si>
  <si>
    <t xml:space="preserve">L05 B4 min_charge</t>
  </si>
  <si>
    <t xml:space="preserve">rate.L05.B4.fuel_pct</t>
  </si>
  <si>
    <t xml:space="preserve">L05 B4 fuel_pct</t>
  </si>
  <si>
    <t xml:space="preserve">rate.L05.B4.docs_fee</t>
  </si>
  <si>
    <t xml:space="preserve">L05 B4 docs_fee</t>
  </si>
  <si>
    <t xml:space="preserve">rate.L05.B4.other_fee</t>
  </si>
  <si>
    <t xml:space="preserve">L05 B4 other_fee</t>
  </si>
  <si>
    <t xml:space="preserve">rate.L05.B4.discount_B_pct</t>
  </si>
  <si>
    <t xml:space="preserve">L05 B4 discount_B_pct</t>
  </si>
  <si>
    <t xml:space="preserve">rate.L05.B4.cost_per_shipment</t>
  </si>
  <si>
    <t xml:space="preserve">L05 B4 cost_per_shipment</t>
  </si>
  <si>
    <t xml:space="preserve">rate.L05.B5.mode</t>
  </si>
  <si>
    <t xml:space="preserve">L05 B5 mode</t>
  </si>
  <si>
    <t xml:space="preserve">rate.L05.B5.transit_days</t>
  </si>
  <si>
    <t xml:space="preserve">L05 B5 transit_days</t>
  </si>
  <si>
    <t xml:space="preserve">rate.L05.B5.transit_worst_days</t>
  </si>
  <si>
    <t xml:space="preserve">L05 B5 transit_worst_days</t>
  </si>
  <si>
    <t xml:space="preserve">rate.L05.B5.rate_per_kg</t>
  </si>
  <si>
    <t xml:space="preserve">L05 B5 rate_per_kg</t>
  </si>
  <si>
    <t xml:space="preserve">rate.L05.B5.min_charge</t>
  </si>
  <si>
    <t xml:space="preserve">L05 B5 min_charge</t>
  </si>
  <si>
    <t xml:space="preserve">rate.L05.B5.fuel_pct</t>
  </si>
  <si>
    <t xml:space="preserve">L05 B5 fuel_pct</t>
  </si>
  <si>
    <t xml:space="preserve">rate.L05.B5.docs_fee</t>
  </si>
  <si>
    <t xml:space="preserve">L05 B5 docs_fee</t>
  </si>
  <si>
    <t xml:space="preserve">rate.L05.B5.other_fee</t>
  </si>
  <si>
    <t xml:space="preserve">L05 B5 other_fee</t>
  </si>
  <si>
    <t xml:space="preserve">rate.L05.B5.discount_B_pct</t>
  </si>
  <si>
    <t xml:space="preserve">L05 B5 discount_B_pct</t>
  </si>
  <si>
    <t xml:space="preserve">rate.L05.B5.cost_per_shipment</t>
  </si>
  <si>
    <t xml:space="preserve">L05 B5 cost_per_shipment</t>
  </si>
  <si>
    <t xml:space="preserve">rate.L06.B1.mode</t>
  </si>
  <si>
    <t xml:space="preserve">L06 B1 mode</t>
  </si>
  <si>
    <t xml:space="preserve">rate.L06.B1.transit_days</t>
  </si>
  <si>
    <t xml:space="preserve">L06 B1 transit_days</t>
  </si>
  <si>
    <t xml:space="preserve">rate.L06.B1.transit_worst_days</t>
  </si>
  <si>
    <t xml:space="preserve">L06 B1 transit_worst_days</t>
  </si>
  <si>
    <t xml:space="preserve">rate.L06.B1.rate_per_kg</t>
  </si>
  <si>
    <t xml:space="preserve">L06 B1 rate_per_kg</t>
  </si>
  <si>
    <t xml:space="preserve">rate.L06.B1.min_charge</t>
  </si>
  <si>
    <t xml:space="preserve">L06 B1 min_charge</t>
  </si>
  <si>
    <t xml:space="preserve">rate.L06.B1.fuel_pct</t>
  </si>
  <si>
    <t xml:space="preserve">L06 B1 fuel_pct</t>
  </si>
  <si>
    <t xml:space="preserve">rate.L06.B1.docs_fee</t>
  </si>
  <si>
    <t xml:space="preserve">L06 B1 docs_fee</t>
  </si>
  <si>
    <t xml:space="preserve">rate.L06.B1.other_fee</t>
  </si>
  <si>
    <t xml:space="preserve">L06 B1 other_fee</t>
  </si>
  <si>
    <t xml:space="preserve">rate.L06.B1.discount_B_pct</t>
  </si>
  <si>
    <t xml:space="preserve">L06 B1 discount_B_pct</t>
  </si>
  <si>
    <t xml:space="preserve">rate.L06.B1.cost_per_shipment</t>
  </si>
  <si>
    <t xml:space="preserve">L06 B1 cost_per_shipment</t>
  </si>
  <si>
    <t xml:space="preserve">rate.L06.B2.mode</t>
  </si>
  <si>
    <t xml:space="preserve">L06 B2 mode</t>
  </si>
  <si>
    <t xml:space="preserve">rate.L06.B2.transit_days</t>
  </si>
  <si>
    <t xml:space="preserve">L06 B2 transit_days</t>
  </si>
  <si>
    <t xml:space="preserve">rate.L06.B2.transit_worst_days</t>
  </si>
  <si>
    <t xml:space="preserve">L06 B2 transit_worst_days</t>
  </si>
  <si>
    <t xml:space="preserve">rate.L06.B2.rate_per_kg</t>
  </si>
  <si>
    <t xml:space="preserve">L06 B2 rate_per_kg</t>
  </si>
  <si>
    <t xml:space="preserve">rate.L06.B2.min_charge</t>
  </si>
  <si>
    <t xml:space="preserve">L06 B2 min_charge</t>
  </si>
  <si>
    <t xml:space="preserve">rate.L06.B2.fuel_pct</t>
  </si>
  <si>
    <t xml:space="preserve">L06 B2 fuel_pct</t>
  </si>
  <si>
    <t xml:space="preserve">rate.L06.B2.docs_fee</t>
  </si>
  <si>
    <t xml:space="preserve">L06 B2 docs_fee</t>
  </si>
  <si>
    <t xml:space="preserve">rate.L06.B2.other_fee</t>
  </si>
  <si>
    <t xml:space="preserve">L06 B2 other_fee</t>
  </si>
  <si>
    <t xml:space="preserve">rate.L06.B2.discount_B_pct</t>
  </si>
  <si>
    <t xml:space="preserve">L06 B2 discount_B_pct</t>
  </si>
  <si>
    <t xml:space="preserve">rate.L06.B2.cost_per_shipment</t>
  </si>
  <si>
    <t xml:space="preserve">L06 B2 cost_per_shipment</t>
  </si>
  <si>
    <t xml:space="preserve">rate.L06.B3.mode</t>
  </si>
  <si>
    <t xml:space="preserve">L06 B3 mode</t>
  </si>
  <si>
    <t xml:space="preserve">rate.L06.B3.transit_days</t>
  </si>
  <si>
    <t xml:space="preserve">L06 B3 transit_days</t>
  </si>
  <si>
    <t xml:space="preserve">rate.L06.B3.transit_worst_days</t>
  </si>
  <si>
    <t xml:space="preserve">L06 B3 transit_worst_days</t>
  </si>
  <si>
    <t xml:space="preserve">rate.L06.B3.rate_per_kg</t>
  </si>
  <si>
    <t xml:space="preserve">L06 B3 rate_per_kg</t>
  </si>
  <si>
    <t xml:space="preserve">rate.L06.B3.min_charge</t>
  </si>
  <si>
    <t xml:space="preserve">L06 B3 min_charge</t>
  </si>
  <si>
    <t xml:space="preserve">rate.L06.B3.fuel_pct</t>
  </si>
  <si>
    <t xml:space="preserve">L06 B3 fuel_pct</t>
  </si>
  <si>
    <t xml:space="preserve">rate.L06.B3.docs_fee</t>
  </si>
  <si>
    <t xml:space="preserve">L06 B3 docs_fee</t>
  </si>
  <si>
    <t xml:space="preserve">rate.L06.B3.other_fee</t>
  </si>
  <si>
    <t xml:space="preserve">L06 B3 other_fee</t>
  </si>
  <si>
    <t xml:space="preserve">rate.L06.B3.discount_B_pct</t>
  </si>
  <si>
    <t xml:space="preserve">L06 B3 discount_B_pct</t>
  </si>
  <si>
    <t xml:space="preserve">rate.L06.B3.cost_per_shipment</t>
  </si>
  <si>
    <t xml:space="preserve">L06 B3 cost_per_shipment</t>
  </si>
  <si>
    <t xml:space="preserve">rate.L06.B4.mode</t>
  </si>
  <si>
    <t xml:space="preserve">L06 B4 mode</t>
  </si>
  <si>
    <t xml:space="preserve">rate.L06.B4.transit_days</t>
  </si>
  <si>
    <t xml:space="preserve">L06 B4 transit_days</t>
  </si>
  <si>
    <t xml:space="preserve">rate.L06.B4.transit_worst_days</t>
  </si>
  <si>
    <t xml:space="preserve">L06 B4 transit_worst_days</t>
  </si>
  <si>
    <t xml:space="preserve">rate.L06.B4.rate_per_kg</t>
  </si>
  <si>
    <t xml:space="preserve">L06 B4 rate_per_kg</t>
  </si>
  <si>
    <t xml:space="preserve">rate.L06.B4.min_charge</t>
  </si>
  <si>
    <t xml:space="preserve">L06 B4 min_charge</t>
  </si>
  <si>
    <t xml:space="preserve">rate.L06.B4.fuel_pct</t>
  </si>
  <si>
    <t xml:space="preserve">L06 B4 fuel_pct</t>
  </si>
  <si>
    <t xml:space="preserve">rate.L06.B4.docs_fee</t>
  </si>
  <si>
    <t xml:space="preserve">L06 B4 docs_fee</t>
  </si>
  <si>
    <t xml:space="preserve">rate.L06.B4.other_fee</t>
  </si>
  <si>
    <t xml:space="preserve">L06 B4 other_fee</t>
  </si>
  <si>
    <t xml:space="preserve">rate.L06.B4.discount_B_pct</t>
  </si>
  <si>
    <t xml:space="preserve">L06 B4 discount_B_pct</t>
  </si>
  <si>
    <t xml:space="preserve">rate.L06.B4.cost_per_shipment</t>
  </si>
  <si>
    <t xml:space="preserve">L06 B4 cost_per_shipment</t>
  </si>
  <si>
    <t xml:space="preserve">rate.L06.B5.mode</t>
  </si>
  <si>
    <t xml:space="preserve">L06 B5 mode</t>
  </si>
  <si>
    <t xml:space="preserve">rate.L06.B5.transit_days</t>
  </si>
  <si>
    <t xml:space="preserve">L06 B5 transit_days</t>
  </si>
  <si>
    <t xml:space="preserve">rate.L06.B5.transit_worst_days</t>
  </si>
  <si>
    <t xml:space="preserve">L06 B5 transit_worst_days</t>
  </si>
  <si>
    <t xml:space="preserve">rate.L06.B5.rate_per_kg</t>
  </si>
  <si>
    <t xml:space="preserve">L06 B5 rate_per_kg</t>
  </si>
  <si>
    <t xml:space="preserve">rate.L06.B5.min_charge</t>
  </si>
  <si>
    <t xml:space="preserve">L06 B5 min_charge</t>
  </si>
  <si>
    <t xml:space="preserve">rate.L06.B5.fuel_pct</t>
  </si>
  <si>
    <t xml:space="preserve">L06 B5 fuel_pct</t>
  </si>
  <si>
    <t xml:space="preserve">rate.L06.B5.docs_fee</t>
  </si>
  <si>
    <t xml:space="preserve">L06 B5 docs_fee</t>
  </si>
  <si>
    <t xml:space="preserve">rate.L06.B5.other_fee</t>
  </si>
  <si>
    <t xml:space="preserve">L06 B5 other_fee</t>
  </si>
  <si>
    <t xml:space="preserve">rate.L06.B5.discount_B_pct</t>
  </si>
  <si>
    <t xml:space="preserve">L06 B5 discount_B_pct</t>
  </si>
  <si>
    <t xml:space="preserve">rate.L06.B5.cost_per_shipment</t>
  </si>
  <si>
    <t xml:space="preserve">L06 B5 cost_per_shipment</t>
  </si>
  <si>
    <t xml:space="preserve">rate.L07.B1.mode</t>
  </si>
  <si>
    <t xml:space="preserve">L07 B1 mode</t>
  </si>
  <si>
    <t xml:space="preserve">rate.L07.B1.transit_days</t>
  </si>
  <si>
    <t xml:space="preserve">L07 B1 transit_days</t>
  </si>
  <si>
    <t xml:space="preserve">rate.L07.B1.transit_worst_days</t>
  </si>
  <si>
    <t xml:space="preserve">L07 B1 transit_worst_days</t>
  </si>
  <si>
    <t xml:space="preserve">rate.L07.B1.rate_per_kg</t>
  </si>
  <si>
    <t xml:space="preserve">L07 B1 rate_per_kg</t>
  </si>
  <si>
    <t xml:space="preserve">rate.L07.B1.min_charge</t>
  </si>
  <si>
    <t xml:space="preserve">L07 B1 min_charge</t>
  </si>
  <si>
    <t xml:space="preserve">rate.L07.B1.fuel_pct</t>
  </si>
  <si>
    <t xml:space="preserve">L07 B1 fuel_pct</t>
  </si>
  <si>
    <t xml:space="preserve">rate.L07.B1.docs_fee</t>
  </si>
  <si>
    <t xml:space="preserve">L07 B1 docs_fee</t>
  </si>
  <si>
    <t xml:space="preserve">rate.L07.B1.other_fee</t>
  </si>
  <si>
    <t xml:space="preserve">L07 B1 other_fee</t>
  </si>
  <si>
    <t xml:space="preserve">rate.L07.B1.discount_B_pct</t>
  </si>
  <si>
    <t xml:space="preserve">L07 B1 discount_B_pct</t>
  </si>
  <si>
    <t xml:space="preserve">rate.L07.B1.cost_per_shipment</t>
  </si>
  <si>
    <t xml:space="preserve">L07 B1 cost_per_shipment</t>
  </si>
  <si>
    <t xml:space="preserve">rate.L07.B2.mode</t>
  </si>
  <si>
    <t xml:space="preserve">L07 B2 mode</t>
  </si>
  <si>
    <t xml:space="preserve">rate.L07.B2.transit_days</t>
  </si>
  <si>
    <t xml:space="preserve">L07 B2 transit_days</t>
  </si>
  <si>
    <t xml:space="preserve">rate.L07.B2.transit_worst_days</t>
  </si>
  <si>
    <t xml:space="preserve">L07 B2 transit_worst_days</t>
  </si>
  <si>
    <t xml:space="preserve">rate.L07.B2.rate_per_kg</t>
  </si>
  <si>
    <t xml:space="preserve">L07 B2 rate_per_kg</t>
  </si>
  <si>
    <t xml:space="preserve">rate.L07.B2.min_charge</t>
  </si>
  <si>
    <t xml:space="preserve">L07 B2 min_charge</t>
  </si>
  <si>
    <t xml:space="preserve">rate.L07.B2.fuel_pct</t>
  </si>
  <si>
    <t xml:space="preserve">L07 B2 fuel_pct</t>
  </si>
  <si>
    <t xml:space="preserve">rate.L07.B2.docs_fee</t>
  </si>
  <si>
    <t xml:space="preserve">L07 B2 docs_fee</t>
  </si>
  <si>
    <t xml:space="preserve">rate.L07.B2.other_fee</t>
  </si>
  <si>
    <t xml:space="preserve">L07 B2 other_fee</t>
  </si>
  <si>
    <t xml:space="preserve">rate.L07.B2.discount_B_pct</t>
  </si>
  <si>
    <t xml:space="preserve">L07 B2 discount_B_pct</t>
  </si>
  <si>
    <t xml:space="preserve">rate.L07.B2.cost_per_shipment</t>
  </si>
  <si>
    <t xml:space="preserve">L07 B2 cost_per_shipment</t>
  </si>
  <si>
    <t xml:space="preserve">rate.L07.B3.mode</t>
  </si>
  <si>
    <t xml:space="preserve">L07 B3 mode</t>
  </si>
  <si>
    <t xml:space="preserve">rate.L07.B3.transit_days</t>
  </si>
  <si>
    <t xml:space="preserve">L07 B3 transit_days</t>
  </si>
  <si>
    <t xml:space="preserve">rate.L07.B3.transit_worst_days</t>
  </si>
  <si>
    <t xml:space="preserve">L07 B3 transit_worst_days</t>
  </si>
  <si>
    <t xml:space="preserve">rate.L07.B3.rate_per_kg</t>
  </si>
  <si>
    <t xml:space="preserve">L07 B3 rate_per_kg</t>
  </si>
  <si>
    <t xml:space="preserve">rate.L07.B3.min_charge</t>
  </si>
  <si>
    <t xml:space="preserve">L07 B3 min_charge</t>
  </si>
  <si>
    <t xml:space="preserve">rate.L07.B3.fuel_pct</t>
  </si>
  <si>
    <t xml:space="preserve">L07 B3 fuel_pct</t>
  </si>
  <si>
    <t xml:space="preserve">rate.L07.B3.docs_fee</t>
  </si>
  <si>
    <t xml:space="preserve">L07 B3 docs_fee</t>
  </si>
  <si>
    <t xml:space="preserve">rate.L07.B3.other_fee</t>
  </si>
  <si>
    <t xml:space="preserve">L07 B3 other_fee</t>
  </si>
  <si>
    <t xml:space="preserve">rate.L07.B3.discount_B_pct</t>
  </si>
  <si>
    <t xml:space="preserve">L07 B3 discount_B_pct</t>
  </si>
  <si>
    <t xml:space="preserve">rate.L07.B3.cost_per_shipment</t>
  </si>
  <si>
    <t xml:space="preserve">L07 B3 cost_per_shipment</t>
  </si>
  <si>
    <t xml:space="preserve">rate.L07.B4.mode</t>
  </si>
  <si>
    <t xml:space="preserve">L07 B4 mode</t>
  </si>
  <si>
    <t xml:space="preserve">rate.L07.B4.transit_days</t>
  </si>
  <si>
    <t xml:space="preserve">L07 B4 transit_days</t>
  </si>
  <si>
    <t xml:space="preserve">rate.L07.B4.transit_worst_days</t>
  </si>
  <si>
    <t xml:space="preserve">L07 B4 transit_worst_days</t>
  </si>
  <si>
    <t xml:space="preserve">rate.L07.B4.rate_per_kg</t>
  </si>
  <si>
    <t xml:space="preserve">L07 B4 rate_per_kg</t>
  </si>
  <si>
    <t xml:space="preserve">rate.L07.B4.min_charge</t>
  </si>
  <si>
    <t xml:space="preserve">L07 B4 min_charge</t>
  </si>
  <si>
    <t xml:space="preserve">rate.L07.B4.fuel_pct</t>
  </si>
  <si>
    <t xml:space="preserve">L07 B4 fuel_pct</t>
  </si>
  <si>
    <t xml:space="preserve">rate.L07.B4.docs_fee</t>
  </si>
  <si>
    <t xml:space="preserve">L07 B4 docs_fee</t>
  </si>
  <si>
    <t xml:space="preserve">rate.L07.B4.other_fee</t>
  </si>
  <si>
    <t xml:space="preserve">L07 B4 other_fee</t>
  </si>
  <si>
    <t xml:space="preserve">rate.L07.B4.discount_B_pct</t>
  </si>
  <si>
    <t xml:space="preserve">L07 B4 discount_B_pct</t>
  </si>
  <si>
    <t xml:space="preserve">rate.L07.B4.cost_per_shipment</t>
  </si>
  <si>
    <t xml:space="preserve">L07 B4 cost_per_shipment</t>
  </si>
  <si>
    <t xml:space="preserve">rate.L07.B5.mode</t>
  </si>
  <si>
    <t xml:space="preserve">L07 B5 mode</t>
  </si>
  <si>
    <t xml:space="preserve">rate.L07.B5.transit_days</t>
  </si>
  <si>
    <t xml:space="preserve">L07 B5 transit_days</t>
  </si>
  <si>
    <t xml:space="preserve">rate.L07.B5.transit_worst_days</t>
  </si>
  <si>
    <t xml:space="preserve">L07 B5 transit_worst_days</t>
  </si>
  <si>
    <t xml:space="preserve">rate.L07.B5.rate_per_kg</t>
  </si>
  <si>
    <t xml:space="preserve">L07 B5 rate_per_kg</t>
  </si>
  <si>
    <t xml:space="preserve">rate.L07.B5.min_charge</t>
  </si>
  <si>
    <t xml:space="preserve">L07 B5 min_charge</t>
  </si>
  <si>
    <t xml:space="preserve">rate.L07.B5.fuel_pct</t>
  </si>
  <si>
    <t xml:space="preserve">L07 B5 fuel_pct</t>
  </si>
  <si>
    <t xml:space="preserve">rate.L07.B5.docs_fee</t>
  </si>
  <si>
    <t xml:space="preserve">L07 B5 docs_fee</t>
  </si>
  <si>
    <t xml:space="preserve">rate.L07.B5.other_fee</t>
  </si>
  <si>
    <t xml:space="preserve">L07 B5 other_fee</t>
  </si>
  <si>
    <t xml:space="preserve">rate.L07.B5.discount_B_pct</t>
  </si>
  <si>
    <t xml:space="preserve">L07 B5 discount_B_pct</t>
  </si>
  <si>
    <t xml:space="preserve">rate.L07.B5.cost_per_shipment</t>
  </si>
  <si>
    <t xml:space="preserve">L07 B5 cost_per_shipment</t>
  </si>
  <si>
    <t xml:space="preserve">rate.L08.B1.mode</t>
  </si>
  <si>
    <t xml:space="preserve">L08 B1 mode</t>
  </si>
  <si>
    <t xml:space="preserve">rate.L08.B1.transit_days</t>
  </si>
  <si>
    <t xml:space="preserve">L08 B1 transit_days</t>
  </si>
  <si>
    <t xml:space="preserve">rate.L08.B1.transit_worst_days</t>
  </si>
  <si>
    <t xml:space="preserve">L08 B1 transit_worst_days</t>
  </si>
  <si>
    <t xml:space="preserve">rate.L08.B1.rate_per_kg</t>
  </si>
  <si>
    <t xml:space="preserve">L08 B1 rate_per_kg</t>
  </si>
  <si>
    <t xml:space="preserve">rate.L08.B1.min_charge</t>
  </si>
  <si>
    <t xml:space="preserve">L08 B1 min_charge</t>
  </si>
  <si>
    <t xml:space="preserve">rate.L08.B1.fuel_pct</t>
  </si>
  <si>
    <t xml:space="preserve">L08 B1 fuel_pct</t>
  </si>
  <si>
    <t xml:space="preserve">rate.L08.B1.docs_fee</t>
  </si>
  <si>
    <t xml:space="preserve">L08 B1 docs_fee</t>
  </si>
  <si>
    <t xml:space="preserve">rate.L08.B1.other_fee</t>
  </si>
  <si>
    <t xml:space="preserve">L08 B1 other_fee</t>
  </si>
  <si>
    <t xml:space="preserve">rate.L08.B1.discount_B_pct</t>
  </si>
  <si>
    <t xml:space="preserve">L08 B1 discount_B_pct</t>
  </si>
  <si>
    <t xml:space="preserve">rate.L08.B1.cost_per_shipment</t>
  </si>
  <si>
    <t xml:space="preserve">L08 B1 cost_per_shipment</t>
  </si>
  <si>
    <t xml:space="preserve">rate.L08.B2.mode</t>
  </si>
  <si>
    <t xml:space="preserve">L08 B2 mode</t>
  </si>
  <si>
    <t xml:space="preserve">rate.L08.B2.transit_days</t>
  </si>
  <si>
    <t xml:space="preserve">L08 B2 transit_days</t>
  </si>
  <si>
    <t xml:space="preserve">rate.L08.B2.transit_worst_days</t>
  </si>
  <si>
    <t xml:space="preserve">L08 B2 transit_worst_days</t>
  </si>
  <si>
    <t xml:space="preserve">rate.L08.B2.rate_per_kg</t>
  </si>
  <si>
    <t xml:space="preserve">L08 B2 rate_per_kg</t>
  </si>
  <si>
    <t xml:space="preserve">rate.L08.B2.min_charge</t>
  </si>
  <si>
    <t xml:space="preserve">L08 B2 min_charge</t>
  </si>
  <si>
    <t xml:space="preserve">rate.L08.B2.fuel_pct</t>
  </si>
  <si>
    <t xml:space="preserve">L08 B2 fuel_pct</t>
  </si>
  <si>
    <t xml:space="preserve">rate.L08.B2.docs_fee</t>
  </si>
  <si>
    <t xml:space="preserve">L08 B2 docs_fee</t>
  </si>
  <si>
    <t xml:space="preserve">rate.L08.B2.other_fee</t>
  </si>
  <si>
    <t xml:space="preserve">L08 B2 other_fee</t>
  </si>
  <si>
    <t xml:space="preserve">rate.L08.B2.discount_B_pct</t>
  </si>
  <si>
    <t xml:space="preserve">L08 B2 discount_B_pct</t>
  </si>
  <si>
    <t xml:space="preserve">rate.L08.B2.cost_per_shipment</t>
  </si>
  <si>
    <t xml:space="preserve">L08 B2 cost_per_shipment</t>
  </si>
  <si>
    <t xml:space="preserve">rate.L08.B3.mode</t>
  </si>
  <si>
    <t xml:space="preserve">L08 B3 mode</t>
  </si>
  <si>
    <t xml:space="preserve">rate.L08.B3.transit_days</t>
  </si>
  <si>
    <t xml:space="preserve">L08 B3 transit_days</t>
  </si>
  <si>
    <t xml:space="preserve">rate.L08.B3.transit_worst_days</t>
  </si>
  <si>
    <t xml:space="preserve">L08 B3 transit_worst_days</t>
  </si>
  <si>
    <t xml:space="preserve">rate.L08.B3.rate_per_kg</t>
  </si>
  <si>
    <t xml:space="preserve">L08 B3 rate_per_kg</t>
  </si>
  <si>
    <t xml:space="preserve">rate.L08.B3.min_charge</t>
  </si>
  <si>
    <t xml:space="preserve">L08 B3 min_charge</t>
  </si>
  <si>
    <t xml:space="preserve">rate.L08.B3.fuel_pct</t>
  </si>
  <si>
    <t xml:space="preserve">L08 B3 fuel_pct</t>
  </si>
  <si>
    <t xml:space="preserve">rate.L08.B3.docs_fee</t>
  </si>
  <si>
    <t xml:space="preserve">L08 B3 docs_fee</t>
  </si>
  <si>
    <t xml:space="preserve">rate.L08.B3.other_fee</t>
  </si>
  <si>
    <t xml:space="preserve">L08 B3 other_fee</t>
  </si>
  <si>
    <t xml:space="preserve">rate.L08.B3.discount_B_pct</t>
  </si>
  <si>
    <t xml:space="preserve">L08 B3 discount_B_pct</t>
  </si>
  <si>
    <t xml:space="preserve">rate.L08.B3.cost_per_shipment</t>
  </si>
  <si>
    <t xml:space="preserve">L08 B3 cost_per_shipment</t>
  </si>
  <si>
    <t xml:space="preserve">rate.L08.B4.mode</t>
  </si>
  <si>
    <t xml:space="preserve">L08 B4 mode</t>
  </si>
  <si>
    <t xml:space="preserve">rate.L08.B4.transit_days</t>
  </si>
  <si>
    <t xml:space="preserve">L08 B4 transit_days</t>
  </si>
  <si>
    <t xml:space="preserve">rate.L08.B4.transit_worst_days</t>
  </si>
  <si>
    <t xml:space="preserve">L08 B4 transit_worst_days</t>
  </si>
  <si>
    <t xml:space="preserve">rate.L08.B4.rate_per_kg</t>
  </si>
  <si>
    <t xml:space="preserve">L08 B4 rate_per_kg</t>
  </si>
  <si>
    <t xml:space="preserve">rate.L08.B4.min_charge</t>
  </si>
  <si>
    <t xml:space="preserve">L08 B4 min_charge</t>
  </si>
  <si>
    <t xml:space="preserve">rate.L08.B4.fuel_pct</t>
  </si>
  <si>
    <t xml:space="preserve">L08 B4 fuel_pct</t>
  </si>
  <si>
    <t xml:space="preserve">rate.L08.B4.docs_fee</t>
  </si>
  <si>
    <t xml:space="preserve">L08 B4 docs_fee</t>
  </si>
  <si>
    <t xml:space="preserve">rate.L08.B4.other_fee</t>
  </si>
  <si>
    <t xml:space="preserve">L08 B4 other_fee</t>
  </si>
  <si>
    <t xml:space="preserve">rate.L08.B4.discount_B_pct</t>
  </si>
  <si>
    <t xml:space="preserve">L08 B4 discount_B_pct</t>
  </si>
  <si>
    <t xml:space="preserve">rate.L08.B4.cost_per_shipment</t>
  </si>
  <si>
    <t xml:space="preserve">L08 B4 cost_per_shipment</t>
  </si>
  <si>
    <t xml:space="preserve">rate.L08.B5.mode</t>
  </si>
  <si>
    <t xml:space="preserve">L08 B5 mode</t>
  </si>
  <si>
    <t xml:space="preserve">rate.L08.B5.transit_days</t>
  </si>
  <si>
    <t xml:space="preserve">L08 B5 transit_days</t>
  </si>
  <si>
    <t xml:space="preserve">rate.L08.B5.transit_worst_days</t>
  </si>
  <si>
    <t xml:space="preserve">L08 B5 transit_worst_days</t>
  </si>
  <si>
    <t xml:space="preserve">rate.L08.B5.rate_per_kg</t>
  </si>
  <si>
    <t xml:space="preserve">L08 B5 rate_per_kg</t>
  </si>
  <si>
    <t xml:space="preserve">rate.L08.B5.min_charge</t>
  </si>
  <si>
    <t xml:space="preserve">L08 B5 min_charge</t>
  </si>
  <si>
    <t xml:space="preserve">rate.L08.B5.fuel_pct</t>
  </si>
  <si>
    <t xml:space="preserve">L08 B5 fuel_pct</t>
  </si>
  <si>
    <t xml:space="preserve">rate.L08.B5.docs_fee</t>
  </si>
  <si>
    <t xml:space="preserve">L08 B5 docs_fee</t>
  </si>
  <si>
    <t xml:space="preserve">rate.L08.B5.other_fee</t>
  </si>
  <si>
    <t xml:space="preserve">L08 B5 other_fee</t>
  </si>
  <si>
    <t xml:space="preserve">rate.L08.B5.discount_B_pct</t>
  </si>
  <si>
    <t xml:space="preserve">L08 B5 discount_B_pct</t>
  </si>
  <si>
    <t xml:space="preserve">rate.L08.B5.cost_per_shipment</t>
  </si>
  <si>
    <t xml:space="preserve">L08 B5 cost_per_shipment</t>
  </si>
  <si>
    <t xml:space="preserve">rate.L09.B1.mode</t>
  </si>
  <si>
    <t xml:space="preserve">L09 B1 mode</t>
  </si>
  <si>
    <t xml:space="preserve">rate.L09.B1.transit_days</t>
  </si>
  <si>
    <t xml:space="preserve">L09 B1 transit_days</t>
  </si>
  <si>
    <t xml:space="preserve">rate.L09.B1.transit_worst_days</t>
  </si>
  <si>
    <t xml:space="preserve">L09 B1 transit_worst_days</t>
  </si>
  <si>
    <t xml:space="preserve">rate.L09.B1.rate_per_kg</t>
  </si>
  <si>
    <t xml:space="preserve">L09 B1 rate_per_kg</t>
  </si>
  <si>
    <t xml:space="preserve">rate.L09.B1.min_charge</t>
  </si>
  <si>
    <t xml:space="preserve">L09 B1 min_charge</t>
  </si>
  <si>
    <t xml:space="preserve">rate.L09.B1.fuel_pct</t>
  </si>
  <si>
    <t xml:space="preserve">L09 B1 fuel_pct</t>
  </si>
  <si>
    <t xml:space="preserve">rate.L09.B1.docs_fee</t>
  </si>
  <si>
    <t xml:space="preserve">L09 B1 docs_fee</t>
  </si>
  <si>
    <t xml:space="preserve">rate.L09.B1.other_fee</t>
  </si>
  <si>
    <t xml:space="preserve">L09 B1 other_fee</t>
  </si>
  <si>
    <t xml:space="preserve">rate.L09.B1.discount_B_pct</t>
  </si>
  <si>
    <t xml:space="preserve">L09 B1 discount_B_pct</t>
  </si>
  <si>
    <t xml:space="preserve">rate.L09.B1.cost_per_shipment</t>
  </si>
  <si>
    <t xml:space="preserve">L09 B1 cost_per_shipment</t>
  </si>
  <si>
    <t xml:space="preserve">rate.L09.B2.mode</t>
  </si>
  <si>
    <t xml:space="preserve">L09 B2 mode</t>
  </si>
  <si>
    <t xml:space="preserve">rate.L09.B2.transit_days</t>
  </si>
  <si>
    <t xml:space="preserve">L09 B2 transit_days</t>
  </si>
  <si>
    <t xml:space="preserve">rate.L09.B2.transit_worst_days</t>
  </si>
  <si>
    <t xml:space="preserve">L09 B2 transit_worst_days</t>
  </si>
  <si>
    <t xml:space="preserve">rate.L09.B2.rate_per_kg</t>
  </si>
  <si>
    <t xml:space="preserve">L09 B2 rate_per_kg</t>
  </si>
  <si>
    <t xml:space="preserve">rate.L09.B2.min_charge</t>
  </si>
  <si>
    <t xml:space="preserve">L09 B2 min_charge</t>
  </si>
  <si>
    <t xml:space="preserve">rate.L09.B2.fuel_pct</t>
  </si>
  <si>
    <t xml:space="preserve">L09 B2 fuel_pct</t>
  </si>
  <si>
    <t xml:space="preserve">rate.L09.B2.docs_fee</t>
  </si>
  <si>
    <t xml:space="preserve">L09 B2 docs_fee</t>
  </si>
  <si>
    <t xml:space="preserve">rate.L09.B2.other_fee</t>
  </si>
  <si>
    <t xml:space="preserve">L09 B2 other_fee</t>
  </si>
  <si>
    <t xml:space="preserve">rate.L09.B2.discount_B_pct</t>
  </si>
  <si>
    <t xml:space="preserve">L09 B2 discount_B_pct</t>
  </si>
  <si>
    <t xml:space="preserve">rate.L09.B2.cost_per_shipment</t>
  </si>
  <si>
    <t xml:space="preserve">L09 B2 cost_per_shipment</t>
  </si>
  <si>
    <t xml:space="preserve">rate.L09.B3.mode</t>
  </si>
  <si>
    <t xml:space="preserve">L09 B3 mode</t>
  </si>
  <si>
    <t xml:space="preserve">rate.L09.B3.transit_days</t>
  </si>
  <si>
    <t xml:space="preserve">L09 B3 transit_days</t>
  </si>
  <si>
    <t xml:space="preserve">rate.L09.B3.transit_worst_days</t>
  </si>
  <si>
    <t xml:space="preserve">L09 B3 transit_worst_days</t>
  </si>
  <si>
    <t xml:space="preserve">rate.L09.B3.rate_per_kg</t>
  </si>
  <si>
    <t xml:space="preserve">L09 B3 rate_per_kg</t>
  </si>
  <si>
    <t xml:space="preserve">rate.L09.B3.min_charge</t>
  </si>
  <si>
    <t xml:space="preserve">L09 B3 min_charge</t>
  </si>
  <si>
    <t xml:space="preserve">rate.L09.B3.fuel_pct</t>
  </si>
  <si>
    <t xml:space="preserve">L09 B3 fuel_pct</t>
  </si>
  <si>
    <t xml:space="preserve">rate.L09.B3.docs_fee</t>
  </si>
  <si>
    <t xml:space="preserve">L09 B3 docs_fee</t>
  </si>
  <si>
    <t xml:space="preserve">rate.L09.B3.other_fee</t>
  </si>
  <si>
    <t xml:space="preserve">L09 B3 other_fee</t>
  </si>
  <si>
    <t xml:space="preserve">rate.L09.B3.discount_B_pct</t>
  </si>
  <si>
    <t xml:space="preserve">L09 B3 discount_B_pct</t>
  </si>
  <si>
    <t xml:space="preserve">rate.L09.B3.cost_per_shipment</t>
  </si>
  <si>
    <t xml:space="preserve">L09 B3 cost_per_shipment</t>
  </si>
  <si>
    <t xml:space="preserve">rate.L09.B4.mode</t>
  </si>
  <si>
    <t xml:space="preserve">L09 B4 mode</t>
  </si>
  <si>
    <t xml:space="preserve">rate.L09.B4.transit_days</t>
  </si>
  <si>
    <t xml:space="preserve">L09 B4 transit_days</t>
  </si>
  <si>
    <t xml:space="preserve">rate.L09.B4.transit_worst_days</t>
  </si>
  <si>
    <t xml:space="preserve">L09 B4 transit_worst_days</t>
  </si>
  <si>
    <t xml:space="preserve">rate.L09.B4.rate_per_kg</t>
  </si>
  <si>
    <t xml:space="preserve">L09 B4 rate_per_kg</t>
  </si>
  <si>
    <t xml:space="preserve">rate.L09.B4.min_charge</t>
  </si>
  <si>
    <t xml:space="preserve">L09 B4 min_charge</t>
  </si>
  <si>
    <t xml:space="preserve">rate.L09.B4.fuel_pct</t>
  </si>
  <si>
    <t xml:space="preserve">L09 B4 fuel_pct</t>
  </si>
  <si>
    <t xml:space="preserve">rate.L09.B4.docs_fee</t>
  </si>
  <si>
    <t xml:space="preserve">L09 B4 docs_fee</t>
  </si>
  <si>
    <t xml:space="preserve">rate.L09.B4.other_fee</t>
  </si>
  <si>
    <t xml:space="preserve">L09 B4 other_fee</t>
  </si>
  <si>
    <t xml:space="preserve">rate.L09.B4.discount_B_pct</t>
  </si>
  <si>
    <t xml:space="preserve">L09 B4 discount_B_pct</t>
  </si>
  <si>
    <t xml:space="preserve">rate.L09.B4.cost_per_shipment</t>
  </si>
  <si>
    <t xml:space="preserve">L09 B4 cost_per_shipment</t>
  </si>
  <si>
    <t xml:space="preserve">rate.L09.B5.mode</t>
  </si>
  <si>
    <t xml:space="preserve">L09 B5 mode</t>
  </si>
  <si>
    <t xml:space="preserve">rate.L09.B5.transit_days</t>
  </si>
  <si>
    <t xml:space="preserve">L09 B5 transit_days</t>
  </si>
  <si>
    <t xml:space="preserve">rate.L09.B5.transit_worst_days</t>
  </si>
  <si>
    <t xml:space="preserve">L09 B5 transit_worst_days</t>
  </si>
  <si>
    <t xml:space="preserve">rate.L09.B5.rate_per_kg</t>
  </si>
  <si>
    <t xml:space="preserve">L09 B5 rate_per_kg</t>
  </si>
  <si>
    <t xml:space="preserve">rate.L09.B5.min_charge</t>
  </si>
  <si>
    <t xml:space="preserve">L09 B5 min_charge</t>
  </si>
  <si>
    <t xml:space="preserve">rate.L09.B5.fuel_pct</t>
  </si>
  <si>
    <t xml:space="preserve">L09 B5 fuel_pct</t>
  </si>
  <si>
    <t xml:space="preserve">rate.L09.B5.docs_fee</t>
  </si>
  <si>
    <t xml:space="preserve">L09 B5 docs_fee</t>
  </si>
  <si>
    <t xml:space="preserve">rate.L09.B5.other_fee</t>
  </si>
  <si>
    <t xml:space="preserve">L09 B5 other_fee</t>
  </si>
  <si>
    <t xml:space="preserve">rate.L09.B5.discount_B_pct</t>
  </si>
  <si>
    <t xml:space="preserve">L09 B5 discount_B_pct</t>
  </si>
  <si>
    <t xml:space="preserve">rate.L09.B5.cost_per_shipment</t>
  </si>
  <si>
    <t xml:space="preserve">L09 B5 cost_per_shipment</t>
  </si>
  <si>
    <t xml:space="preserve">cost.A.all_from_helmond</t>
  </si>
  <si>
    <t xml:space="preserve">Scenario A: annual cost, every shipment from Helmond (EUR)</t>
  </si>
  <si>
    <t xml:space="preserve">cost.A.direct_from_helmond</t>
  </si>
  <si>
    <t xml:space="preserve">Scenario A: direct transport from Helmond (EUR)</t>
  </si>
  <si>
    <t xml:space="preserve">cost.A.other_origins</t>
  </si>
  <si>
    <t xml:space="preserve">Scenario A: other origins incl. regional stock (EUR)</t>
  </si>
  <si>
    <t xml:space="preserve">cost.A.total</t>
  </si>
  <si>
    <t xml:space="preserve">Scenario A: total logistics cost (EUR)</t>
  </si>
  <si>
    <t xml:space="preserve">cost.B.all_from_helmond</t>
  </si>
  <si>
    <t xml:space="preserve">Scenario B: annual cost, every shipment from Helmond (EUR)</t>
  </si>
  <si>
    <t xml:space="preserve">cost.B.direct_from_helmond</t>
  </si>
  <si>
    <t xml:space="preserve">Scenario B: direct transport from Helmond (EUR)</t>
  </si>
  <si>
    <t xml:space="preserve">cost.B.other_origins</t>
  </si>
  <si>
    <t xml:space="preserve">Scenario B: other origins incl. regional stock (EUR)</t>
  </si>
  <si>
    <t xml:space="preserve">cost.B.total</t>
  </si>
  <si>
    <t xml:space="preserve">Scenario B: total logistics cost (EUR)</t>
  </si>
  <si>
    <t xml:space="preserve">cost.A.per_kg</t>
  </si>
  <si>
    <t xml:space="preserve">Scenario A cost per chargeable kg, all from Helmond</t>
  </si>
  <si>
    <t xml:space="preserve">cost.B.per_kg</t>
  </si>
  <si>
    <t xml:space="preserve">Scenario B cost per chargeable kg, all from Helmond</t>
  </si>
  <si>
    <t xml:space="preserve">coverage.bands_without_rate</t>
  </si>
  <si>
    <t xml:space="preserve">Lane-band rows without a rate (of 45)</t>
  </si>
  <si>
    <t xml:space="preserve">cost.L01.A</t>
  </si>
  <si>
    <t xml:space="preserve">Saudi Arabia annual cost A</t>
  </si>
  <si>
    <t xml:space="preserve">cost.L01.B</t>
  </si>
  <si>
    <t xml:space="preserve">Saudi Arabia annual cost B</t>
  </si>
  <si>
    <t xml:space="preserve">cost.L01.B.per_kg</t>
  </si>
  <si>
    <t xml:space="preserve">Saudi Arabia cost per kg B</t>
  </si>
  <si>
    <t xml:space="preserve">transit.L01.avg_days</t>
  </si>
  <si>
    <t xml:space="preserve">Saudi Arabia avg transit days</t>
  </si>
  <si>
    <t xml:space="preserve">timeline.L01.A.on_target_pct</t>
  </si>
  <si>
    <t xml:space="preserve">Saudi Arabia on target A</t>
  </si>
  <si>
    <t xml:space="preserve">timeline.L01.A.avg_days_late</t>
  </si>
  <si>
    <t xml:space="preserve">Saudi Arabia days late A</t>
  </si>
  <si>
    <t xml:space="preserve">timeline.L01.B.on_target_pct</t>
  </si>
  <si>
    <t xml:space="preserve">Saudi Arabia on target B</t>
  </si>
  <si>
    <t xml:space="preserve">timeline.L01.B.avg_days_late</t>
  </si>
  <si>
    <t xml:space="preserve">Saudi Arabia days late B</t>
  </si>
  <si>
    <t xml:space="preserve">stock.L01.serve_from_stock</t>
  </si>
  <si>
    <t xml:space="preserve">Saudi Arabia served from regional stock</t>
  </si>
  <si>
    <t xml:space="preserve">stock.L01.transit_days</t>
  </si>
  <si>
    <t xml:space="preserve">Saudi Arabia transit from stock</t>
  </si>
  <si>
    <t xml:space="preserve">cost.L02.A</t>
  </si>
  <si>
    <t xml:space="preserve">United Arab Emirates annual cost A</t>
  </si>
  <si>
    <t xml:space="preserve">cost.L02.B</t>
  </si>
  <si>
    <t xml:space="preserve">United Arab Emirates annual cost B</t>
  </si>
  <si>
    <t xml:space="preserve">cost.L02.B.per_kg</t>
  </si>
  <si>
    <t xml:space="preserve">United Arab Emirates cost per kg B</t>
  </si>
  <si>
    <t xml:space="preserve">transit.L02.avg_days</t>
  </si>
  <si>
    <t xml:space="preserve">United Arab Emirates avg transit days</t>
  </si>
  <si>
    <t xml:space="preserve">timeline.L02.A.on_target_pct</t>
  </si>
  <si>
    <t xml:space="preserve">United Arab Emirates on target A</t>
  </si>
  <si>
    <t xml:space="preserve">timeline.L02.A.avg_days_late</t>
  </si>
  <si>
    <t xml:space="preserve">United Arab Emirates days late A</t>
  </si>
  <si>
    <t xml:space="preserve">timeline.L02.B.on_target_pct</t>
  </si>
  <si>
    <t xml:space="preserve">United Arab Emirates on target B</t>
  </si>
  <si>
    <t xml:space="preserve">timeline.L02.B.avg_days_late</t>
  </si>
  <si>
    <t xml:space="preserve">United Arab Emirates days late B</t>
  </si>
  <si>
    <t xml:space="preserve">stock.L02.serve_from_stock</t>
  </si>
  <si>
    <t xml:space="preserve">United Arab Emirates served from regional stock</t>
  </si>
  <si>
    <t xml:space="preserve">stock.L02.transit_days</t>
  </si>
  <si>
    <t xml:space="preserve">United Arab Emirates transit from stock</t>
  </si>
  <si>
    <t xml:space="preserve">cost.L03.A</t>
  </si>
  <si>
    <t xml:space="preserve">Kuwait annual cost A</t>
  </si>
  <si>
    <t xml:space="preserve">cost.L03.B</t>
  </si>
  <si>
    <t xml:space="preserve">Kuwait annual cost B</t>
  </si>
  <si>
    <t xml:space="preserve">cost.L03.B.per_kg</t>
  </si>
  <si>
    <t xml:space="preserve">Kuwait cost per kg B</t>
  </si>
  <si>
    <t xml:space="preserve">transit.L03.avg_days</t>
  </si>
  <si>
    <t xml:space="preserve">Kuwait avg transit days</t>
  </si>
  <si>
    <t xml:space="preserve">timeline.L03.A.on_target_pct</t>
  </si>
  <si>
    <t xml:space="preserve">Kuwait on target A</t>
  </si>
  <si>
    <t xml:space="preserve">timeline.L03.A.avg_days_late</t>
  </si>
  <si>
    <t xml:space="preserve">Kuwait days late A</t>
  </si>
  <si>
    <t xml:space="preserve">timeline.L03.B.on_target_pct</t>
  </si>
  <si>
    <t xml:space="preserve">Kuwait on target B</t>
  </si>
  <si>
    <t xml:space="preserve">timeline.L03.B.avg_days_late</t>
  </si>
  <si>
    <t xml:space="preserve">Kuwait days late B</t>
  </si>
  <si>
    <t xml:space="preserve">stock.L03.serve_from_stock</t>
  </si>
  <si>
    <t xml:space="preserve">Kuwait served from regional stock</t>
  </si>
  <si>
    <t xml:space="preserve">stock.L03.transit_days</t>
  </si>
  <si>
    <t xml:space="preserve">Kuwait transit from stock</t>
  </si>
  <si>
    <t xml:space="preserve">cost.L04.A</t>
  </si>
  <si>
    <t xml:space="preserve">Qatar annual cost A</t>
  </si>
  <si>
    <t xml:space="preserve">cost.L04.B</t>
  </si>
  <si>
    <t xml:space="preserve">Qatar annual cost B</t>
  </si>
  <si>
    <t xml:space="preserve">cost.L04.B.per_kg</t>
  </si>
  <si>
    <t xml:space="preserve">Qatar cost per kg B</t>
  </si>
  <si>
    <t xml:space="preserve">transit.L04.avg_days</t>
  </si>
  <si>
    <t xml:space="preserve">Qatar avg transit days</t>
  </si>
  <si>
    <t xml:space="preserve">timeline.L04.A.on_target_pct</t>
  </si>
  <si>
    <t xml:space="preserve">Qatar on target A</t>
  </si>
  <si>
    <t xml:space="preserve">timeline.L04.A.avg_days_late</t>
  </si>
  <si>
    <t xml:space="preserve">Qatar days late A</t>
  </si>
  <si>
    <t xml:space="preserve">timeline.L04.B.on_target_pct</t>
  </si>
  <si>
    <t xml:space="preserve">Qatar on target B</t>
  </si>
  <si>
    <t xml:space="preserve">timeline.L04.B.avg_days_late</t>
  </si>
  <si>
    <t xml:space="preserve">Qatar days late B</t>
  </si>
  <si>
    <t xml:space="preserve">stock.L04.serve_from_stock</t>
  </si>
  <si>
    <t xml:space="preserve">Qatar served from regional stock</t>
  </si>
  <si>
    <t xml:space="preserve">stock.L04.transit_days</t>
  </si>
  <si>
    <t xml:space="preserve">Qatar transit from stock</t>
  </si>
  <si>
    <t xml:space="preserve">cost.L05.A</t>
  </si>
  <si>
    <t xml:space="preserve">Türkiye annual cost A</t>
  </si>
  <si>
    <t xml:space="preserve">cost.L05.B</t>
  </si>
  <si>
    <t xml:space="preserve">Türkiye annual cost B</t>
  </si>
  <si>
    <t xml:space="preserve">cost.L05.B.per_kg</t>
  </si>
  <si>
    <t xml:space="preserve">Türkiye cost per kg B</t>
  </si>
  <si>
    <t xml:space="preserve">transit.L05.avg_days</t>
  </si>
  <si>
    <t xml:space="preserve">Türkiye avg transit days</t>
  </si>
  <si>
    <t xml:space="preserve">timeline.L05.A.on_target_pct</t>
  </si>
  <si>
    <t xml:space="preserve">Türkiye on target A</t>
  </si>
  <si>
    <t xml:space="preserve">timeline.L05.A.avg_days_late</t>
  </si>
  <si>
    <t xml:space="preserve">Türkiye days late A</t>
  </si>
  <si>
    <t xml:space="preserve">timeline.L05.B.on_target_pct</t>
  </si>
  <si>
    <t xml:space="preserve">Türkiye on target B</t>
  </si>
  <si>
    <t xml:space="preserve">timeline.L05.B.avg_days_late</t>
  </si>
  <si>
    <t xml:space="preserve">Türkiye days late B</t>
  </si>
  <si>
    <t xml:space="preserve">stock.L05.serve_from_stock</t>
  </si>
  <si>
    <t xml:space="preserve">Türkiye served from regional stock</t>
  </si>
  <si>
    <t xml:space="preserve">stock.L05.transit_days</t>
  </si>
  <si>
    <t xml:space="preserve">Türkiye transit from stock</t>
  </si>
  <si>
    <t xml:space="preserve">cost.L06.A</t>
  </si>
  <si>
    <t xml:space="preserve">Morocco annual cost A</t>
  </si>
  <si>
    <t xml:space="preserve">cost.L06.B</t>
  </si>
  <si>
    <t xml:space="preserve">Morocco annual cost B</t>
  </si>
  <si>
    <t xml:space="preserve">cost.L06.B.per_kg</t>
  </si>
  <si>
    <t xml:space="preserve">Morocco cost per kg B</t>
  </si>
  <si>
    <t xml:space="preserve">transit.L06.avg_days</t>
  </si>
  <si>
    <t xml:space="preserve">Morocco avg transit days</t>
  </si>
  <si>
    <t xml:space="preserve">timeline.L06.A.on_target_pct</t>
  </si>
  <si>
    <t xml:space="preserve">Morocco on target A</t>
  </si>
  <si>
    <t xml:space="preserve">timeline.L06.A.avg_days_late</t>
  </si>
  <si>
    <t xml:space="preserve">Morocco days late A</t>
  </si>
  <si>
    <t xml:space="preserve">timeline.L06.B.on_target_pct</t>
  </si>
  <si>
    <t xml:space="preserve">Morocco on target B</t>
  </si>
  <si>
    <t xml:space="preserve">timeline.L06.B.avg_days_late</t>
  </si>
  <si>
    <t xml:space="preserve">Morocco days late B</t>
  </si>
  <si>
    <t xml:space="preserve">stock.L06.serve_from_stock</t>
  </si>
  <si>
    <t xml:space="preserve">Morocco served from regional stock</t>
  </si>
  <si>
    <t xml:space="preserve">stock.L06.transit_days</t>
  </si>
  <si>
    <t xml:space="preserve">Morocco transit from stock</t>
  </si>
  <si>
    <t xml:space="preserve">cost.L07.A</t>
  </si>
  <si>
    <t xml:space="preserve">Algeria annual cost A</t>
  </si>
  <si>
    <t xml:space="preserve">cost.L07.B</t>
  </si>
  <si>
    <t xml:space="preserve">Algeria annual cost B</t>
  </si>
  <si>
    <t xml:space="preserve">cost.L07.B.per_kg</t>
  </si>
  <si>
    <t xml:space="preserve">Algeria cost per kg B</t>
  </si>
  <si>
    <t xml:space="preserve">transit.L07.avg_days</t>
  </si>
  <si>
    <t xml:space="preserve">Algeria avg transit days</t>
  </si>
  <si>
    <t xml:space="preserve">timeline.L07.A.on_target_pct</t>
  </si>
  <si>
    <t xml:space="preserve">Algeria on target A</t>
  </si>
  <si>
    <t xml:space="preserve">timeline.L07.A.avg_days_late</t>
  </si>
  <si>
    <t xml:space="preserve">Algeria days late A</t>
  </si>
  <si>
    <t xml:space="preserve">timeline.L07.B.on_target_pct</t>
  </si>
  <si>
    <t xml:space="preserve">Algeria on target B</t>
  </si>
  <si>
    <t xml:space="preserve">timeline.L07.B.avg_days_late</t>
  </si>
  <si>
    <t xml:space="preserve">Algeria days late B</t>
  </si>
  <si>
    <t xml:space="preserve">stock.L07.serve_from_stock</t>
  </si>
  <si>
    <t xml:space="preserve">Algeria served from regional stock</t>
  </si>
  <si>
    <t xml:space="preserve">stock.L07.transit_days</t>
  </si>
  <si>
    <t xml:space="preserve">Algeria transit from stock</t>
  </si>
  <si>
    <t xml:space="preserve">cost.L08.A</t>
  </si>
  <si>
    <t xml:space="preserve">Egypt annual cost A</t>
  </si>
  <si>
    <t xml:space="preserve">cost.L08.B</t>
  </si>
  <si>
    <t xml:space="preserve">Egypt annual cost B</t>
  </si>
  <si>
    <t xml:space="preserve">cost.L08.B.per_kg</t>
  </si>
  <si>
    <t xml:space="preserve">Egypt cost per kg B</t>
  </si>
  <si>
    <t xml:space="preserve">transit.L08.avg_days</t>
  </si>
  <si>
    <t xml:space="preserve">Egypt avg transit days</t>
  </si>
  <si>
    <t xml:space="preserve">timeline.L08.A.on_target_pct</t>
  </si>
  <si>
    <t xml:space="preserve">Egypt on target A</t>
  </si>
  <si>
    <t xml:space="preserve">timeline.L08.A.avg_days_late</t>
  </si>
  <si>
    <t xml:space="preserve">Egypt days late A</t>
  </si>
  <si>
    <t xml:space="preserve">timeline.L08.B.on_target_pct</t>
  </si>
  <si>
    <t xml:space="preserve">Egypt on target B</t>
  </si>
  <si>
    <t xml:space="preserve">timeline.L08.B.avg_days_late</t>
  </si>
  <si>
    <t xml:space="preserve">Egypt days late B</t>
  </si>
  <si>
    <t xml:space="preserve">stock.L08.serve_from_stock</t>
  </si>
  <si>
    <t xml:space="preserve">Egypt served from regional stock</t>
  </si>
  <si>
    <t xml:space="preserve">stock.L08.transit_days</t>
  </si>
  <si>
    <t xml:space="preserve">Egypt transit from stock</t>
  </si>
  <si>
    <t xml:space="preserve">cost.L09.A</t>
  </si>
  <si>
    <t xml:space="preserve">Tunisia annual cost A</t>
  </si>
  <si>
    <t xml:space="preserve">cost.L09.B</t>
  </si>
  <si>
    <t xml:space="preserve">Tunisia annual cost B</t>
  </si>
  <si>
    <t xml:space="preserve">cost.L09.B.per_kg</t>
  </si>
  <si>
    <t xml:space="preserve">Tunisia cost per kg B</t>
  </si>
  <si>
    <t xml:space="preserve">transit.L09.avg_days</t>
  </si>
  <si>
    <t xml:space="preserve">Tunisia avg transit days</t>
  </si>
  <si>
    <t xml:space="preserve">timeline.L09.A.on_target_pct</t>
  </si>
  <si>
    <t xml:space="preserve">Tunisia on target A</t>
  </si>
  <si>
    <t xml:space="preserve">timeline.L09.A.avg_days_late</t>
  </si>
  <si>
    <t xml:space="preserve">Tunisia days late A</t>
  </si>
  <si>
    <t xml:space="preserve">timeline.L09.B.on_target_pct</t>
  </si>
  <si>
    <t xml:space="preserve">Tunisia on target B</t>
  </si>
  <si>
    <t xml:space="preserve">timeline.L09.B.avg_days_late</t>
  </si>
  <si>
    <t xml:space="preserve">Tunisia days late B</t>
  </si>
  <si>
    <t xml:space="preserve">stock.L09.serve_from_stock</t>
  </si>
  <si>
    <t xml:space="preserve">Tunisia served from regional stock</t>
  </si>
  <si>
    <t xml:space="preserve">stock.L09.transit_days</t>
  </si>
  <si>
    <t xml:space="preserve">Tunisia transit from stock</t>
  </si>
  <si>
    <t xml:space="preserve">timeline.A.on_target_pct</t>
  </si>
  <si>
    <t xml:space="preserve">All lanes on target A</t>
  </si>
  <si>
    <t xml:space="preserve">timeline.B.on_target_pct</t>
  </si>
  <si>
    <t xml:space="preserve">All lanes on target B</t>
  </si>
  <si>
    <t xml:space="preserve">stock.W1.location</t>
  </si>
  <si>
    <t xml:space="preserve">Warehouse W1 location</t>
  </si>
  <si>
    <t xml:space="preserve">stock.W2.location</t>
  </si>
  <si>
    <t xml:space="preserve">Warehouse W2 location</t>
  </si>
  <si>
    <t xml:space="preserve">stock.W3.location</t>
  </si>
  <si>
    <t xml:space="preserve">Warehouse W3 location</t>
  </si>
  <si>
    <t xml:space="preserve">stock.A.total_cost</t>
  </si>
  <si>
    <t xml:space="preserve">Other-origin cost A</t>
  </si>
  <si>
    <t xml:space="preserve">stock.B.total_cost</t>
  </si>
  <si>
    <t xml:space="preserve">Other-origin cost B</t>
  </si>
</sst>
</file>

<file path=xl/styles.xml><?xml version="1.0" encoding="utf-8"?>
<styleSheet xmlns="http://schemas.openxmlformats.org/spreadsheetml/2006/main">
  <numFmts count="16">
    <numFmt numFmtId="164" formatCode="General"/>
    <numFmt numFmtId="165" formatCode="dd\-mm\-yyyy"/>
    <numFmt numFmtId="166" formatCode="#,##0"/>
    <numFmt numFmtId="167" formatCode="#,##0.0"/>
    <numFmt numFmtId="168" formatCode="0"/>
    <numFmt numFmtId="169" formatCode="mmm\ yyyy"/>
    <numFmt numFmtId="170" formatCode="0.00"/>
    <numFmt numFmtId="171" formatCode="ddd\ dd\-mm\-yyyy"/>
    <numFmt numFmtId="172" formatCode="0.000"/>
    <numFmt numFmtId="173" formatCode="0.0"/>
    <numFmt numFmtId="174" formatCode="&quot;€ &quot;#,##0.00;&quot;(€ &quot;#,##0.00\);\-"/>
    <numFmt numFmtId="175" formatCode="&quot;€ &quot;#,##0;&quot;(€ &quot;#,##0\);\-"/>
    <numFmt numFmtId="176" formatCode="0;\-0;\-"/>
    <numFmt numFmtId="177" formatCode="0%"/>
    <numFmt numFmtId="178" formatCode="0.0%;\-0.0%;\-"/>
    <numFmt numFmtId="17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FFFF00"/>
        <bgColor rgb="FFFFFF00"/>
      </patternFill>
    </fill>
    <fill>
      <patternFill patternType="solid">
        <fgColor rgb="FF1F3864"/>
        <bgColor rgb="FF1F4E79"/>
      </patternFill>
    </fill>
    <fill>
      <patternFill patternType="solid">
        <fgColor rgb="FFBF9000"/>
        <bgColor rgb="FF808000"/>
      </patternFill>
    </fill>
    <fill>
      <patternFill patternType="solid">
        <fgColor rgb="FFD9D9D9"/>
        <bgColor rgb="FFC6EFCE"/>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fals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true">
      <alignment horizontal="general" vertical="center" textRotation="0" wrapText="false" indent="0" shrinkToFit="false"/>
      <protection locked="fals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7" fillId="2" borderId="1" xfId="0" applyFont="true" applyBorder="true" applyAlignment="true" applyProtection="true">
      <alignment horizontal="general" vertical="center" textRotation="0" wrapText="false" indent="0" shrinkToFit="false"/>
      <protection locked="fals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true">
      <alignment horizontal="center" vertical="center" textRotation="0" wrapText="false" indent="0" shrinkToFit="false"/>
      <protection locked="fals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general" vertical="center" textRotation="0" wrapText="false" indent="0" shrinkToFit="false"/>
      <protection locked="true" hidden="false"/>
    </xf>
    <xf numFmtId="164" fontId="8" fillId="6" borderId="1" xfId="0" applyFont="true" applyBorder="true" applyAlignment="true" applyProtection="false">
      <alignment horizontal="general" vertical="center" textRotation="0" wrapText="false" indent="0" shrinkToFit="false"/>
      <protection locked="true" hidden="false"/>
    </xf>
    <xf numFmtId="166" fontId="6" fillId="6" borderId="1" xfId="0" applyFont="true" applyBorder="true" applyAlignment="true" applyProtection="false">
      <alignment horizontal="general" vertical="center" textRotation="0" wrapText="false" indent="0" shrinkToFit="false"/>
      <protection locked="true" hidden="false"/>
    </xf>
    <xf numFmtId="167" fontId="6" fillId="6" borderId="1" xfId="0" applyFont="true" applyBorder="true" applyAlignment="true" applyProtection="false">
      <alignment horizontal="general" vertical="center" textRotation="0" wrapText="false" indent="0" shrinkToFit="false"/>
      <protection locked="true" hidden="false"/>
    </xf>
    <xf numFmtId="166" fontId="8" fillId="6"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9" fontId="6" fillId="0" borderId="1" xfId="0" applyFont="true" applyBorder="true" applyAlignment="true" applyProtection="false">
      <alignment horizontal="general"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6" fillId="6"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72" fontId="8"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73" fontId="8" fillId="0" borderId="1" xfId="0" applyFont="true" applyBorder="true" applyAlignment="true" applyProtection="false">
      <alignment horizontal="center" vertical="center" textRotation="0" wrapText="false" indent="0" shrinkToFit="false"/>
      <protection locked="true" hidden="false"/>
    </xf>
    <xf numFmtId="171" fontId="7" fillId="2" borderId="1" xfId="0" applyFont="true" applyBorder="true" applyAlignment="true" applyProtection="true">
      <alignment horizontal="general" vertical="center" textRotation="0" wrapText="false" indent="0" shrinkToFit="false"/>
      <protection locked="false" hidden="false"/>
    </xf>
    <xf numFmtId="164" fontId="6" fillId="0" borderId="1" xfId="0" applyFont="true" applyBorder="true" applyAlignment="true" applyProtection="false">
      <alignment horizontal="center" vertical="center" textRotation="0" wrapText="false" indent="0" shrinkToFit="false"/>
      <protection locked="true" hidden="false"/>
    </xf>
    <xf numFmtId="173" fontId="7" fillId="2" borderId="1" xfId="0" applyFont="true" applyBorder="true" applyAlignment="true" applyProtection="true">
      <alignment horizontal="center" vertical="center" textRotation="0" wrapText="false" indent="0" shrinkToFit="false"/>
      <protection locked="false" hidden="false"/>
    </xf>
    <xf numFmtId="174" fontId="7" fillId="2" borderId="1" xfId="0" applyFont="true" applyBorder="true" applyAlignment="true" applyProtection="true">
      <alignment horizontal="general" vertical="center" textRotation="0" wrapText="false" indent="0" shrinkToFit="false"/>
      <protection locked="false" hidden="false"/>
    </xf>
    <xf numFmtId="174" fontId="8" fillId="0" borderId="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75" fontId="6" fillId="6" borderId="1" xfId="0" applyFont="true" applyBorder="true" applyAlignment="true" applyProtection="false">
      <alignment horizontal="general" vertical="center" textRotation="0" wrapText="false" indent="0" shrinkToFit="false"/>
      <protection locked="true" hidden="false"/>
    </xf>
    <xf numFmtId="176" fontId="8"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6" fillId="6"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77" fontId="6" fillId="0" borderId="1" xfId="0" applyFont="true" applyBorder="true" applyAlignment="true" applyProtection="false">
      <alignment horizontal="center" vertical="center" textRotation="0" wrapText="false" indent="0" shrinkToFit="false"/>
      <protection locked="true" hidden="false"/>
    </xf>
    <xf numFmtId="177" fontId="6" fillId="6" borderId="1" xfId="0" applyFont="true" applyBorder="true" applyAlignment="true" applyProtection="false">
      <alignment horizontal="center" vertical="center" textRotation="0" wrapText="false" indent="0" shrinkToFit="false"/>
      <protection locked="true" hidden="false"/>
    </xf>
    <xf numFmtId="173" fontId="6" fillId="6"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73" fontId="7" fillId="2" borderId="1" xfId="0" applyFont="true" applyBorder="true" applyAlignment="true" applyProtection="true">
      <alignment horizontal="general" vertical="center" textRotation="0" wrapText="false" indent="0" shrinkToFit="false"/>
      <protection locked="false" hidden="false"/>
    </xf>
    <xf numFmtId="178" fontId="7" fillId="2" borderId="1" xfId="0" applyFont="true" applyBorder="true" applyAlignment="true" applyProtection="true">
      <alignment horizontal="general" vertical="center" textRotation="0" wrapText="false" indent="0" shrinkToFit="false"/>
      <protection locked="false" hidden="false"/>
    </xf>
    <xf numFmtId="175" fontId="8"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6" fontId="8" fillId="0" borderId="2" xfId="0" applyFont="true" applyBorder="true" applyAlignment="true" applyProtection="false">
      <alignment horizontal="general" vertical="center" textRotation="0" wrapText="false" indent="0" shrinkToFit="false"/>
      <protection locked="true" hidden="false"/>
    </xf>
    <xf numFmtId="164" fontId="7" fillId="2" borderId="2" xfId="0" applyFont="true" applyBorder="true" applyAlignment="true" applyProtection="true">
      <alignment horizontal="general" vertical="center" textRotation="0" wrapText="false" indent="0" shrinkToFit="false"/>
      <protection locked="false" hidden="false"/>
    </xf>
    <xf numFmtId="173" fontId="7" fillId="2" borderId="2" xfId="0" applyFont="true" applyBorder="true" applyAlignment="true" applyProtection="true">
      <alignment horizontal="general" vertical="center" textRotation="0" wrapText="false" indent="0" shrinkToFit="false"/>
      <protection locked="false" hidden="false"/>
    </xf>
    <xf numFmtId="174" fontId="7" fillId="2" borderId="2" xfId="0" applyFont="true" applyBorder="true" applyAlignment="true" applyProtection="true">
      <alignment horizontal="general" vertical="center" textRotation="0" wrapText="false" indent="0" shrinkToFit="false"/>
      <protection locked="false" hidden="false"/>
    </xf>
    <xf numFmtId="178" fontId="7" fillId="2" borderId="2" xfId="0" applyFont="true" applyBorder="true" applyAlignment="true" applyProtection="true">
      <alignment horizontal="general" vertical="center" textRotation="0" wrapText="false" indent="0" shrinkToFit="false"/>
      <protection locked="false" hidden="false"/>
    </xf>
    <xf numFmtId="174" fontId="8" fillId="0" borderId="2" xfId="0" applyFont="true" applyBorder="true" applyAlignment="true" applyProtection="false">
      <alignment horizontal="general" vertical="center" textRotation="0" wrapText="false" indent="0" shrinkToFit="false"/>
      <protection locked="true" hidden="false"/>
    </xf>
    <xf numFmtId="175" fontId="8" fillId="0" borderId="2" xfId="0" applyFont="true" applyBorder="true" applyAlignment="true" applyProtection="false">
      <alignment horizontal="general" vertical="center" textRotation="0" wrapText="false" indent="0" shrinkToFit="false"/>
      <protection locked="true" hidden="false"/>
    </xf>
    <xf numFmtId="173" fontId="8" fillId="0"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74" fontId="6" fillId="6" borderId="1" xfId="0" applyFont="true" applyBorder="true" applyAlignment="true" applyProtection="false">
      <alignment horizontal="general" vertical="center" textRotation="0" wrapText="false" indent="0" shrinkToFit="false"/>
      <protection locked="true" hidden="false"/>
    </xf>
    <xf numFmtId="168" fontId="6" fillId="6"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79" fontId="7" fillId="2" borderId="1" xfId="0" applyFont="true" applyBorder="true" applyAlignment="true" applyProtection="true">
      <alignment horizontal="center" vertical="center" textRotation="0" wrapText="false" indent="0" shrinkToFit="false"/>
      <protection locked="false" hidden="false"/>
    </xf>
    <xf numFmtId="164" fontId="7" fillId="2" borderId="1" xfId="0" applyFont="true" applyBorder="true" applyAlignment="true" applyProtection="true">
      <alignment horizontal="general" vertical="top" textRotation="0" wrapText="true" indent="0" shrinkToFit="false"/>
      <protection locked="false" hidden="false"/>
    </xf>
    <xf numFmtId="167" fontId="7" fillId="2" borderId="1"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F9000"/>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bgColor rgb="FFC6EFCE"/>
        </patternFill>
      </fill>
    </dxf>
    <dxf>
      <fill>
        <patternFill>
          <bgColor rgb="FFFFC7CE"/>
        </patternFill>
      </fill>
    </dxf>
    <dxf>
      <font>
        <color rgb="FFA6A6A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DC3E6"/>
      <rgbColor rgb="FFFF99CC"/>
      <rgbColor rgb="FFCC99FF"/>
      <rgbColor rgb="FFFFC7CE"/>
      <rgbColor rgb="FF3366FF"/>
      <rgbColor rgb="FF33CCCC"/>
      <rgbColor rgb="FF99CC00"/>
      <rgbColor rgb="FFFFCC00"/>
      <rgbColor rgb="FFBF9000"/>
      <rgbColor rgb="FFFF6600"/>
      <rgbColor rgb="FF595959"/>
      <rgbColor rgb="FFA6A6A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Shipments per week</a:t>
            </a:r>
          </a:p>
        </c:rich>
      </c:tx>
      <c:overlay val="0"/>
      <c:spPr>
        <a:noFill/>
        <a:ln w="0">
          <a:noFill/>
        </a:ln>
      </c:spPr>
    </c:title>
    <c:autoTitleDeleted val="0"/>
    <c:plotArea>
      <c:barChart>
        <c:barDir val="col"/>
        <c:grouping val="clustered"/>
        <c:varyColors val="0"/>
        <c:ser>
          <c:idx val="0"/>
          <c:order val="0"/>
          <c:tx>
            <c:strRef>
              <c:f>'Timeline Summary'!B48</c:f>
              <c:strCache>
                <c:ptCount val="1"/>
                <c:pt idx="0">
                  <c:v>Shipments A</c:v>
                </c:pt>
              </c:strCache>
            </c:strRef>
          </c:tx>
          <c:spPr>
            <a:solidFill>
              <a:srgbClr val="9dc3e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 Summary'!$A$49:$A$101</c:f>
              <c:strCache>
                <c:ptCount val="53"/>
                <c:pt idx="0">
                  <c:v>28-12-2026</c:v>
                </c:pt>
                <c:pt idx="1">
                  <c:v>04-01-2027</c:v>
                </c:pt>
                <c:pt idx="2">
                  <c:v>11-01-2027</c:v>
                </c:pt>
                <c:pt idx="3">
                  <c:v>18-01-2027</c:v>
                </c:pt>
                <c:pt idx="4">
                  <c:v>25-01-2027</c:v>
                </c:pt>
                <c:pt idx="5">
                  <c:v>01-02-2027</c:v>
                </c:pt>
                <c:pt idx="6">
                  <c:v>08-02-2027</c:v>
                </c:pt>
                <c:pt idx="7">
                  <c:v>15-02-2027</c:v>
                </c:pt>
                <c:pt idx="8">
                  <c:v>22-02-2027</c:v>
                </c:pt>
                <c:pt idx="9">
                  <c:v>01-03-2027</c:v>
                </c:pt>
                <c:pt idx="10">
                  <c:v>08-03-2027</c:v>
                </c:pt>
                <c:pt idx="11">
                  <c:v>15-03-2027</c:v>
                </c:pt>
                <c:pt idx="12">
                  <c:v>22-03-2027</c:v>
                </c:pt>
                <c:pt idx="13">
                  <c:v>29-03-2027</c:v>
                </c:pt>
                <c:pt idx="14">
                  <c:v>05-04-2027</c:v>
                </c:pt>
                <c:pt idx="15">
                  <c:v>12-04-2027</c:v>
                </c:pt>
                <c:pt idx="16">
                  <c:v>19-04-2027</c:v>
                </c:pt>
                <c:pt idx="17">
                  <c:v>26-04-2027</c:v>
                </c:pt>
                <c:pt idx="18">
                  <c:v>03-05-2027</c:v>
                </c:pt>
                <c:pt idx="19">
                  <c:v>10-05-2027</c:v>
                </c:pt>
                <c:pt idx="20">
                  <c:v>17-05-2027</c:v>
                </c:pt>
                <c:pt idx="21">
                  <c:v>24-05-2027</c:v>
                </c:pt>
                <c:pt idx="22">
                  <c:v>31-05-2027</c:v>
                </c:pt>
                <c:pt idx="23">
                  <c:v>07-06-2027</c:v>
                </c:pt>
                <c:pt idx="24">
                  <c:v>14-06-2027</c:v>
                </c:pt>
                <c:pt idx="25">
                  <c:v>21-06-2027</c:v>
                </c:pt>
                <c:pt idx="26">
                  <c:v>28-06-2027</c:v>
                </c:pt>
                <c:pt idx="27">
                  <c:v>05-07-2027</c:v>
                </c:pt>
                <c:pt idx="28">
                  <c:v>12-07-2027</c:v>
                </c:pt>
                <c:pt idx="29">
                  <c:v>19-07-2027</c:v>
                </c:pt>
                <c:pt idx="30">
                  <c:v>26-07-2027</c:v>
                </c:pt>
                <c:pt idx="31">
                  <c:v>02-08-2027</c:v>
                </c:pt>
                <c:pt idx="32">
                  <c:v>09-08-2027</c:v>
                </c:pt>
                <c:pt idx="33">
                  <c:v>16-08-2027</c:v>
                </c:pt>
                <c:pt idx="34">
                  <c:v>23-08-2027</c:v>
                </c:pt>
                <c:pt idx="35">
                  <c:v>30-08-2027</c:v>
                </c:pt>
                <c:pt idx="36">
                  <c:v>06-09-2027</c:v>
                </c:pt>
                <c:pt idx="37">
                  <c:v>13-09-2027</c:v>
                </c:pt>
                <c:pt idx="38">
                  <c:v>20-09-2027</c:v>
                </c:pt>
                <c:pt idx="39">
                  <c:v>27-09-2027</c:v>
                </c:pt>
                <c:pt idx="40">
                  <c:v>04-10-2027</c:v>
                </c:pt>
                <c:pt idx="41">
                  <c:v>11-10-2027</c:v>
                </c:pt>
                <c:pt idx="42">
                  <c:v>18-10-2027</c:v>
                </c:pt>
                <c:pt idx="43">
                  <c:v>25-10-2027</c:v>
                </c:pt>
                <c:pt idx="44">
                  <c:v>01-11-2027</c:v>
                </c:pt>
                <c:pt idx="45">
                  <c:v>08-11-2027</c:v>
                </c:pt>
                <c:pt idx="46">
                  <c:v>15-11-2027</c:v>
                </c:pt>
                <c:pt idx="47">
                  <c:v>22-11-2027</c:v>
                </c:pt>
                <c:pt idx="48">
                  <c:v>29-11-2027</c:v>
                </c:pt>
                <c:pt idx="49">
                  <c:v>06-12-2027</c:v>
                </c:pt>
                <c:pt idx="50">
                  <c:v>13-12-2027</c:v>
                </c:pt>
                <c:pt idx="51">
                  <c:v>20-12-2027</c:v>
                </c:pt>
                <c:pt idx="52">
                  <c:v>27-12-2027</c:v>
                </c:pt>
              </c:strCache>
            </c:strRef>
          </c:cat>
          <c:val>
            <c:numRef>
              <c:f>'Timeline Summary'!$B$49:$B$101</c:f>
              <c:numCache>
                <c:formatCode>#,##0</c:formatCode>
                <c:ptCount val="53"/>
                <c:pt idx="0">
                  <c:v>0</c:v>
                </c:pt>
                <c:pt idx="1">
                  <c:v>4</c:v>
                </c:pt>
                <c:pt idx="2">
                  <c:v>5</c:v>
                </c:pt>
                <c:pt idx="3">
                  <c:v>1</c:v>
                </c:pt>
                <c:pt idx="4">
                  <c:v>3</c:v>
                </c:pt>
                <c:pt idx="5">
                  <c:v>3</c:v>
                </c:pt>
                <c:pt idx="6">
                  <c:v>3</c:v>
                </c:pt>
                <c:pt idx="7">
                  <c:v>4</c:v>
                </c:pt>
                <c:pt idx="8">
                  <c:v>3</c:v>
                </c:pt>
                <c:pt idx="9">
                  <c:v>1</c:v>
                </c:pt>
                <c:pt idx="10">
                  <c:v>0</c:v>
                </c:pt>
                <c:pt idx="11">
                  <c:v>3</c:v>
                </c:pt>
                <c:pt idx="12">
                  <c:v>4</c:v>
                </c:pt>
                <c:pt idx="13">
                  <c:v>2</c:v>
                </c:pt>
                <c:pt idx="14">
                  <c:v>2</c:v>
                </c:pt>
                <c:pt idx="15">
                  <c:v>4</c:v>
                </c:pt>
                <c:pt idx="16">
                  <c:v>4</c:v>
                </c:pt>
                <c:pt idx="17">
                  <c:v>4</c:v>
                </c:pt>
                <c:pt idx="18">
                  <c:v>3</c:v>
                </c:pt>
                <c:pt idx="19">
                  <c:v>3</c:v>
                </c:pt>
                <c:pt idx="20">
                  <c:v>0</c:v>
                </c:pt>
                <c:pt idx="21">
                  <c:v>4</c:v>
                </c:pt>
                <c:pt idx="22">
                  <c:v>2</c:v>
                </c:pt>
                <c:pt idx="23">
                  <c:v>1</c:v>
                </c:pt>
                <c:pt idx="24">
                  <c:v>5</c:v>
                </c:pt>
                <c:pt idx="25">
                  <c:v>0</c:v>
                </c:pt>
                <c:pt idx="26">
                  <c:v>3</c:v>
                </c:pt>
                <c:pt idx="27">
                  <c:v>4</c:v>
                </c:pt>
                <c:pt idx="28">
                  <c:v>3</c:v>
                </c:pt>
                <c:pt idx="29">
                  <c:v>1</c:v>
                </c:pt>
                <c:pt idx="30">
                  <c:v>2</c:v>
                </c:pt>
                <c:pt idx="31">
                  <c:v>2</c:v>
                </c:pt>
                <c:pt idx="32">
                  <c:v>2</c:v>
                </c:pt>
                <c:pt idx="33">
                  <c:v>2</c:v>
                </c:pt>
                <c:pt idx="34">
                  <c:v>3</c:v>
                </c:pt>
                <c:pt idx="35">
                  <c:v>1</c:v>
                </c:pt>
                <c:pt idx="36">
                  <c:v>3</c:v>
                </c:pt>
                <c:pt idx="37">
                  <c:v>4</c:v>
                </c:pt>
                <c:pt idx="38">
                  <c:v>3</c:v>
                </c:pt>
                <c:pt idx="39">
                  <c:v>6</c:v>
                </c:pt>
                <c:pt idx="40">
                  <c:v>3</c:v>
                </c:pt>
                <c:pt idx="41">
                  <c:v>2</c:v>
                </c:pt>
                <c:pt idx="42">
                  <c:v>5</c:v>
                </c:pt>
                <c:pt idx="43">
                  <c:v>4</c:v>
                </c:pt>
                <c:pt idx="44">
                  <c:v>3</c:v>
                </c:pt>
                <c:pt idx="45">
                  <c:v>3</c:v>
                </c:pt>
                <c:pt idx="46">
                  <c:v>1</c:v>
                </c:pt>
                <c:pt idx="47">
                  <c:v>2</c:v>
                </c:pt>
                <c:pt idx="48">
                  <c:v>6</c:v>
                </c:pt>
                <c:pt idx="49">
                  <c:v>2</c:v>
                </c:pt>
                <c:pt idx="50">
                  <c:v>0</c:v>
                </c:pt>
                <c:pt idx="51">
                  <c:v>2</c:v>
                </c:pt>
                <c:pt idx="52">
                  <c:v>1</c:v>
                </c:pt>
              </c:numCache>
            </c:numRef>
          </c:val>
        </c:ser>
        <c:ser>
          <c:idx val="1"/>
          <c:order val="1"/>
          <c:tx>
            <c:strRef>
              <c:f>'Timeline Summary'!D48</c:f>
              <c:strCache>
                <c:ptCount val="1"/>
                <c:pt idx="0">
                  <c:v>Shipments B</c:v>
                </c:pt>
              </c:strCache>
            </c:strRef>
          </c:tx>
          <c:spPr>
            <a:solidFill>
              <a:srgbClr val="1f4e7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 Summary'!$A$49:$A$101</c:f>
              <c:strCache>
                <c:ptCount val="53"/>
                <c:pt idx="0">
                  <c:v>28-12-2026</c:v>
                </c:pt>
                <c:pt idx="1">
                  <c:v>04-01-2027</c:v>
                </c:pt>
                <c:pt idx="2">
                  <c:v>11-01-2027</c:v>
                </c:pt>
                <c:pt idx="3">
                  <c:v>18-01-2027</c:v>
                </c:pt>
                <c:pt idx="4">
                  <c:v>25-01-2027</c:v>
                </c:pt>
                <c:pt idx="5">
                  <c:v>01-02-2027</c:v>
                </c:pt>
                <c:pt idx="6">
                  <c:v>08-02-2027</c:v>
                </c:pt>
                <c:pt idx="7">
                  <c:v>15-02-2027</c:v>
                </c:pt>
                <c:pt idx="8">
                  <c:v>22-02-2027</c:v>
                </c:pt>
                <c:pt idx="9">
                  <c:v>01-03-2027</c:v>
                </c:pt>
                <c:pt idx="10">
                  <c:v>08-03-2027</c:v>
                </c:pt>
                <c:pt idx="11">
                  <c:v>15-03-2027</c:v>
                </c:pt>
                <c:pt idx="12">
                  <c:v>22-03-2027</c:v>
                </c:pt>
                <c:pt idx="13">
                  <c:v>29-03-2027</c:v>
                </c:pt>
                <c:pt idx="14">
                  <c:v>05-04-2027</c:v>
                </c:pt>
                <c:pt idx="15">
                  <c:v>12-04-2027</c:v>
                </c:pt>
                <c:pt idx="16">
                  <c:v>19-04-2027</c:v>
                </c:pt>
                <c:pt idx="17">
                  <c:v>26-04-2027</c:v>
                </c:pt>
                <c:pt idx="18">
                  <c:v>03-05-2027</c:v>
                </c:pt>
                <c:pt idx="19">
                  <c:v>10-05-2027</c:v>
                </c:pt>
                <c:pt idx="20">
                  <c:v>17-05-2027</c:v>
                </c:pt>
                <c:pt idx="21">
                  <c:v>24-05-2027</c:v>
                </c:pt>
                <c:pt idx="22">
                  <c:v>31-05-2027</c:v>
                </c:pt>
                <c:pt idx="23">
                  <c:v>07-06-2027</c:v>
                </c:pt>
                <c:pt idx="24">
                  <c:v>14-06-2027</c:v>
                </c:pt>
                <c:pt idx="25">
                  <c:v>21-06-2027</c:v>
                </c:pt>
                <c:pt idx="26">
                  <c:v>28-06-2027</c:v>
                </c:pt>
                <c:pt idx="27">
                  <c:v>05-07-2027</c:v>
                </c:pt>
                <c:pt idx="28">
                  <c:v>12-07-2027</c:v>
                </c:pt>
                <c:pt idx="29">
                  <c:v>19-07-2027</c:v>
                </c:pt>
                <c:pt idx="30">
                  <c:v>26-07-2027</c:v>
                </c:pt>
                <c:pt idx="31">
                  <c:v>02-08-2027</c:v>
                </c:pt>
                <c:pt idx="32">
                  <c:v>09-08-2027</c:v>
                </c:pt>
                <c:pt idx="33">
                  <c:v>16-08-2027</c:v>
                </c:pt>
                <c:pt idx="34">
                  <c:v>23-08-2027</c:v>
                </c:pt>
                <c:pt idx="35">
                  <c:v>30-08-2027</c:v>
                </c:pt>
                <c:pt idx="36">
                  <c:v>06-09-2027</c:v>
                </c:pt>
                <c:pt idx="37">
                  <c:v>13-09-2027</c:v>
                </c:pt>
                <c:pt idx="38">
                  <c:v>20-09-2027</c:v>
                </c:pt>
                <c:pt idx="39">
                  <c:v>27-09-2027</c:v>
                </c:pt>
                <c:pt idx="40">
                  <c:v>04-10-2027</c:v>
                </c:pt>
                <c:pt idx="41">
                  <c:v>11-10-2027</c:v>
                </c:pt>
                <c:pt idx="42">
                  <c:v>18-10-2027</c:v>
                </c:pt>
                <c:pt idx="43">
                  <c:v>25-10-2027</c:v>
                </c:pt>
                <c:pt idx="44">
                  <c:v>01-11-2027</c:v>
                </c:pt>
                <c:pt idx="45">
                  <c:v>08-11-2027</c:v>
                </c:pt>
                <c:pt idx="46">
                  <c:v>15-11-2027</c:v>
                </c:pt>
                <c:pt idx="47">
                  <c:v>22-11-2027</c:v>
                </c:pt>
                <c:pt idx="48">
                  <c:v>29-11-2027</c:v>
                </c:pt>
                <c:pt idx="49">
                  <c:v>06-12-2027</c:v>
                </c:pt>
                <c:pt idx="50">
                  <c:v>13-12-2027</c:v>
                </c:pt>
                <c:pt idx="51">
                  <c:v>20-12-2027</c:v>
                </c:pt>
                <c:pt idx="52">
                  <c:v>27-12-2027</c:v>
                </c:pt>
              </c:strCache>
            </c:strRef>
          </c:cat>
          <c:val>
            <c:numRef>
              <c:f>'Timeline Summary'!$D$49:$D$101</c:f>
              <c:numCache>
                <c:formatCode>#,##0</c:formatCode>
                <c:ptCount val="53"/>
                <c:pt idx="0">
                  <c:v>0</c:v>
                </c:pt>
                <c:pt idx="1">
                  <c:v>5</c:v>
                </c:pt>
                <c:pt idx="2">
                  <c:v>8</c:v>
                </c:pt>
                <c:pt idx="3">
                  <c:v>7</c:v>
                </c:pt>
                <c:pt idx="4">
                  <c:v>9</c:v>
                </c:pt>
                <c:pt idx="5">
                  <c:v>5</c:v>
                </c:pt>
                <c:pt idx="6">
                  <c:v>4</c:v>
                </c:pt>
                <c:pt idx="7">
                  <c:v>11</c:v>
                </c:pt>
                <c:pt idx="8">
                  <c:v>3</c:v>
                </c:pt>
                <c:pt idx="9">
                  <c:v>4</c:v>
                </c:pt>
                <c:pt idx="10">
                  <c:v>7</c:v>
                </c:pt>
                <c:pt idx="11">
                  <c:v>3</c:v>
                </c:pt>
                <c:pt idx="12">
                  <c:v>4</c:v>
                </c:pt>
                <c:pt idx="13">
                  <c:v>3</c:v>
                </c:pt>
                <c:pt idx="14">
                  <c:v>7</c:v>
                </c:pt>
                <c:pt idx="15">
                  <c:v>11</c:v>
                </c:pt>
                <c:pt idx="16">
                  <c:v>3</c:v>
                </c:pt>
                <c:pt idx="17">
                  <c:v>6</c:v>
                </c:pt>
                <c:pt idx="18">
                  <c:v>4</c:v>
                </c:pt>
                <c:pt idx="19">
                  <c:v>7</c:v>
                </c:pt>
                <c:pt idx="20">
                  <c:v>6</c:v>
                </c:pt>
                <c:pt idx="21">
                  <c:v>6</c:v>
                </c:pt>
                <c:pt idx="22">
                  <c:v>8</c:v>
                </c:pt>
                <c:pt idx="23">
                  <c:v>9</c:v>
                </c:pt>
                <c:pt idx="24">
                  <c:v>4</c:v>
                </c:pt>
                <c:pt idx="25">
                  <c:v>8</c:v>
                </c:pt>
                <c:pt idx="26">
                  <c:v>2</c:v>
                </c:pt>
                <c:pt idx="27">
                  <c:v>5</c:v>
                </c:pt>
                <c:pt idx="28">
                  <c:v>8</c:v>
                </c:pt>
                <c:pt idx="29">
                  <c:v>4</c:v>
                </c:pt>
                <c:pt idx="30">
                  <c:v>4</c:v>
                </c:pt>
                <c:pt idx="31">
                  <c:v>4</c:v>
                </c:pt>
                <c:pt idx="32">
                  <c:v>4</c:v>
                </c:pt>
                <c:pt idx="33">
                  <c:v>4</c:v>
                </c:pt>
                <c:pt idx="34">
                  <c:v>11</c:v>
                </c:pt>
                <c:pt idx="35">
                  <c:v>14</c:v>
                </c:pt>
                <c:pt idx="36">
                  <c:v>3</c:v>
                </c:pt>
                <c:pt idx="37">
                  <c:v>5</c:v>
                </c:pt>
                <c:pt idx="38">
                  <c:v>6</c:v>
                </c:pt>
                <c:pt idx="39">
                  <c:v>10</c:v>
                </c:pt>
                <c:pt idx="40">
                  <c:v>7</c:v>
                </c:pt>
                <c:pt idx="41">
                  <c:v>6</c:v>
                </c:pt>
                <c:pt idx="42">
                  <c:v>12</c:v>
                </c:pt>
                <c:pt idx="43">
                  <c:v>15</c:v>
                </c:pt>
                <c:pt idx="44">
                  <c:v>3</c:v>
                </c:pt>
                <c:pt idx="45">
                  <c:v>8</c:v>
                </c:pt>
                <c:pt idx="46">
                  <c:v>6</c:v>
                </c:pt>
                <c:pt idx="47">
                  <c:v>8</c:v>
                </c:pt>
                <c:pt idx="48">
                  <c:v>9</c:v>
                </c:pt>
                <c:pt idx="49">
                  <c:v>3</c:v>
                </c:pt>
                <c:pt idx="50">
                  <c:v>4</c:v>
                </c:pt>
                <c:pt idx="51">
                  <c:v>6</c:v>
                </c:pt>
                <c:pt idx="52">
                  <c:v>6</c:v>
                </c:pt>
              </c:numCache>
            </c:numRef>
          </c:val>
        </c:ser>
        <c:gapWidth val="150"/>
        <c:overlap val="0"/>
        <c:axId val="88245924"/>
        <c:axId val="72792332"/>
      </c:barChart>
      <c:catAx>
        <c:axId val="88245924"/>
        <c:scaling>
          <c:orientation val="minMax"/>
        </c:scaling>
        <c:delete val="0"/>
        <c:axPos val="b"/>
        <c:numFmt formatCode="dd\-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792332"/>
        <c:crosses val="autoZero"/>
        <c:auto val="1"/>
        <c:lblAlgn val="ctr"/>
        <c:lblOffset val="100"/>
        <c:noMultiLvlLbl val="0"/>
      </c:catAx>
      <c:valAx>
        <c:axId val="7279233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2459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transport cost per lane (EUR)</a:t>
            </a:r>
          </a:p>
        </c:rich>
      </c:tx>
      <c:overlay val="0"/>
      <c:spPr>
        <a:noFill/>
        <a:ln w="0">
          <a:noFill/>
        </a:ln>
      </c:spPr>
    </c:title>
    <c:autoTitleDeleted val="0"/>
    <c:plotArea>
      <c:barChart>
        <c:barDir val="col"/>
        <c:grouping val="clustered"/>
        <c:varyColors val="0"/>
        <c:ser>
          <c:idx val="0"/>
          <c:order val="0"/>
          <c:tx>
            <c:strRef>
              <c:f>'Cost Overview'!E4</c:f>
              <c:strCache>
                <c:ptCount val="1"/>
                <c:pt idx="0">
                  <c:v>Annual cost A</c:v>
                </c:pt>
              </c:strCache>
            </c:strRef>
          </c:tx>
          <c:spPr>
            <a:solidFill>
              <a:srgbClr val="9dc3e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'Cost Overview'!$B$5:$B$13</c:f>
              <c:strCache>
                <c:ptCount val="9"/>
                <c:pt idx="0">
                  <c:v>Saudi Arabia</c:v>
                </c:pt>
                <c:pt idx="1">
                  <c:v>United Arab Emirates</c:v>
                </c:pt>
                <c:pt idx="2">
                  <c:v>Kuwait</c:v>
                </c:pt>
                <c:pt idx="3">
                  <c:v>Qatar</c:v>
                </c:pt>
                <c:pt idx="4">
                  <c:v>Türkiye</c:v>
                </c:pt>
                <c:pt idx="5">
                  <c:v>Morocco</c:v>
                </c:pt>
                <c:pt idx="6">
                  <c:v>Algeria</c:v>
                </c:pt>
                <c:pt idx="7">
                  <c:v>Egypt</c:v>
                </c:pt>
                <c:pt idx="8">
                  <c:v>Tunisia</c:v>
                </c:pt>
              </c:strCache>
            </c:strRef>
          </c:cat>
          <c:val>
            <c:numRef>
              <c:f>'Cost Overview'!$E$5:$E$13</c:f>
              <c:numCache>
                <c:formatCode>"€ "#,##0;"(€ "#,##0\);\-</c:formatCode>
                <c:ptCount val="9"/>
                <c:pt idx="0">
                  <c:v>59268.4864</c:v>
                </c:pt>
                <c:pt idx="1">
                  <c:v>8457.1976</c:v>
                </c:pt>
                <c:pt idx="2">
                  <c:v>17617.2256</c:v>
                </c:pt>
                <c:pt idx="3">
                  <c:v>1280.4064</c:v>
                </c:pt>
                <c:pt idx="4">
                  <c:v>10581.3624</c:v>
                </c:pt>
                <c:pt idx="5">
                  <c:v>5863.675</c:v>
                </c:pt>
                <c:pt idx="6">
                  <c:v>1790.525</c:v>
                </c:pt>
                <c:pt idx="7">
                  <c:v>6673.804</c:v>
                </c:pt>
                <c:pt idx="8">
                  <c:v>76.3</c:v>
                </c:pt>
              </c:numCache>
            </c:numRef>
          </c:val>
        </c:ser>
        <c:ser>
          <c:idx val="1"/>
          <c:order val="1"/>
          <c:tx>
            <c:strRef>
              <c:f>'Cost Overview'!J4</c:f>
              <c:strCache>
                <c:ptCount val="1"/>
                <c:pt idx="0">
                  <c:v>Annual cost B</c:v>
                </c:pt>
              </c:strCache>
            </c:strRef>
          </c:tx>
          <c:spPr>
            <a:solidFill>
              <a:srgbClr val="1f4e7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'Cost Overview'!$B$5:$B$13</c:f>
              <c:strCache>
                <c:ptCount val="9"/>
                <c:pt idx="0">
                  <c:v>Saudi Arabia</c:v>
                </c:pt>
                <c:pt idx="1">
                  <c:v>United Arab Emirates</c:v>
                </c:pt>
                <c:pt idx="2">
                  <c:v>Kuwait</c:v>
                </c:pt>
                <c:pt idx="3">
                  <c:v>Qatar</c:v>
                </c:pt>
                <c:pt idx="4">
                  <c:v>Türkiye</c:v>
                </c:pt>
                <c:pt idx="5">
                  <c:v>Morocco</c:v>
                </c:pt>
                <c:pt idx="6">
                  <c:v>Algeria</c:v>
                </c:pt>
                <c:pt idx="7">
                  <c:v>Egypt</c:v>
                </c:pt>
                <c:pt idx="8">
                  <c:v>Tunisia</c:v>
                </c:pt>
              </c:strCache>
            </c:strRef>
          </c:cat>
          <c:val>
            <c:numRef>
              <c:f>'Cost Overview'!$J$5:$J$13</c:f>
              <c:numCache>
                <c:formatCode>"€ "#,##0;"(€ "#,##0\);\-</c:formatCode>
                <c:ptCount val="9"/>
                <c:pt idx="0">
                  <c:v>135116.79684</c:v>
                </c:pt>
                <c:pt idx="1">
                  <c:v>18294.71487</c:v>
                </c:pt>
                <c:pt idx="2">
                  <c:v>40569.70687</c:v>
                </c:pt>
                <c:pt idx="3">
                  <c:v>2814.07252</c:v>
                </c:pt>
                <c:pt idx="4">
                  <c:v>23354.0818</c:v>
                </c:pt>
                <c:pt idx="5">
                  <c:v>7521.08407</c:v>
                </c:pt>
                <c:pt idx="6">
                  <c:v>5690.0269</c:v>
                </c:pt>
                <c:pt idx="7">
                  <c:v>8712.09052</c:v>
                </c:pt>
                <c:pt idx="8">
                  <c:v>1096.65644</c:v>
                </c:pt>
              </c:numCache>
            </c:numRef>
          </c:val>
        </c:ser>
        <c:gapWidth val="150"/>
        <c:overlap val="0"/>
        <c:axId val="20104097"/>
        <c:axId val="1610756"/>
      </c:barChart>
      <c:catAx>
        <c:axId val="201040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0756"/>
        <c:crosses val="autoZero"/>
        <c:auto val="1"/>
        <c:lblAlgn val="ctr"/>
        <c:lblOffset val="100"/>
        <c:noMultiLvlLbl val="0"/>
      </c:catAx>
      <c:valAx>
        <c:axId val="161075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1040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chart" Target="../charts/chart1.xml"/>
</Relationships>
</file>

<file path=xl/drawings/_rels/drawing5.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5724360</xdr:colOff>
      <xdr:row>0</xdr:row>
      <xdr:rowOff>38160</xdr:rowOff>
    </xdr:from>
    <xdr:to>
      <xdr:col>2</xdr:col>
      <xdr:colOff>7343280</xdr:colOff>
      <xdr:row>1</xdr:row>
      <xdr:rowOff>295200</xdr:rowOff>
    </xdr:to>
    <xdr:pic>
      <xdr:nvPicPr>
        <xdr:cNvPr id="0" name="Image 1" descr="Picture"/>
        <xdr:cNvPicPr/>
      </xdr:nvPicPr>
      <xdr:blipFill>
        <a:blip r:embed="rId1"/>
        <a:stretch/>
      </xdr:blipFill>
      <xdr:spPr>
        <a:xfrm>
          <a:off x="7909560" y="38160"/>
          <a:ext cx="1618920" cy="866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45</xdr:row>
      <xdr:rowOff>130680</xdr:rowOff>
    </xdr:from>
    <xdr:to>
      <xdr:col>21</xdr:col>
      <xdr:colOff>522360</xdr:colOff>
      <xdr:row>59</xdr:row>
      <xdr:rowOff>152640</xdr:rowOff>
    </xdr:to>
    <xdr:graphicFrame>
      <xdr:nvGraphicFramePr>
        <xdr:cNvPr id="1" name="Chart 1"/>
        <xdr:cNvGraphicFramePr/>
      </xdr:nvGraphicFramePr>
      <xdr:xfrm>
        <a:off x="5216040" y="9505800"/>
        <a:ext cx="93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131040</xdr:rowOff>
    </xdr:from>
    <xdr:to>
      <xdr:col>9</xdr:col>
      <xdr:colOff>236880</xdr:colOff>
      <xdr:row>30</xdr:row>
      <xdr:rowOff>153000</xdr:rowOff>
    </xdr:to>
    <xdr:graphicFrame>
      <xdr:nvGraphicFramePr>
        <xdr:cNvPr id="2" name="Chart 1"/>
        <xdr:cNvGraphicFramePr/>
      </xdr:nvGraphicFramePr>
      <xdr:xfrm>
        <a:off x="0" y="362916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48" hidden="false" customHeight="true" outlineLevel="0" collapsed="false">
      <c r="B1" s="1" t="s">
        <v>0</v>
      </c>
    </row>
    <row r="2" customFormat="false" ht="24" hidden="false" customHeight="true" outlineLevel="0" collapsed="false">
      <c r="B2" s="2" t="s">
        <v>1</v>
      </c>
    </row>
    <row r="4" customFormat="false" ht="15" hidden="false" customHeight="false" outlineLevel="0" collapsed="false">
      <c r="B4" s="3" t="s">
        <v>2</v>
      </c>
      <c r="C4" s="4" t="s">
        <v>3</v>
      </c>
    </row>
    <row r="5" customFormat="false" ht="15" hidden="false" customHeight="false" outlineLevel="0" collapsed="false">
      <c r="B5" s="3" t="s">
        <v>4</v>
      </c>
      <c r="C5" s="4" t="s">
        <v>3</v>
      </c>
    </row>
    <row r="6" customFormat="false" ht="15" hidden="false" customHeight="false" outlineLevel="0" collapsed="false">
      <c r="B6" s="3" t="s">
        <v>5</v>
      </c>
      <c r="C6" s="4" t="s">
        <v>3</v>
      </c>
    </row>
    <row r="7" customFormat="false" ht="15" hidden="false" customHeight="false" outlineLevel="0" collapsed="false">
      <c r="B7" s="3" t="s">
        <v>6</v>
      </c>
      <c r="C7" s="4" t="s">
        <v>3</v>
      </c>
    </row>
    <row r="9" customFormat="false" ht="30" hidden="false" customHeight="true" outlineLevel="0" collapsed="false">
      <c r="B9" s="5" t="s">
        <v>7</v>
      </c>
      <c r="C9" s="6" t="s">
        <v>8</v>
      </c>
    </row>
    <row r="10" customFormat="false" ht="61.5" hidden="false" customHeight="true" outlineLevel="0" collapsed="false">
      <c r="B10" s="5" t="s">
        <v>9</v>
      </c>
      <c r="C10" s="6" t="s">
        <v>10</v>
      </c>
    </row>
    <row r="11" customFormat="false" ht="45" hidden="false" customHeight="true" outlineLevel="0" collapsed="false">
      <c r="B11" s="5" t="s">
        <v>11</v>
      </c>
      <c r="C11" s="6" t="s">
        <v>12</v>
      </c>
    </row>
    <row r="12" customFormat="false" ht="45" hidden="false" customHeight="true" outlineLevel="0" collapsed="false">
      <c r="B12" s="5" t="s">
        <v>13</v>
      </c>
      <c r="C12" s="6" t="s">
        <v>14</v>
      </c>
    </row>
    <row r="13" customFormat="false" ht="45" hidden="false" customHeight="true" outlineLevel="0" collapsed="false">
      <c r="B13" s="5" t="s">
        <v>15</v>
      </c>
      <c r="C13" s="6" t="s">
        <v>16</v>
      </c>
    </row>
    <row r="14" customFormat="false" ht="61.5" hidden="false" customHeight="true" outlineLevel="0" collapsed="false">
      <c r="B14" s="5" t="s">
        <v>17</v>
      </c>
      <c r="C14" s="6" t="s">
        <v>18</v>
      </c>
    </row>
    <row r="15" customFormat="false" ht="30" hidden="false" customHeight="true" outlineLevel="0" collapsed="false">
      <c r="B15" s="5" t="s">
        <v>19</v>
      </c>
      <c r="C15" s="6" t="s">
        <v>20</v>
      </c>
    </row>
    <row r="16" customFormat="false" ht="30" hidden="false" customHeight="true" outlineLevel="0" collapsed="false">
      <c r="B16" s="5" t="s">
        <v>21</v>
      </c>
      <c r="C16" s="6" t="s">
        <v>22</v>
      </c>
    </row>
    <row r="17" customFormat="false" ht="91.5" hidden="false" customHeight="true" outlineLevel="0" collapsed="false">
      <c r="B17" s="5" t="s">
        <v>23</v>
      </c>
      <c r="C17" s="6" t="s">
        <v>24</v>
      </c>
    </row>
    <row r="18" customFormat="false" ht="45" hidden="false" customHeight="true" outlineLevel="0" collapsed="false">
      <c r="B18" s="5" t="s">
        <v>25</v>
      </c>
      <c r="C18" s="6" t="s">
        <v>26</v>
      </c>
    </row>
    <row r="19" customFormat="false" ht="45" hidden="false" customHeight="true" outlineLevel="0" collapsed="false">
      <c r="B19" s="5" t="s">
        <v>27</v>
      </c>
      <c r="C19" s="6" t="s">
        <v>28</v>
      </c>
    </row>
    <row r="20" customFormat="false" ht="45" hidden="false" customHeight="true" outlineLevel="0" collapsed="false">
      <c r="B20" s="5" t="s">
        <v>29</v>
      </c>
      <c r="C20" s="6" t="s">
        <v>30</v>
      </c>
    </row>
    <row r="21" customFormat="false" ht="75.75" hidden="false" customHeight="true" outlineLevel="0" collapsed="false">
      <c r="B21" s="5" t="s">
        <v>31</v>
      </c>
      <c r="C21" s="6" t="s">
        <v>32</v>
      </c>
    </row>
    <row r="22" customFormat="false" ht="15" hidden="false" customHeight="false" outlineLevel="0" collapsed="false">
      <c r="B22" s="7"/>
      <c r="C22" s="8"/>
    </row>
    <row r="23" customFormat="false" ht="15" hidden="false" customHeight="false" outlineLevel="0" collapsed="false">
      <c r="B23" s="7" t="s">
        <v>33</v>
      </c>
      <c r="C23" s="9" t="s">
        <v>34</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8"/>
    <col collapsed="false" customWidth="true" hidden="false" outlineLevel="0" max="3" min="3" style="0" width="34"/>
    <col collapsed="false" customWidth="true" hidden="false" outlineLevel="0" max="4" min="4" style="0" width="18"/>
    <col collapsed="false" customWidth="true" hidden="false" outlineLevel="0" max="5" min="5" style="0" width="28"/>
    <col collapsed="false" customWidth="true" hidden="false" outlineLevel="0" max="6" min="6" style="0" width="14"/>
    <col collapsed="false" customWidth="true" hidden="false" outlineLevel="0" max="7" min="7" style="0" width="12"/>
  </cols>
  <sheetData>
    <row r="1" customFormat="false" ht="19.7" hidden="false" customHeight="false" outlineLevel="0" collapsed="false">
      <c r="A1" s="1" t="s">
        <v>35</v>
      </c>
    </row>
    <row r="2" customFormat="false" ht="15" hidden="false" customHeight="false" outlineLevel="0" collapsed="false">
      <c r="A2" s="2" t="s">
        <v>36</v>
      </c>
    </row>
    <row r="4" customFormat="false" ht="15" hidden="false" customHeight="false" outlineLevel="0" collapsed="false">
      <c r="A4" s="10" t="s">
        <v>37</v>
      </c>
    </row>
    <row r="5" customFormat="false" ht="36" hidden="false" customHeight="true" outlineLevel="0" collapsed="false">
      <c r="A5" s="11" t="s">
        <v>38</v>
      </c>
      <c r="B5" s="12" t="s">
        <v>39</v>
      </c>
      <c r="C5" s="11" t="s">
        <v>40</v>
      </c>
    </row>
    <row r="6" customFormat="false" ht="15" hidden="false" customHeight="false" outlineLevel="0" collapsed="false">
      <c r="A6" s="3" t="s">
        <v>41</v>
      </c>
      <c r="B6" s="13" t="s">
        <v>42</v>
      </c>
      <c r="C6" s="14" t="s">
        <v>43</v>
      </c>
    </row>
    <row r="7" customFormat="false" ht="15" hidden="false" customHeight="false" outlineLevel="0" collapsed="false">
      <c r="A7" s="3" t="s">
        <v>44</v>
      </c>
      <c r="B7" s="4" t="s">
        <v>45</v>
      </c>
      <c r="C7" s="14" t="s">
        <v>46</v>
      </c>
    </row>
    <row r="8" customFormat="false" ht="15" hidden="false" customHeight="false" outlineLevel="0" collapsed="false">
      <c r="A8" s="3" t="s">
        <v>47</v>
      </c>
      <c r="B8" s="4" t="s">
        <v>48</v>
      </c>
      <c r="C8" s="14"/>
    </row>
    <row r="9" customFormat="false" ht="15" hidden="false" customHeight="false" outlineLevel="0" collapsed="false">
      <c r="A9" s="3" t="s">
        <v>49</v>
      </c>
      <c r="B9" s="4" t="s">
        <v>50</v>
      </c>
      <c r="C9" s="14" t="s">
        <v>51</v>
      </c>
    </row>
    <row r="10" customFormat="false" ht="15" hidden="false" customHeight="false" outlineLevel="0" collapsed="false">
      <c r="A10" s="3" t="s">
        <v>52</v>
      </c>
      <c r="B10" s="4" t="s">
        <v>53</v>
      </c>
      <c r="C10" s="14" t="s">
        <v>54</v>
      </c>
    </row>
    <row r="11" customFormat="false" ht="15" hidden="false" customHeight="false" outlineLevel="0" collapsed="false">
      <c r="A11" s="3" t="s">
        <v>55</v>
      </c>
      <c r="B11" s="4" t="s">
        <v>56</v>
      </c>
      <c r="C11" s="14"/>
    </row>
    <row r="12" customFormat="false" ht="15" hidden="false" customHeight="false" outlineLevel="0" collapsed="false">
      <c r="A12" s="3" t="s">
        <v>57</v>
      </c>
      <c r="B12" s="4" t="s">
        <v>58</v>
      </c>
      <c r="C12" s="14"/>
    </row>
    <row r="13" customFormat="false" ht="15" hidden="false" customHeight="false" outlineLevel="0" collapsed="false">
      <c r="A13" s="3" t="s">
        <v>59</v>
      </c>
      <c r="B13" s="4" t="s">
        <v>60</v>
      </c>
      <c r="C13" s="14"/>
    </row>
    <row r="14" customFormat="false" ht="15" hidden="false" customHeight="false" outlineLevel="0" collapsed="false">
      <c r="A14" s="3" t="s">
        <v>61</v>
      </c>
      <c r="B14" s="15" t="n">
        <v>46477</v>
      </c>
      <c r="C14" s="14" t="s">
        <v>62</v>
      </c>
    </row>
    <row r="15" customFormat="false" ht="15" hidden="false" customHeight="false" outlineLevel="0" collapsed="false">
      <c r="A15" s="3" t="s">
        <v>63</v>
      </c>
      <c r="B15" s="15" t="n">
        <v>46328</v>
      </c>
      <c r="C15" s="14" t="s">
        <v>62</v>
      </c>
    </row>
    <row r="16" customFormat="false" ht="15" hidden="false" customHeight="false" outlineLevel="0" collapsed="false">
      <c r="A16" s="3" t="s">
        <v>64</v>
      </c>
      <c r="B16" s="16" t="s">
        <v>65</v>
      </c>
      <c r="C16" s="14" t="s">
        <v>66</v>
      </c>
    </row>
    <row r="19" customFormat="false" ht="15" hidden="false" customHeight="false" outlineLevel="0" collapsed="false">
      <c r="A19" s="10" t="s">
        <v>67</v>
      </c>
    </row>
    <row r="20" customFormat="false" ht="36" hidden="false" customHeight="true" outlineLevel="0" collapsed="false">
      <c r="A20" s="11" t="s">
        <v>68</v>
      </c>
      <c r="B20" s="12" t="s">
        <v>69</v>
      </c>
      <c r="C20" s="11" t="s">
        <v>40</v>
      </c>
    </row>
    <row r="21" customFormat="false" ht="15" hidden="false" customHeight="false" outlineLevel="0" collapsed="false">
      <c r="A21" s="3" t="s">
        <v>70</v>
      </c>
      <c r="B21" s="17" t="s">
        <v>71</v>
      </c>
      <c r="C21" s="14"/>
    </row>
    <row r="22" customFormat="false" ht="15" hidden="false" customHeight="false" outlineLevel="0" collapsed="false">
      <c r="A22" s="3" t="s">
        <v>72</v>
      </c>
      <c r="B22" s="17" t="s">
        <v>73</v>
      </c>
      <c r="C22" s="14"/>
    </row>
    <row r="23" customFormat="false" ht="15" hidden="false" customHeight="false" outlineLevel="0" collapsed="false">
      <c r="A23" s="3" t="s">
        <v>74</v>
      </c>
      <c r="B23" s="17" t="s">
        <v>73</v>
      </c>
      <c r="C23" s="14"/>
    </row>
    <row r="24" customFormat="false" ht="15" hidden="false" customHeight="false" outlineLevel="0" collapsed="false">
      <c r="A24" s="3" t="s">
        <v>75</v>
      </c>
      <c r="B24" s="17" t="s">
        <v>73</v>
      </c>
      <c r="C24" s="14"/>
    </row>
    <row r="25" customFormat="false" ht="15" hidden="false" customHeight="false" outlineLevel="0" collapsed="false">
      <c r="A25" s="3" t="s">
        <v>76</v>
      </c>
      <c r="B25" s="17" t="s">
        <v>71</v>
      </c>
      <c r="C25" s="14"/>
    </row>
    <row r="26" customFormat="false" ht="15" hidden="false" customHeight="false" outlineLevel="0" collapsed="false">
      <c r="A26" s="3" t="s">
        <v>77</v>
      </c>
      <c r="B26" s="17" t="s">
        <v>73</v>
      </c>
      <c r="C26" s="14"/>
    </row>
    <row r="27" customFormat="false" ht="15" hidden="false" customHeight="false" outlineLevel="0" collapsed="false">
      <c r="A27" s="3" t="s">
        <v>78</v>
      </c>
      <c r="B27" s="17" t="s">
        <v>73</v>
      </c>
      <c r="C27" s="14"/>
    </row>
    <row r="29" customFormat="false" ht="15" hidden="false" customHeight="false" outlineLevel="0" collapsed="false">
      <c r="A29" s="10" t="s">
        <v>79</v>
      </c>
    </row>
    <row r="30" customFormat="false" ht="36" hidden="false" customHeight="true" outlineLevel="0" collapsed="false">
      <c r="A30" s="11" t="s">
        <v>80</v>
      </c>
      <c r="B30" s="12" t="s">
        <v>69</v>
      </c>
      <c r="C30" s="11" t="s">
        <v>40</v>
      </c>
    </row>
    <row r="31" customFormat="false" ht="15" hidden="false" customHeight="false" outlineLevel="0" collapsed="false">
      <c r="A31" s="3" t="s">
        <v>81</v>
      </c>
      <c r="B31" s="17" t="s">
        <v>73</v>
      </c>
      <c r="C31" s="14"/>
    </row>
    <row r="32" customFormat="false" ht="15" hidden="false" customHeight="false" outlineLevel="0" collapsed="false">
      <c r="A32" s="3" t="s">
        <v>82</v>
      </c>
      <c r="B32" s="17" t="s">
        <v>73</v>
      </c>
      <c r="C32" s="14"/>
    </row>
    <row r="33" customFormat="false" ht="15" hidden="false" customHeight="false" outlineLevel="0" collapsed="false">
      <c r="A33" s="3" t="s">
        <v>83</v>
      </c>
      <c r="B33" s="17" t="s">
        <v>73</v>
      </c>
      <c r="C33" s="14"/>
    </row>
    <row r="34" customFormat="false" ht="15" hidden="false" customHeight="false" outlineLevel="0" collapsed="false">
      <c r="A34" s="3" t="s">
        <v>84</v>
      </c>
      <c r="B34" s="17" t="s">
        <v>73</v>
      </c>
      <c r="C34" s="14"/>
    </row>
    <row r="35" customFormat="false" ht="15" hidden="false" customHeight="false" outlineLevel="0" collapsed="false">
      <c r="A35" s="3" t="s">
        <v>85</v>
      </c>
      <c r="B35" s="17" t="s">
        <v>73</v>
      </c>
      <c r="C35" s="14"/>
    </row>
    <row r="36" customFormat="false" ht="15" hidden="false" customHeight="false" outlineLevel="0" collapsed="false">
      <c r="A36" s="3" t="s">
        <v>86</v>
      </c>
      <c r="B36" s="17" t="s">
        <v>73</v>
      </c>
      <c r="C36" s="14"/>
    </row>
    <row r="37" customFormat="false" ht="15" hidden="false" customHeight="false" outlineLevel="0" collapsed="false">
      <c r="A37" s="3" t="s">
        <v>87</v>
      </c>
      <c r="B37" s="17" t="s">
        <v>71</v>
      </c>
      <c r="C37" s="14"/>
    </row>
    <row r="38" customFormat="false" ht="15" hidden="false" customHeight="false" outlineLevel="0" collapsed="false">
      <c r="A38" s="3" t="s">
        <v>88</v>
      </c>
      <c r="B38" s="17" t="s">
        <v>71</v>
      </c>
      <c r="C38" s="14"/>
    </row>
    <row r="39" customFormat="false" ht="15" hidden="false" customHeight="false" outlineLevel="0" collapsed="false">
      <c r="A39" s="3" t="s">
        <v>89</v>
      </c>
      <c r="B39" s="17" t="s">
        <v>73</v>
      </c>
      <c r="C39" s="14"/>
    </row>
    <row r="40" customFormat="false" ht="15" hidden="false" customHeight="false" outlineLevel="0" collapsed="false">
      <c r="A40" s="3" t="s">
        <v>90</v>
      </c>
      <c r="B40" s="17" t="s">
        <v>73</v>
      </c>
      <c r="C40" s="14"/>
    </row>
    <row r="41" customFormat="false" ht="15" hidden="false" customHeight="false" outlineLevel="0" collapsed="false">
      <c r="A41" s="3" t="s">
        <v>91</v>
      </c>
      <c r="B41" s="17" t="s">
        <v>73</v>
      </c>
      <c r="C41" s="14"/>
    </row>
    <row r="42" customFormat="false" ht="15" hidden="false" customHeight="false" outlineLevel="0" collapsed="false">
      <c r="A42" s="3" t="s">
        <v>92</v>
      </c>
      <c r="B42" s="17" t="s">
        <v>71</v>
      </c>
      <c r="C42" s="14"/>
    </row>
    <row r="43" customFormat="false" ht="15" hidden="false" customHeight="false" outlineLevel="0" collapsed="false">
      <c r="A43" s="3" t="s">
        <v>93</v>
      </c>
      <c r="B43" s="17" t="s">
        <v>71</v>
      </c>
      <c r="C43" s="14"/>
    </row>
    <row r="44" customFormat="false" ht="15" hidden="false" customHeight="false" outlineLevel="0" collapsed="false">
      <c r="A44" s="3" t="s">
        <v>94</v>
      </c>
      <c r="B44" s="17" t="s">
        <v>71</v>
      </c>
      <c r="C44" s="14"/>
    </row>
    <row r="45" customFormat="false" ht="15" hidden="false" customHeight="false" outlineLevel="0" collapsed="false">
      <c r="A45" s="3" t="s">
        <v>95</v>
      </c>
      <c r="B45" s="17" t="s">
        <v>71</v>
      </c>
      <c r="C45" s="14"/>
    </row>
    <row r="46" customFormat="false" ht="15" hidden="false" customHeight="false" outlineLevel="0" collapsed="false">
      <c r="A46" s="3" t="s">
        <v>96</v>
      </c>
      <c r="B46" s="17" t="s">
        <v>71</v>
      </c>
      <c r="C46" s="14"/>
    </row>
    <row r="47" customFormat="false" ht="15" hidden="false" customHeight="false" outlineLevel="0" collapsed="false">
      <c r="A47" s="3" t="s">
        <v>97</v>
      </c>
      <c r="B47" s="17" t="s">
        <v>71</v>
      </c>
      <c r="C47" s="14"/>
    </row>
    <row r="48" customFormat="false" ht="15" hidden="false" customHeight="false" outlineLevel="0" collapsed="false">
      <c r="A48" s="3" t="s">
        <v>98</v>
      </c>
      <c r="B48" s="17" t="s">
        <v>71</v>
      </c>
      <c r="C48" s="14"/>
    </row>
    <row r="49" customFormat="false" ht="15" hidden="false" customHeight="false" outlineLevel="0" collapsed="false">
      <c r="A49" s="3" t="s">
        <v>99</v>
      </c>
      <c r="B49" s="17" t="s">
        <v>71</v>
      </c>
      <c r="C49" s="14"/>
    </row>
    <row r="51" customFormat="false" ht="15" hidden="false" customHeight="false" outlineLevel="0" collapsed="false">
      <c r="A51" s="10" t="s">
        <v>100</v>
      </c>
    </row>
    <row r="52" customFormat="false" ht="43.5" hidden="false" customHeight="true" outlineLevel="0" collapsed="false">
      <c r="A52" s="11" t="s">
        <v>101</v>
      </c>
      <c r="B52" s="11" t="s">
        <v>102</v>
      </c>
      <c r="C52" s="11" t="s">
        <v>103</v>
      </c>
      <c r="D52" s="12" t="s">
        <v>104</v>
      </c>
      <c r="E52" s="12" t="s">
        <v>105</v>
      </c>
      <c r="F52" s="12" t="s">
        <v>106</v>
      </c>
      <c r="G52" s="12" t="s">
        <v>107</v>
      </c>
    </row>
    <row r="53" customFormat="false" ht="15" hidden="false" customHeight="false" outlineLevel="0" collapsed="false">
      <c r="A53" s="3" t="s">
        <v>108</v>
      </c>
      <c r="B53" s="8" t="s">
        <v>109</v>
      </c>
      <c r="C53" s="8" t="s">
        <v>110</v>
      </c>
      <c r="D53" s="4" t="s">
        <v>111</v>
      </c>
      <c r="E53" s="4"/>
      <c r="F53" s="17" t="s">
        <v>71</v>
      </c>
      <c r="G53" s="17" t="s">
        <v>71</v>
      </c>
    </row>
    <row r="54" customFormat="false" ht="15" hidden="false" customHeight="false" outlineLevel="0" collapsed="false">
      <c r="A54" s="3" t="s">
        <v>112</v>
      </c>
      <c r="B54" s="8" t="s">
        <v>113</v>
      </c>
      <c r="C54" s="8" t="s">
        <v>110</v>
      </c>
      <c r="D54" s="4" t="s">
        <v>114</v>
      </c>
      <c r="E54" s="4"/>
      <c r="F54" s="17" t="s">
        <v>73</v>
      </c>
      <c r="G54" s="17" t="s">
        <v>71</v>
      </c>
    </row>
    <row r="55" customFormat="false" ht="15" hidden="false" customHeight="false" outlineLevel="0" collapsed="false">
      <c r="A55" s="3" t="s">
        <v>115</v>
      </c>
      <c r="B55" s="8" t="s">
        <v>116</v>
      </c>
      <c r="C55" s="8" t="s">
        <v>110</v>
      </c>
      <c r="D55" s="4" t="s">
        <v>114</v>
      </c>
      <c r="E55" s="4"/>
      <c r="F55" s="17" t="s">
        <v>71</v>
      </c>
      <c r="G55" s="17" t="s">
        <v>71</v>
      </c>
    </row>
    <row r="56" customFormat="false" ht="15" hidden="false" customHeight="false" outlineLevel="0" collapsed="false">
      <c r="A56" s="3" t="s">
        <v>117</v>
      </c>
      <c r="B56" s="8" t="s">
        <v>118</v>
      </c>
      <c r="C56" s="8" t="s">
        <v>110</v>
      </c>
      <c r="D56" s="4" t="s">
        <v>114</v>
      </c>
      <c r="E56" s="4"/>
      <c r="F56" s="17" t="s">
        <v>71</v>
      </c>
      <c r="G56" s="17" t="s">
        <v>71</v>
      </c>
    </row>
    <row r="57" customFormat="false" ht="15" hidden="false" customHeight="false" outlineLevel="0" collapsed="false">
      <c r="A57" s="3" t="s">
        <v>119</v>
      </c>
      <c r="B57" s="8" t="s">
        <v>120</v>
      </c>
      <c r="C57" s="8" t="s">
        <v>120</v>
      </c>
      <c r="D57" s="4" t="s">
        <v>114</v>
      </c>
      <c r="E57" s="4"/>
      <c r="F57" s="17" t="s">
        <v>73</v>
      </c>
      <c r="G57" s="17" t="s">
        <v>73</v>
      </c>
    </row>
    <row r="58" customFormat="false" ht="15" hidden="false" customHeight="false" outlineLevel="0" collapsed="false">
      <c r="A58" s="3" t="s">
        <v>121</v>
      </c>
      <c r="B58" s="8" t="s">
        <v>122</v>
      </c>
      <c r="C58" s="8" t="s">
        <v>123</v>
      </c>
      <c r="D58" s="4" t="s">
        <v>114</v>
      </c>
      <c r="E58" s="4"/>
      <c r="F58" s="17" t="s">
        <v>71</v>
      </c>
      <c r="G58" s="17" t="s">
        <v>71</v>
      </c>
    </row>
    <row r="59" customFormat="false" ht="15" hidden="false" customHeight="false" outlineLevel="0" collapsed="false">
      <c r="A59" s="3" t="s">
        <v>124</v>
      </c>
      <c r="B59" s="8" t="s">
        <v>125</v>
      </c>
      <c r="C59" s="8" t="s">
        <v>123</v>
      </c>
      <c r="D59" s="4" t="s">
        <v>114</v>
      </c>
      <c r="E59" s="4"/>
      <c r="F59" s="17" t="s">
        <v>73</v>
      </c>
      <c r="G59" s="17" t="s">
        <v>73</v>
      </c>
    </row>
    <row r="60" customFormat="false" ht="15" hidden="false" customHeight="false" outlineLevel="0" collapsed="false">
      <c r="A60" s="3" t="s">
        <v>126</v>
      </c>
      <c r="B60" s="8" t="s">
        <v>127</v>
      </c>
      <c r="C60" s="8" t="s">
        <v>123</v>
      </c>
      <c r="D60" s="4" t="s">
        <v>128</v>
      </c>
      <c r="E60" s="4"/>
      <c r="F60" s="17" t="s">
        <v>73</v>
      </c>
      <c r="G60" s="17" t="s">
        <v>73</v>
      </c>
    </row>
    <row r="61" customFormat="false" ht="15" hidden="false" customHeight="false" outlineLevel="0" collapsed="false">
      <c r="A61" s="3" t="s">
        <v>129</v>
      </c>
      <c r="B61" s="8" t="s">
        <v>130</v>
      </c>
      <c r="C61" s="8" t="s">
        <v>123</v>
      </c>
      <c r="D61" s="4" t="s">
        <v>114</v>
      </c>
      <c r="E61" s="4"/>
      <c r="F61" s="17" t="s">
        <v>71</v>
      </c>
      <c r="G61" s="17" t="s">
        <v>73</v>
      </c>
    </row>
    <row r="63" customFormat="false" ht="15" hidden="false" customHeight="false" outlineLevel="0" collapsed="false">
      <c r="A63" s="10" t="s">
        <v>131</v>
      </c>
    </row>
    <row r="64" customFormat="false" ht="36" hidden="false" customHeight="true" outlineLevel="0" collapsed="false">
      <c r="A64" s="11" t="s">
        <v>132</v>
      </c>
      <c r="B64" s="12" t="s">
        <v>69</v>
      </c>
      <c r="C64" s="11" t="s">
        <v>40</v>
      </c>
    </row>
    <row r="65" customFormat="false" ht="15" hidden="false" customHeight="false" outlineLevel="0" collapsed="false">
      <c r="A65" s="3" t="s">
        <v>133</v>
      </c>
      <c r="B65" s="17" t="s">
        <v>71</v>
      </c>
      <c r="C65" s="14"/>
    </row>
    <row r="66" customFormat="false" ht="15" hidden="false" customHeight="false" outlineLevel="0" collapsed="false">
      <c r="A66" s="3" t="s">
        <v>134</v>
      </c>
      <c r="B66" s="17" t="s">
        <v>73</v>
      </c>
      <c r="C66" s="14"/>
    </row>
    <row r="67" customFormat="false" ht="15" hidden="false" customHeight="false" outlineLevel="0" collapsed="false">
      <c r="A67" s="3" t="s">
        <v>135</v>
      </c>
      <c r="B67" s="17" t="s">
        <v>73</v>
      </c>
      <c r="C67" s="14"/>
    </row>
    <row r="68" customFormat="false" ht="15" hidden="false" customHeight="false" outlineLevel="0" collapsed="false">
      <c r="A68" s="3" t="s">
        <v>136</v>
      </c>
      <c r="B68" s="17" t="s">
        <v>71</v>
      </c>
      <c r="C68" s="14"/>
    </row>
    <row r="69" customFormat="false" ht="15" hidden="false" customHeight="false" outlineLevel="0" collapsed="false">
      <c r="A69" s="3" t="s">
        <v>137</v>
      </c>
      <c r="B69" s="17" t="s">
        <v>73</v>
      </c>
      <c r="C69" s="14"/>
    </row>
    <row r="70" customFormat="false" ht="15" hidden="false" customHeight="false" outlineLevel="0" collapsed="false">
      <c r="A70" s="3" t="s">
        <v>138</v>
      </c>
      <c r="B70" s="17" t="s">
        <v>71</v>
      </c>
      <c r="C70" s="14"/>
    </row>
    <row r="71" customFormat="false" ht="15" hidden="false" customHeight="false" outlineLevel="0" collapsed="false">
      <c r="A71" s="3" t="s">
        <v>139</v>
      </c>
      <c r="B71" s="4"/>
      <c r="C71" s="14"/>
    </row>
  </sheetData>
  <sheetProtection sheet="true" formatColumns="false" formatRows="false" sort="false" autoFilter="false"/>
  <dataValidations count="4">
    <dataValidation allowBlank="true" errorStyle="stop" operator="between" showDropDown="false" showErrorMessage="false" showInputMessage="false" sqref="B21:B27 B31:B49 F53:G61 B65:B70" type="list">
      <formula1>"Yes,No"</formula1>
      <formula2>0</formula2>
    </dataValidation>
    <dataValidation allowBlank="true" errorStyle="stop" operator="greaterThan" showDropDown="false" showErrorMessage="false" showInputMessage="false" sqref="B14" type="date">
      <formula1>DATE(2026,1,1)</formula1>
      <formula2>0</formula2>
    </dataValidation>
    <dataValidation allowBlank="true" errorStyle="stop" operator="greaterThan" showDropDown="false" showErrorMessage="false" showInputMessage="false" sqref="B15" type="date">
      <formula1>DATE(2026,1,1)</formula1>
      <formula2>0</formula2>
    </dataValidation>
    <dataValidation allowBlank="true" errorStyle="stop" operator="between" showDropDown="false" showErrorMessage="false" showInputMessage="false" sqref="D53:D61" type="list">
      <formula1>"Own entity,Agent,Partner network,Not served"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4"/>
    <col collapsed="false" customWidth="true" hidden="false" outlineLevel="0" max="4" min="4" style="0" width="12"/>
    <col collapsed="false" customWidth="true" hidden="false" outlineLevel="0" max="5" min="5" style="0" width="11"/>
    <col collapsed="false" customWidth="true" hidden="false" outlineLevel="0" max="6" min="6" style="0" width="9"/>
    <col collapsed="false" customWidth="true" hidden="false" outlineLevel="0" max="12" min="7" style="0" width="12"/>
  </cols>
  <sheetData>
    <row r="1" customFormat="false" ht="19.7" hidden="false" customHeight="false" outlineLevel="0" collapsed="false">
      <c r="A1" s="1" t="s">
        <v>140</v>
      </c>
    </row>
    <row r="2" customFormat="false" ht="15" hidden="false" customHeight="false" outlineLevel="0" collapsed="false">
      <c r="A2" s="2" t="s">
        <v>141</v>
      </c>
    </row>
    <row r="4" customFormat="false" ht="15" hidden="false" customHeight="false" outlineLevel="0" collapsed="false">
      <c r="A4" s="10" t="s">
        <v>142</v>
      </c>
    </row>
    <row r="5" customFormat="false" ht="43.5" hidden="false" customHeight="true" outlineLevel="0" collapsed="false">
      <c r="A5" s="11" t="s">
        <v>101</v>
      </c>
      <c r="B5" s="11" t="s">
        <v>143</v>
      </c>
      <c r="C5" s="11" t="s">
        <v>144</v>
      </c>
      <c r="D5" s="11" t="s">
        <v>145</v>
      </c>
      <c r="E5" s="11" t="s">
        <v>146</v>
      </c>
      <c r="F5" s="11" t="s">
        <v>147</v>
      </c>
      <c r="G5" s="11" t="s">
        <v>148</v>
      </c>
      <c r="H5" s="11" t="s">
        <v>149</v>
      </c>
      <c r="I5" s="11" t="s">
        <v>150</v>
      </c>
    </row>
    <row r="6" customFormat="false" ht="15" hidden="false" customHeight="false" outlineLevel="0" collapsed="false">
      <c r="A6" s="3" t="s">
        <v>108</v>
      </c>
      <c r="B6" s="8" t="s">
        <v>109</v>
      </c>
      <c r="C6" s="8" t="s">
        <v>151</v>
      </c>
      <c r="D6" s="18" t="n">
        <v>50</v>
      </c>
      <c r="E6" s="18" t="n">
        <v>15486</v>
      </c>
      <c r="F6" s="19" t="n">
        <v>100.3</v>
      </c>
      <c r="G6" s="18" t="n">
        <v>16716</v>
      </c>
      <c r="H6" s="18" t="n">
        <v>310</v>
      </c>
      <c r="I6" s="18" t="n">
        <f aca="false">'Timeline Summary'!P6</f>
        <v>6</v>
      </c>
    </row>
    <row r="7" customFormat="false" ht="15" hidden="false" customHeight="false" outlineLevel="0" collapsed="false">
      <c r="A7" s="3" t="s">
        <v>112</v>
      </c>
      <c r="B7" s="8" t="s">
        <v>113</v>
      </c>
      <c r="C7" s="8" t="s">
        <v>152</v>
      </c>
      <c r="D7" s="18" t="n">
        <v>36</v>
      </c>
      <c r="E7" s="18" t="n">
        <v>1293</v>
      </c>
      <c r="F7" s="19" t="n">
        <v>8.4</v>
      </c>
      <c r="G7" s="18" t="n">
        <v>1395</v>
      </c>
      <c r="H7" s="18" t="n">
        <v>36</v>
      </c>
      <c r="I7" s="18" t="n">
        <f aca="false">'Timeline Summary'!P7</f>
        <v>4</v>
      </c>
    </row>
    <row r="8" customFormat="false" ht="15" hidden="false" customHeight="false" outlineLevel="0" collapsed="false">
      <c r="A8" s="3" t="s">
        <v>115</v>
      </c>
      <c r="B8" s="8" t="s">
        <v>116</v>
      </c>
      <c r="C8" s="8" t="s">
        <v>153</v>
      </c>
      <c r="D8" s="18" t="n">
        <v>12</v>
      </c>
      <c r="E8" s="18" t="n">
        <v>3983</v>
      </c>
      <c r="F8" s="19" t="n">
        <v>25.8</v>
      </c>
      <c r="G8" s="18" t="n">
        <v>4300</v>
      </c>
      <c r="H8" s="18" t="n">
        <v>332</v>
      </c>
      <c r="I8" s="18" t="n">
        <f aca="false">'Timeline Summary'!P8</f>
        <v>2</v>
      </c>
    </row>
    <row r="9" customFormat="false" ht="15" hidden="false" customHeight="false" outlineLevel="0" collapsed="false">
      <c r="A9" s="3" t="s">
        <v>117</v>
      </c>
      <c r="B9" s="8" t="s">
        <v>118</v>
      </c>
      <c r="C9" s="8" t="s">
        <v>154</v>
      </c>
      <c r="D9" s="18" t="n">
        <v>10</v>
      </c>
      <c r="E9" s="18" t="n">
        <v>343</v>
      </c>
      <c r="F9" s="19" t="n">
        <v>2.2</v>
      </c>
      <c r="G9" s="18" t="n">
        <v>371</v>
      </c>
      <c r="H9" s="18" t="n">
        <v>34</v>
      </c>
      <c r="I9" s="18" t="n">
        <f aca="false">'Timeline Summary'!P9</f>
        <v>1</v>
      </c>
    </row>
    <row r="10" customFormat="false" ht="15" hidden="false" customHeight="false" outlineLevel="0" collapsed="false">
      <c r="A10" s="3" t="s">
        <v>119</v>
      </c>
      <c r="B10" s="8" t="s">
        <v>120</v>
      </c>
      <c r="C10" s="8" t="s">
        <v>155</v>
      </c>
      <c r="D10" s="18" t="n">
        <v>16</v>
      </c>
      <c r="E10" s="18" t="n">
        <v>1819</v>
      </c>
      <c r="F10" s="19" t="n">
        <v>11.8</v>
      </c>
      <c r="G10" s="18" t="n">
        <v>1963</v>
      </c>
      <c r="H10" s="18" t="n">
        <v>114</v>
      </c>
      <c r="I10" s="18" t="n">
        <f aca="false">'Timeline Summary'!P10</f>
        <v>2</v>
      </c>
    </row>
    <row r="11" customFormat="false" ht="15" hidden="false" customHeight="false" outlineLevel="0" collapsed="false">
      <c r="A11" s="3" t="s">
        <v>121</v>
      </c>
      <c r="B11" s="8" t="s">
        <v>122</v>
      </c>
      <c r="C11" s="8" t="s">
        <v>156</v>
      </c>
      <c r="D11" s="18" t="n">
        <v>6</v>
      </c>
      <c r="E11" s="18" t="n">
        <v>1278</v>
      </c>
      <c r="F11" s="19" t="n">
        <v>8.3</v>
      </c>
      <c r="G11" s="18" t="n">
        <v>1379</v>
      </c>
      <c r="H11" s="18" t="n">
        <v>213</v>
      </c>
      <c r="I11" s="18" t="n">
        <f aca="false">'Timeline Summary'!P11</f>
        <v>1</v>
      </c>
    </row>
    <row r="12" customFormat="false" ht="15" hidden="false" customHeight="false" outlineLevel="0" collapsed="false">
      <c r="A12" s="3" t="s">
        <v>124</v>
      </c>
      <c r="B12" s="8" t="s">
        <v>125</v>
      </c>
      <c r="C12" s="8" t="s">
        <v>157</v>
      </c>
      <c r="D12" s="18" t="n">
        <v>4</v>
      </c>
      <c r="E12" s="18" t="n">
        <v>328</v>
      </c>
      <c r="F12" s="19" t="n">
        <v>2.1</v>
      </c>
      <c r="G12" s="18" t="n">
        <v>354</v>
      </c>
      <c r="H12" s="18" t="n">
        <v>82</v>
      </c>
      <c r="I12" s="18" t="n">
        <f aca="false">'Timeline Summary'!P12</f>
        <v>1</v>
      </c>
    </row>
    <row r="13" customFormat="false" ht="15" hidden="false" customHeight="false" outlineLevel="0" collapsed="false">
      <c r="A13" s="3" t="s">
        <v>126</v>
      </c>
      <c r="B13" s="8" t="s">
        <v>127</v>
      </c>
      <c r="C13" s="8" t="s">
        <v>158</v>
      </c>
      <c r="D13" s="18" t="n">
        <v>6</v>
      </c>
      <c r="E13" s="18" t="n">
        <v>1278</v>
      </c>
      <c r="F13" s="19" t="n">
        <v>8.3</v>
      </c>
      <c r="G13" s="18" t="n">
        <v>1379</v>
      </c>
      <c r="H13" s="18" t="n">
        <v>213</v>
      </c>
      <c r="I13" s="18" t="n">
        <f aca="false">'Timeline Summary'!P13</f>
        <v>1</v>
      </c>
    </row>
    <row r="14" customFormat="false" ht="15" hidden="false" customHeight="false" outlineLevel="0" collapsed="false">
      <c r="A14" s="3" t="s">
        <v>129</v>
      </c>
      <c r="B14" s="8" t="s">
        <v>130</v>
      </c>
      <c r="C14" s="8" t="s">
        <v>159</v>
      </c>
      <c r="D14" s="18" t="n">
        <v>1</v>
      </c>
      <c r="E14" s="18" t="n">
        <v>8</v>
      </c>
      <c r="F14" s="19" t="n">
        <v>0.1</v>
      </c>
      <c r="G14" s="18" t="n">
        <v>8</v>
      </c>
      <c r="H14" s="18" t="n">
        <v>8</v>
      </c>
      <c r="I14" s="18" t="n">
        <f aca="false">'Timeline Summary'!P14</f>
        <v>1</v>
      </c>
    </row>
    <row r="15" customFormat="false" ht="15" hidden="false" customHeight="false" outlineLevel="0" collapsed="false">
      <c r="A15" s="20" t="s">
        <v>160</v>
      </c>
      <c r="B15" s="21"/>
      <c r="C15" s="21"/>
      <c r="D15" s="22" t="n">
        <f aca="false">SUM(D6:D14)</f>
        <v>141</v>
      </c>
      <c r="E15" s="22" t="n">
        <f aca="false">SUM(E6:E14)</f>
        <v>25816</v>
      </c>
      <c r="F15" s="23" t="n">
        <f aca="false">SUM(F6:F14)</f>
        <v>167.3</v>
      </c>
      <c r="G15" s="22" t="n">
        <f aca="false">SUM(G6:G14)</f>
        <v>27865</v>
      </c>
      <c r="H15" s="22" t="n">
        <f aca="false">IFERROR(E15/D15,0)</f>
        <v>183.09219858156</v>
      </c>
      <c r="I15" s="24" t="n">
        <f aca="false">'Timeline Summary'!P15</f>
        <v>16</v>
      </c>
    </row>
    <row r="18" customFormat="false" ht="15" hidden="false" customHeight="false" outlineLevel="0" collapsed="false">
      <c r="A18" s="10" t="s">
        <v>161</v>
      </c>
    </row>
    <row r="19" customFormat="false" ht="43.5" hidden="false" customHeight="true" outlineLevel="0" collapsed="false">
      <c r="A19" s="11" t="s">
        <v>101</v>
      </c>
      <c r="B19" s="11" t="s">
        <v>143</v>
      </c>
      <c r="C19" s="11" t="s">
        <v>144</v>
      </c>
      <c r="D19" s="11" t="s">
        <v>145</v>
      </c>
      <c r="E19" s="11" t="s">
        <v>146</v>
      </c>
      <c r="F19" s="11" t="s">
        <v>147</v>
      </c>
      <c r="G19" s="11" t="s">
        <v>148</v>
      </c>
      <c r="H19" s="11" t="s">
        <v>149</v>
      </c>
      <c r="I19" s="11" t="s">
        <v>150</v>
      </c>
    </row>
    <row r="20" customFormat="false" ht="15" hidden="false" customHeight="false" outlineLevel="0" collapsed="false">
      <c r="A20" s="3" t="s">
        <v>108</v>
      </c>
      <c r="B20" s="8" t="s">
        <v>109</v>
      </c>
      <c r="C20" s="8" t="s">
        <v>151</v>
      </c>
      <c r="D20" s="18" t="n">
        <v>117</v>
      </c>
      <c r="E20" s="18" t="n">
        <v>37169</v>
      </c>
      <c r="F20" s="19" t="n">
        <v>240.7</v>
      </c>
      <c r="G20" s="18" t="n">
        <v>40121</v>
      </c>
      <c r="H20" s="18" t="n">
        <v>318</v>
      </c>
      <c r="I20" s="18" t="n">
        <f aca="false">'Timeline Summary'!P20</f>
        <v>14</v>
      </c>
    </row>
    <row r="21" customFormat="false" ht="15" hidden="false" customHeight="false" outlineLevel="0" collapsed="false">
      <c r="A21" s="3" t="s">
        <v>112</v>
      </c>
      <c r="B21" s="8" t="s">
        <v>113</v>
      </c>
      <c r="C21" s="8" t="s">
        <v>152</v>
      </c>
      <c r="D21" s="18" t="n">
        <v>84</v>
      </c>
      <c r="E21" s="18" t="n">
        <v>2932</v>
      </c>
      <c r="F21" s="19" t="n">
        <v>19</v>
      </c>
      <c r="G21" s="18" t="n">
        <v>3165</v>
      </c>
      <c r="H21" s="18" t="n">
        <v>35</v>
      </c>
      <c r="I21" s="18" t="n">
        <f aca="false">'Timeline Summary'!P21</f>
        <v>11</v>
      </c>
    </row>
    <row r="22" customFormat="false" ht="15" hidden="false" customHeight="false" outlineLevel="0" collapsed="false">
      <c r="A22" s="3" t="s">
        <v>115</v>
      </c>
      <c r="B22" s="8" t="s">
        <v>116</v>
      </c>
      <c r="C22" s="8" t="s">
        <v>153</v>
      </c>
      <c r="D22" s="18" t="n">
        <v>29</v>
      </c>
      <c r="E22" s="18" t="n">
        <v>9698</v>
      </c>
      <c r="F22" s="19" t="n">
        <v>62.8</v>
      </c>
      <c r="G22" s="18" t="n">
        <v>10468</v>
      </c>
      <c r="H22" s="18" t="n">
        <v>334</v>
      </c>
      <c r="I22" s="18" t="n">
        <f aca="false">'Timeline Summary'!P22</f>
        <v>3</v>
      </c>
    </row>
    <row r="23" customFormat="false" ht="15" hidden="false" customHeight="false" outlineLevel="0" collapsed="false">
      <c r="A23" s="3" t="s">
        <v>117</v>
      </c>
      <c r="B23" s="8" t="s">
        <v>118</v>
      </c>
      <c r="C23" s="8" t="s">
        <v>154</v>
      </c>
      <c r="D23" s="18" t="n">
        <v>23</v>
      </c>
      <c r="E23" s="18" t="n">
        <v>798</v>
      </c>
      <c r="F23" s="19" t="n">
        <v>5.2</v>
      </c>
      <c r="G23" s="18" t="n">
        <v>862</v>
      </c>
      <c r="H23" s="18" t="n">
        <v>35</v>
      </c>
      <c r="I23" s="18" t="n">
        <f aca="false">'Timeline Summary'!P23</f>
        <v>3</v>
      </c>
    </row>
    <row r="24" customFormat="false" ht="15" hidden="false" customHeight="false" outlineLevel="0" collapsed="false">
      <c r="A24" s="3" t="s">
        <v>119</v>
      </c>
      <c r="B24" s="8" t="s">
        <v>120</v>
      </c>
      <c r="C24" s="8" t="s">
        <v>155</v>
      </c>
      <c r="D24" s="18" t="n">
        <v>37</v>
      </c>
      <c r="E24" s="18" t="n">
        <v>4226</v>
      </c>
      <c r="F24" s="19" t="n">
        <v>27.4</v>
      </c>
      <c r="G24" s="18" t="n">
        <v>4562</v>
      </c>
      <c r="H24" s="18" t="n">
        <v>114</v>
      </c>
      <c r="I24" s="18" t="n">
        <f aca="false">'Timeline Summary'!P24</f>
        <v>5</v>
      </c>
    </row>
    <row r="25" customFormat="false" ht="15" hidden="false" customHeight="false" outlineLevel="0" collapsed="false">
      <c r="A25" s="3" t="s">
        <v>121</v>
      </c>
      <c r="B25" s="8" t="s">
        <v>122</v>
      </c>
      <c r="C25" s="8" t="s">
        <v>156</v>
      </c>
      <c r="D25" s="18" t="n">
        <v>13</v>
      </c>
      <c r="E25" s="18" t="n">
        <v>1882</v>
      </c>
      <c r="F25" s="19" t="n">
        <v>12.2</v>
      </c>
      <c r="G25" s="18" t="n">
        <v>2032</v>
      </c>
      <c r="H25" s="18" t="n">
        <v>145</v>
      </c>
      <c r="I25" s="18" t="n">
        <f aca="false">'Timeline Summary'!P25</f>
        <v>2</v>
      </c>
    </row>
    <row r="26" customFormat="false" ht="15" hidden="false" customHeight="false" outlineLevel="0" collapsed="false">
      <c r="A26" s="3" t="s">
        <v>124</v>
      </c>
      <c r="B26" s="8" t="s">
        <v>125</v>
      </c>
      <c r="C26" s="8" t="s">
        <v>157</v>
      </c>
      <c r="D26" s="18" t="n">
        <v>9</v>
      </c>
      <c r="E26" s="18" t="n">
        <v>1554</v>
      </c>
      <c r="F26" s="19" t="n">
        <v>10.1</v>
      </c>
      <c r="G26" s="18" t="n">
        <v>1677</v>
      </c>
      <c r="H26" s="18" t="n">
        <v>173</v>
      </c>
      <c r="I26" s="18" t="n">
        <f aca="false">'Timeline Summary'!P26</f>
        <v>1</v>
      </c>
    </row>
    <row r="27" customFormat="false" ht="15" hidden="false" customHeight="false" outlineLevel="0" collapsed="false">
      <c r="A27" s="3" t="s">
        <v>126</v>
      </c>
      <c r="B27" s="8" t="s">
        <v>127</v>
      </c>
      <c r="C27" s="8" t="s">
        <v>158</v>
      </c>
      <c r="D27" s="18" t="n">
        <v>13</v>
      </c>
      <c r="E27" s="18" t="n">
        <v>1882</v>
      </c>
      <c r="F27" s="19" t="n">
        <v>12.2</v>
      </c>
      <c r="G27" s="18" t="n">
        <v>2032</v>
      </c>
      <c r="H27" s="18" t="n">
        <v>145</v>
      </c>
      <c r="I27" s="18" t="n">
        <f aca="false">'Timeline Summary'!P27</f>
        <v>2</v>
      </c>
    </row>
    <row r="28" customFormat="false" ht="15" hidden="false" customHeight="false" outlineLevel="0" collapsed="false">
      <c r="A28" s="3" t="s">
        <v>129</v>
      </c>
      <c r="B28" s="8" t="s">
        <v>130</v>
      </c>
      <c r="C28" s="8" t="s">
        <v>159</v>
      </c>
      <c r="D28" s="18" t="n">
        <v>4</v>
      </c>
      <c r="E28" s="18" t="n">
        <v>328</v>
      </c>
      <c r="F28" s="19" t="n">
        <v>2.1</v>
      </c>
      <c r="G28" s="18" t="n">
        <v>354</v>
      </c>
      <c r="H28" s="18" t="n">
        <v>82</v>
      </c>
      <c r="I28" s="18" t="n">
        <f aca="false">'Timeline Summary'!P28</f>
        <v>1</v>
      </c>
    </row>
    <row r="29" customFormat="false" ht="15" hidden="false" customHeight="false" outlineLevel="0" collapsed="false">
      <c r="A29" s="20" t="s">
        <v>160</v>
      </c>
      <c r="B29" s="21"/>
      <c r="C29" s="21"/>
      <c r="D29" s="22" t="n">
        <f aca="false">SUM(D20:D28)</f>
        <v>329</v>
      </c>
      <c r="E29" s="22" t="n">
        <f aca="false">SUM(E20:E28)</f>
        <v>60469</v>
      </c>
      <c r="F29" s="23" t="n">
        <f aca="false">SUM(F20:F28)</f>
        <v>391.7</v>
      </c>
      <c r="G29" s="22" t="n">
        <f aca="false">SUM(G20:G28)</f>
        <v>65273</v>
      </c>
      <c r="H29" s="22" t="n">
        <f aca="false">IFERROR(E29/D29,0)</f>
        <v>183.796352583587</v>
      </c>
      <c r="I29" s="24" t="n">
        <f aca="false">'Timeline Summary'!P29</f>
        <v>42</v>
      </c>
    </row>
    <row r="32" customFormat="false" ht="15" hidden="false" customHeight="false" outlineLevel="0" collapsed="false">
      <c r="A32" s="10" t="s">
        <v>162</v>
      </c>
    </row>
    <row r="33" customFormat="false" ht="55.5" hidden="false" customHeight="true" outlineLevel="0" collapsed="false">
      <c r="A33" s="11" t="s">
        <v>101</v>
      </c>
      <c r="B33" s="11" t="s">
        <v>143</v>
      </c>
      <c r="C33" s="11" t="s">
        <v>163</v>
      </c>
      <c r="D33" s="11" t="s">
        <v>164</v>
      </c>
      <c r="E33" s="11" t="s">
        <v>165</v>
      </c>
      <c r="F33" s="11" t="s">
        <v>166</v>
      </c>
      <c r="G33" s="11" t="s">
        <v>167</v>
      </c>
      <c r="H33" s="11" t="s">
        <v>168</v>
      </c>
      <c r="I33" s="11" t="s">
        <v>169</v>
      </c>
      <c r="J33" s="11" t="s">
        <v>170</v>
      </c>
      <c r="K33" s="11" t="s">
        <v>171</v>
      </c>
      <c r="L33" s="11" t="s">
        <v>172</v>
      </c>
    </row>
    <row r="34" customFormat="false" ht="15" hidden="false" customHeight="false" outlineLevel="0" collapsed="false">
      <c r="A34" s="3" t="s">
        <v>108</v>
      </c>
      <c r="B34" s="8" t="s">
        <v>109</v>
      </c>
      <c r="C34" s="18" t="n">
        <v>22</v>
      </c>
      <c r="D34" s="18" t="n">
        <v>8</v>
      </c>
      <c r="E34" s="18" t="n">
        <v>10</v>
      </c>
      <c r="F34" s="18" t="n">
        <v>8</v>
      </c>
      <c r="G34" s="18" t="n">
        <v>2</v>
      </c>
      <c r="H34" s="18" t="n">
        <v>51</v>
      </c>
      <c r="I34" s="18" t="n">
        <v>19</v>
      </c>
      <c r="J34" s="18" t="n">
        <v>23</v>
      </c>
      <c r="K34" s="18" t="n">
        <v>19</v>
      </c>
      <c r="L34" s="18" t="n">
        <v>5</v>
      </c>
    </row>
    <row r="35" customFormat="false" ht="15" hidden="false" customHeight="false" outlineLevel="0" collapsed="false">
      <c r="A35" s="3" t="s">
        <v>112</v>
      </c>
      <c r="B35" s="8" t="s">
        <v>113</v>
      </c>
      <c r="C35" s="18" t="n">
        <v>32</v>
      </c>
      <c r="D35" s="18" t="n">
        <v>0</v>
      </c>
      <c r="E35" s="18" t="n">
        <v>4</v>
      </c>
      <c r="F35" s="18" t="n">
        <v>0</v>
      </c>
      <c r="G35" s="18" t="n">
        <v>0</v>
      </c>
      <c r="H35" s="18" t="n">
        <v>75</v>
      </c>
      <c r="I35" s="18" t="n">
        <v>0</v>
      </c>
      <c r="J35" s="18" t="n">
        <v>9</v>
      </c>
      <c r="K35" s="18" t="n">
        <v>0</v>
      </c>
      <c r="L35" s="18" t="n">
        <v>0</v>
      </c>
    </row>
    <row r="36" customFormat="false" ht="15" hidden="false" customHeight="false" outlineLevel="0" collapsed="false">
      <c r="A36" s="3" t="s">
        <v>115</v>
      </c>
      <c r="B36" s="8" t="s">
        <v>116</v>
      </c>
      <c r="C36" s="18" t="n">
        <v>2</v>
      </c>
      <c r="D36" s="18" t="n">
        <v>0</v>
      </c>
      <c r="E36" s="18" t="n">
        <v>8</v>
      </c>
      <c r="F36" s="18" t="n">
        <v>2</v>
      </c>
      <c r="G36" s="18" t="n">
        <v>0</v>
      </c>
      <c r="H36" s="18" t="n">
        <v>5</v>
      </c>
      <c r="I36" s="18" t="n">
        <v>0</v>
      </c>
      <c r="J36" s="18" t="n">
        <v>19</v>
      </c>
      <c r="K36" s="18" t="n">
        <v>5</v>
      </c>
      <c r="L36" s="18" t="n">
        <v>0</v>
      </c>
    </row>
    <row r="37" customFormat="false" ht="15" hidden="false" customHeight="false" outlineLevel="0" collapsed="false">
      <c r="A37" s="3" t="s">
        <v>117</v>
      </c>
      <c r="B37" s="8" t="s">
        <v>118</v>
      </c>
      <c r="C37" s="18" t="n">
        <v>4</v>
      </c>
      <c r="D37" s="18" t="n">
        <v>6</v>
      </c>
      <c r="E37" s="18" t="n">
        <v>0</v>
      </c>
      <c r="F37" s="18" t="n">
        <v>0</v>
      </c>
      <c r="G37" s="18" t="n">
        <v>0</v>
      </c>
      <c r="H37" s="18" t="n">
        <v>9</v>
      </c>
      <c r="I37" s="18" t="n">
        <v>14</v>
      </c>
      <c r="J37" s="18" t="n">
        <v>0</v>
      </c>
      <c r="K37" s="18" t="n">
        <v>0</v>
      </c>
      <c r="L37" s="18" t="n">
        <v>0</v>
      </c>
    </row>
    <row r="38" customFormat="false" ht="15" hidden="false" customHeight="false" outlineLevel="0" collapsed="false">
      <c r="A38" s="3" t="s">
        <v>119</v>
      </c>
      <c r="B38" s="8" t="s">
        <v>120</v>
      </c>
      <c r="C38" s="18" t="n">
        <v>6</v>
      </c>
      <c r="D38" s="18" t="n">
        <v>4</v>
      </c>
      <c r="E38" s="18" t="n">
        <v>6</v>
      </c>
      <c r="F38" s="18" t="n">
        <v>0</v>
      </c>
      <c r="G38" s="18" t="n">
        <v>0</v>
      </c>
      <c r="H38" s="18" t="n">
        <v>14</v>
      </c>
      <c r="I38" s="18" t="n">
        <v>9</v>
      </c>
      <c r="J38" s="18" t="n">
        <v>14</v>
      </c>
      <c r="K38" s="18" t="n">
        <v>0</v>
      </c>
      <c r="L38" s="18" t="n">
        <v>0</v>
      </c>
    </row>
    <row r="39" customFormat="false" ht="15" hidden="false" customHeight="false" outlineLevel="0" collapsed="false">
      <c r="A39" s="3" t="s">
        <v>121</v>
      </c>
      <c r="B39" s="8" t="s">
        <v>122</v>
      </c>
      <c r="C39" s="18" t="n">
        <v>3</v>
      </c>
      <c r="D39" s="18" t="n">
        <v>1</v>
      </c>
      <c r="E39" s="18" t="n">
        <v>1</v>
      </c>
      <c r="F39" s="18" t="n">
        <v>1</v>
      </c>
      <c r="G39" s="18" t="n">
        <v>0</v>
      </c>
      <c r="H39" s="18" t="n">
        <v>7</v>
      </c>
      <c r="I39" s="18" t="n">
        <v>2</v>
      </c>
      <c r="J39" s="18" t="n">
        <v>3</v>
      </c>
      <c r="K39" s="18" t="n">
        <v>1</v>
      </c>
      <c r="L39" s="18" t="n">
        <v>0</v>
      </c>
    </row>
    <row r="40" customFormat="false" ht="15" hidden="false" customHeight="false" outlineLevel="0" collapsed="false">
      <c r="A40" s="3" t="s">
        <v>124</v>
      </c>
      <c r="B40" s="8" t="s">
        <v>125</v>
      </c>
      <c r="C40" s="18" t="n">
        <v>2</v>
      </c>
      <c r="D40" s="18" t="n">
        <v>1</v>
      </c>
      <c r="E40" s="18" t="n">
        <v>1</v>
      </c>
      <c r="F40" s="18" t="n">
        <v>0</v>
      </c>
      <c r="G40" s="18" t="n">
        <v>0</v>
      </c>
      <c r="H40" s="18" t="n">
        <v>5</v>
      </c>
      <c r="I40" s="18" t="n">
        <v>1</v>
      </c>
      <c r="J40" s="18" t="n">
        <v>2</v>
      </c>
      <c r="K40" s="18" t="n">
        <v>1</v>
      </c>
      <c r="L40" s="18" t="n">
        <v>0</v>
      </c>
    </row>
    <row r="41" customFormat="false" ht="15" hidden="false" customHeight="false" outlineLevel="0" collapsed="false">
      <c r="A41" s="3" t="s">
        <v>126</v>
      </c>
      <c r="B41" s="8" t="s">
        <v>127</v>
      </c>
      <c r="C41" s="18" t="n">
        <v>3</v>
      </c>
      <c r="D41" s="18" t="n">
        <v>1</v>
      </c>
      <c r="E41" s="18" t="n">
        <v>1</v>
      </c>
      <c r="F41" s="18" t="n">
        <v>1</v>
      </c>
      <c r="G41" s="18" t="n">
        <v>0</v>
      </c>
      <c r="H41" s="18" t="n">
        <v>7</v>
      </c>
      <c r="I41" s="18" t="n">
        <v>2</v>
      </c>
      <c r="J41" s="18" t="n">
        <v>3</v>
      </c>
      <c r="K41" s="18" t="n">
        <v>1</v>
      </c>
      <c r="L41" s="18" t="n">
        <v>0</v>
      </c>
    </row>
    <row r="42" customFormat="false" ht="15" hidden="false" customHeight="false" outlineLevel="0" collapsed="false">
      <c r="A42" s="3" t="s">
        <v>129</v>
      </c>
      <c r="B42" s="8" t="s">
        <v>130</v>
      </c>
      <c r="C42" s="18" t="n">
        <v>1</v>
      </c>
      <c r="D42" s="18" t="n">
        <v>0</v>
      </c>
      <c r="E42" s="18" t="n">
        <v>0</v>
      </c>
      <c r="F42" s="18" t="n">
        <v>0</v>
      </c>
      <c r="G42" s="18" t="n">
        <v>0</v>
      </c>
      <c r="H42" s="18" t="n">
        <v>2</v>
      </c>
      <c r="I42" s="18" t="n">
        <v>1</v>
      </c>
      <c r="J42" s="18" t="n">
        <v>1</v>
      </c>
      <c r="K42" s="18" t="n">
        <v>0</v>
      </c>
      <c r="L42" s="18" t="n">
        <v>0</v>
      </c>
    </row>
    <row r="43" customFormat="false" ht="15" hidden="false" customHeight="false" outlineLevel="0" collapsed="false">
      <c r="A43" s="20" t="s">
        <v>160</v>
      </c>
      <c r="B43" s="21"/>
      <c r="C43" s="22" t="n">
        <f aca="false">SUM(C34:C42)</f>
        <v>75</v>
      </c>
      <c r="D43" s="22" t="n">
        <f aca="false">SUM(D34:D42)</f>
        <v>21</v>
      </c>
      <c r="E43" s="22" t="n">
        <f aca="false">SUM(E34:E42)</f>
        <v>31</v>
      </c>
      <c r="F43" s="22" t="n">
        <f aca="false">SUM(F34:F42)</f>
        <v>12</v>
      </c>
      <c r="G43" s="22" t="n">
        <f aca="false">SUM(G34:G42)</f>
        <v>2</v>
      </c>
      <c r="H43" s="22" t="n">
        <f aca="false">SUM(H34:H42)</f>
        <v>175</v>
      </c>
      <c r="I43" s="22" t="n">
        <f aca="false">SUM(I34:I42)</f>
        <v>48</v>
      </c>
      <c r="J43" s="22" t="n">
        <f aca="false">SUM(J34:J42)</f>
        <v>74</v>
      </c>
      <c r="K43" s="22" t="n">
        <f aca="false">SUM(K34:K42)</f>
        <v>27</v>
      </c>
      <c r="L43" s="22" t="n">
        <f aca="false">SUM(L34:L42)</f>
        <v>5</v>
      </c>
    </row>
    <row r="46" customFormat="false" ht="15" hidden="false" customHeight="false" outlineLevel="0" collapsed="false">
      <c r="A46" s="10" t="s">
        <v>173</v>
      </c>
    </row>
    <row r="47" customFormat="false" ht="43.5" hidden="false" customHeight="true" outlineLevel="0" collapsed="false">
      <c r="A47" s="11" t="s">
        <v>174</v>
      </c>
      <c r="B47" s="11" t="s">
        <v>175</v>
      </c>
      <c r="C47" s="11" t="s">
        <v>176</v>
      </c>
      <c r="D47" s="11" t="s">
        <v>177</v>
      </c>
    </row>
    <row r="48" customFormat="false" ht="15" hidden="false" customHeight="false" outlineLevel="0" collapsed="false">
      <c r="A48" s="3" t="s">
        <v>178</v>
      </c>
      <c r="B48" s="18" t="n">
        <v>8</v>
      </c>
      <c r="C48" s="18" t="n">
        <v>8</v>
      </c>
      <c r="D48" s="8" t="s">
        <v>179</v>
      </c>
    </row>
    <row r="49" customFormat="false" ht="15" hidden="false" customHeight="false" outlineLevel="0" collapsed="false">
      <c r="A49" s="3" t="s">
        <v>180</v>
      </c>
      <c r="B49" s="18" t="n">
        <v>52</v>
      </c>
      <c r="C49" s="18" t="n">
        <v>56</v>
      </c>
      <c r="D49" s="8" t="s">
        <v>181</v>
      </c>
    </row>
    <row r="50" customFormat="false" ht="15" hidden="false" customHeight="false" outlineLevel="0" collapsed="false">
      <c r="A50" s="3" t="s">
        <v>182</v>
      </c>
      <c r="B50" s="18" t="n">
        <v>261</v>
      </c>
      <c r="C50" s="18" t="n">
        <v>281</v>
      </c>
      <c r="D50" s="8" t="s">
        <v>85</v>
      </c>
    </row>
    <row r="51" customFormat="false" ht="15" hidden="false" customHeight="false" outlineLevel="0" collapsed="false">
      <c r="A51" s="3" t="s">
        <v>183</v>
      </c>
      <c r="B51" s="18" t="n">
        <v>941</v>
      </c>
      <c r="C51" s="18" t="n">
        <v>1016</v>
      </c>
      <c r="D51" s="8" t="s">
        <v>184</v>
      </c>
    </row>
    <row r="52" customFormat="false" ht="15" hidden="false" customHeight="false" outlineLevel="0" collapsed="false">
      <c r="A52" s="3" t="s">
        <v>185</v>
      </c>
      <c r="B52" s="18" t="n">
        <v>2380</v>
      </c>
      <c r="C52" s="18" t="n">
        <v>2569</v>
      </c>
      <c r="D52" s="8" t="s">
        <v>186</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6" min="6" style="0" width="26"/>
    <col collapsed="false" customWidth="true" hidden="false" outlineLevel="0" max="9" min="7" style="0" width="14"/>
    <col collapsed="false" customWidth="true" hidden="false" outlineLevel="0" max="10" min="10" style="0" width="3"/>
    <col collapsed="false" customWidth="true" hidden="false" outlineLevel="0" max="12" min="11" style="0" width="12"/>
    <col collapsed="false" customWidth="true" hidden="false" outlineLevel="0" max="13" min="13" style="0" width="40"/>
  </cols>
  <sheetData>
    <row r="1" customFormat="false" ht="19.7" hidden="false" customHeight="false" outlineLevel="0" collapsed="false">
      <c r="A1" s="1" t="s">
        <v>187</v>
      </c>
    </row>
    <row r="2" customFormat="false" ht="15" hidden="false" customHeight="false" outlineLevel="0" collapsed="false">
      <c r="A2" s="2" t="s">
        <v>188</v>
      </c>
    </row>
    <row r="4" customFormat="false" ht="15" hidden="false" customHeight="false" outlineLevel="0" collapsed="false">
      <c r="A4" s="10" t="s">
        <v>189</v>
      </c>
      <c r="K4" s="10" t="s">
        <v>190</v>
      </c>
    </row>
    <row r="5" customFormat="false" ht="43.5" hidden="false" customHeight="true" outlineLevel="0" collapsed="false">
      <c r="A5" s="11" t="s">
        <v>101</v>
      </c>
      <c r="B5" s="11" t="s">
        <v>191</v>
      </c>
      <c r="C5" s="11" t="s">
        <v>192</v>
      </c>
      <c r="D5" s="11" t="s">
        <v>193</v>
      </c>
      <c r="E5" s="11" t="s">
        <v>194</v>
      </c>
      <c r="F5" s="11" t="s">
        <v>195</v>
      </c>
      <c r="K5" s="11" t="s">
        <v>196</v>
      </c>
      <c r="L5" s="11" t="s">
        <v>197</v>
      </c>
      <c r="M5" s="11" t="s">
        <v>198</v>
      </c>
    </row>
    <row r="6" customFormat="false" ht="15" hidden="false" customHeight="false" outlineLevel="0" collapsed="false">
      <c r="A6" s="3" t="s">
        <v>108</v>
      </c>
      <c r="B6" s="8" t="s">
        <v>109</v>
      </c>
      <c r="C6" s="25" t="s">
        <v>199</v>
      </c>
      <c r="D6" s="26" t="n">
        <v>7</v>
      </c>
      <c r="E6" s="26" t="n">
        <v>2</v>
      </c>
      <c r="F6" s="8" t="s">
        <v>200</v>
      </c>
      <c r="K6" s="27" t="n">
        <v>46388</v>
      </c>
      <c r="L6" s="28" t="n">
        <v>1</v>
      </c>
      <c r="M6" s="8" t="s">
        <v>201</v>
      </c>
    </row>
    <row r="7" customFormat="false" ht="15" hidden="false" customHeight="false" outlineLevel="0" collapsed="false">
      <c r="A7" s="3" t="s">
        <v>112</v>
      </c>
      <c r="B7" s="8" t="s">
        <v>113</v>
      </c>
      <c r="C7" s="25" t="s">
        <v>202</v>
      </c>
      <c r="D7" s="26" t="n">
        <v>1</v>
      </c>
      <c r="E7" s="26" t="n">
        <v>2</v>
      </c>
      <c r="F7" s="8" t="s">
        <v>200</v>
      </c>
      <c r="K7" s="27" t="n">
        <v>46419</v>
      </c>
      <c r="L7" s="28" t="n">
        <v>0.9</v>
      </c>
      <c r="M7" s="8" t="s">
        <v>203</v>
      </c>
    </row>
    <row r="8" customFormat="false" ht="15" hidden="false" customHeight="false" outlineLevel="0" collapsed="false">
      <c r="A8" s="3" t="s">
        <v>115</v>
      </c>
      <c r="B8" s="8" t="s">
        <v>116</v>
      </c>
      <c r="C8" s="25" t="s">
        <v>199</v>
      </c>
      <c r="D8" s="26" t="n">
        <v>7</v>
      </c>
      <c r="E8" s="26" t="n">
        <v>2</v>
      </c>
      <c r="F8" s="8" t="s">
        <v>200</v>
      </c>
      <c r="K8" s="27" t="n">
        <v>46447</v>
      </c>
      <c r="L8" s="28" t="n">
        <v>0.8</v>
      </c>
      <c r="M8" s="8" t="s">
        <v>204</v>
      </c>
    </row>
    <row r="9" customFormat="false" ht="15" hidden="false" customHeight="false" outlineLevel="0" collapsed="false">
      <c r="A9" s="3" t="s">
        <v>117</v>
      </c>
      <c r="B9" s="8" t="s">
        <v>118</v>
      </c>
      <c r="C9" s="25" t="s">
        <v>199</v>
      </c>
      <c r="D9" s="26" t="n">
        <v>7</v>
      </c>
      <c r="E9" s="26" t="n">
        <v>2</v>
      </c>
      <c r="F9" s="8" t="s">
        <v>200</v>
      </c>
      <c r="K9" s="27" t="n">
        <v>46478</v>
      </c>
      <c r="L9" s="28" t="n">
        <v>1.1</v>
      </c>
      <c r="M9" s="8" t="s">
        <v>205</v>
      </c>
    </row>
    <row r="10" customFormat="false" ht="15" hidden="false" customHeight="false" outlineLevel="0" collapsed="false">
      <c r="A10" s="3" t="s">
        <v>119</v>
      </c>
      <c r="B10" s="8" t="s">
        <v>120</v>
      </c>
      <c r="C10" s="25" t="s">
        <v>202</v>
      </c>
      <c r="D10" s="26" t="n">
        <v>1</v>
      </c>
      <c r="E10" s="26" t="n">
        <v>3</v>
      </c>
      <c r="F10" s="8" t="s">
        <v>206</v>
      </c>
      <c r="K10" s="27" t="n">
        <v>46508</v>
      </c>
      <c r="L10" s="28" t="n">
        <v>0.9</v>
      </c>
      <c r="M10" s="8" t="s">
        <v>207</v>
      </c>
    </row>
    <row r="11" customFormat="false" ht="15" hidden="false" customHeight="false" outlineLevel="0" collapsed="false">
      <c r="A11" s="3" t="s">
        <v>121</v>
      </c>
      <c r="B11" s="8" t="s">
        <v>122</v>
      </c>
      <c r="C11" s="25" t="s">
        <v>202</v>
      </c>
      <c r="D11" s="26" t="n">
        <v>1</v>
      </c>
      <c r="E11" s="26" t="n">
        <v>3</v>
      </c>
      <c r="F11" s="8" t="s">
        <v>206</v>
      </c>
      <c r="K11" s="27" t="n">
        <v>46539</v>
      </c>
      <c r="L11" s="28" t="n">
        <v>1</v>
      </c>
      <c r="M11" s="8" t="s">
        <v>201</v>
      </c>
    </row>
    <row r="12" customFormat="false" ht="15" hidden="false" customHeight="false" outlineLevel="0" collapsed="false">
      <c r="A12" s="3" t="s">
        <v>124</v>
      </c>
      <c r="B12" s="8" t="s">
        <v>125</v>
      </c>
      <c r="C12" s="25" t="s">
        <v>199</v>
      </c>
      <c r="D12" s="26" t="n">
        <v>7</v>
      </c>
      <c r="E12" s="26" t="n">
        <v>5</v>
      </c>
      <c r="F12" s="8" t="s">
        <v>208</v>
      </c>
      <c r="K12" s="27" t="n">
        <v>46569</v>
      </c>
      <c r="L12" s="28" t="n">
        <v>0.8</v>
      </c>
      <c r="M12" s="8" t="s">
        <v>209</v>
      </c>
    </row>
    <row r="13" customFormat="false" ht="15" hidden="false" customHeight="false" outlineLevel="0" collapsed="false">
      <c r="A13" s="3" t="s">
        <v>126</v>
      </c>
      <c r="B13" s="8" t="s">
        <v>127</v>
      </c>
      <c r="C13" s="25" t="s">
        <v>199</v>
      </c>
      <c r="D13" s="26" t="n">
        <v>7</v>
      </c>
      <c r="E13" s="26" t="n">
        <v>4</v>
      </c>
      <c r="F13" s="8" t="s">
        <v>210</v>
      </c>
      <c r="K13" s="27" t="n">
        <v>46600</v>
      </c>
      <c r="L13" s="28" t="n">
        <v>0.8</v>
      </c>
      <c r="M13" s="8" t="s">
        <v>211</v>
      </c>
    </row>
    <row r="14" customFormat="false" ht="15" hidden="false" customHeight="false" outlineLevel="0" collapsed="false">
      <c r="A14" s="3" t="s">
        <v>129</v>
      </c>
      <c r="B14" s="8" t="s">
        <v>130</v>
      </c>
      <c r="C14" s="25" t="s">
        <v>202</v>
      </c>
      <c r="D14" s="26" t="n">
        <v>1</v>
      </c>
      <c r="E14" s="26" t="n">
        <v>4</v>
      </c>
      <c r="F14" s="8" t="s">
        <v>210</v>
      </c>
      <c r="K14" s="27" t="n">
        <v>46631</v>
      </c>
      <c r="L14" s="28" t="n">
        <v>1.2</v>
      </c>
      <c r="M14" s="8" t="s">
        <v>212</v>
      </c>
    </row>
    <row r="15" customFormat="false" ht="15" hidden="false" customHeight="false" outlineLevel="0" collapsed="false">
      <c r="A15" s="29" t="s">
        <v>213</v>
      </c>
      <c r="K15" s="27" t="n">
        <v>46661</v>
      </c>
      <c r="L15" s="28" t="n">
        <v>1.5</v>
      </c>
      <c r="M15" s="8" t="s">
        <v>214</v>
      </c>
    </row>
    <row r="16" customFormat="false" ht="15" hidden="false" customHeight="false" outlineLevel="0" collapsed="false">
      <c r="A16" s="10" t="s">
        <v>215</v>
      </c>
      <c r="K16" s="27" t="n">
        <v>46692</v>
      </c>
      <c r="L16" s="28" t="n">
        <v>1.2</v>
      </c>
      <c r="M16" s="8" t="s">
        <v>216</v>
      </c>
    </row>
    <row r="17" customFormat="false" ht="30" hidden="false" customHeight="true" outlineLevel="0" collapsed="false">
      <c r="A17" s="3" t="s">
        <v>217</v>
      </c>
      <c r="B17" s="6" t="s">
        <v>218</v>
      </c>
      <c r="C17" s="6"/>
      <c r="D17" s="6"/>
      <c r="E17" s="6"/>
      <c r="F17" s="6"/>
      <c r="K17" s="27" t="n">
        <v>46722</v>
      </c>
      <c r="L17" s="28" t="n">
        <v>0.8</v>
      </c>
      <c r="M17" s="8" t="s">
        <v>219</v>
      </c>
    </row>
    <row r="18" customFormat="false" ht="30" hidden="false" customHeight="true" outlineLevel="0" collapsed="false">
      <c r="A18" s="3" t="s">
        <v>220</v>
      </c>
      <c r="B18" s="6" t="s">
        <v>221</v>
      </c>
      <c r="C18" s="6"/>
      <c r="D18" s="6"/>
      <c r="E18" s="6"/>
      <c r="F18" s="6"/>
      <c r="K18" s="20" t="s">
        <v>222</v>
      </c>
      <c r="L18" s="30" t="n">
        <f aca="false">AVERAGE(L6:L17)</f>
        <v>1</v>
      </c>
      <c r="M18" s="21"/>
    </row>
    <row r="19" customFormat="false" ht="30" hidden="false" customHeight="true" outlineLevel="0" collapsed="false">
      <c r="A19" s="3" t="s">
        <v>223</v>
      </c>
      <c r="B19" s="6" t="s">
        <v>224</v>
      </c>
      <c r="C19" s="6"/>
      <c r="D19" s="6"/>
      <c r="E19" s="6"/>
      <c r="F19" s="6"/>
    </row>
    <row r="20" customFormat="false" ht="30" hidden="false" customHeight="true" outlineLevel="0" collapsed="false">
      <c r="A20" s="3" t="s">
        <v>225</v>
      </c>
      <c r="B20" s="6" t="s">
        <v>226</v>
      </c>
      <c r="C20" s="6"/>
      <c r="D20" s="6"/>
      <c r="E20" s="6"/>
      <c r="F20" s="6"/>
    </row>
    <row r="21" customFormat="false" ht="30" hidden="false" customHeight="true" outlineLevel="0" collapsed="false">
      <c r="A21" s="3" t="s">
        <v>227</v>
      </c>
      <c r="B21" s="6" t="s">
        <v>228</v>
      </c>
      <c r="C21" s="6"/>
      <c r="D21" s="6"/>
      <c r="E21" s="6"/>
      <c r="F21" s="6"/>
    </row>
    <row r="22" customFormat="false" ht="30" hidden="false" customHeight="true" outlineLevel="0" collapsed="false">
      <c r="A22" s="3" t="s">
        <v>229</v>
      </c>
      <c r="B22" s="6" t="s">
        <v>230</v>
      </c>
      <c r="C22" s="6"/>
      <c r="D22" s="6"/>
      <c r="E22" s="6"/>
      <c r="F22" s="6"/>
    </row>
    <row r="25" customFormat="false" ht="15" hidden="false" customHeight="false" outlineLevel="0" collapsed="false">
      <c r="A25" s="10" t="s">
        <v>231</v>
      </c>
    </row>
    <row r="26" customFormat="false" ht="43.5" hidden="false" customHeight="true" outlineLevel="0" collapsed="false">
      <c r="A26" s="11" t="s">
        <v>62</v>
      </c>
      <c r="B26" s="11" t="s">
        <v>232</v>
      </c>
    </row>
    <row r="27" customFormat="false" ht="15" hidden="false" customHeight="false" outlineLevel="0" collapsed="false">
      <c r="A27" s="31" t="n">
        <v>46388</v>
      </c>
      <c r="B27" s="8" t="s">
        <v>233</v>
      </c>
    </row>
    <row r="28" customFormat="false" ht="15" hidden="false" customHeight="false" outlineLevel="0" collapsed="false">
      <c r="A28" s="31" t="n">
        <v>46475</v>
      </c>
      <c r="B28" s="8" t="s">
        <v>234</v>
      </c>
    </row>
    <row r="29" customFormat="false" ht="15" hidden="false" customHeight="false" outlineLevel="0" collapsed="false">
      <c r="A29" s="31" t="n">
        <v>46504</v>
      </c>
      <c r="B29" s="8" t="s">
        <v>235</v>
      </c>
    </row>
    <row r="30" customFormat="false" ht="15" hidden="false" customHeight="false" outlineLevel="0" collapsed="false">
      <c r="A30" s="31" t="n">
        <v>46513</v>
      </c>
      <c r="B30" s="8" t="s">
        <v>236</v>
      </c>
    </row>
    <row r="31" customFormat="false" ht="15" hidden="false" customHeight="false" outlineLevel="0" collapsed="false">
      <c r="A31" s="31" t="n">
        <v>46524</v>
      </c>
      <c r="B31" s="8" t="s">
        <v>237</v>
      </c>
    </row>
    <row r="39" customFormat="false" ht="15" hidden="false" customHeight="false" outlineLevel="0" collapsed="false">
      <c r="A39" s="10" t="s">
        <v>238</v>
      </c>
    </row>
    <row r="40" customFormat="false" ht="43.5" hidden="false" customHeight="true" outlineLevel="0" collapsed="false">
      <c r="A40" s="11" t="s">
        <v>239</v>
      </c>
      <c r="B40" s="11" t="s">
        <v>240</v>
      </c>
      <c r="C40" s="11" t="s">
        <v>241</v>
      </c>
      <c r="D40" s="11" t="s">
        <v>242</v>
      </c>
      <c r="E40" s="11" t="s">
        <v>243</v>
      </c>
      <c r="F40" s="11" t="s">
        <v>244</v>
      </c>
      <c r="G40" s="11" t="s">
        <v>245</v>
      </c>
      <c r="H40" s="11" t="s">
        <v>246</v>
      </c>
      <c r="I40" s="11" t="s">
        <v>247</v>
      </c>
    </row>
    <row r="41" customFormat="false" ht="15" hidden="false" customHeight="false" outlineLevel="0" collapsed="false">
      <c r="A41" s="32" t="n">
        <v>46440</v>
      </c>
      <c r="B41" s="32" t="n">
        <v>46388</v>
      </c>
      <c r="C41" s="32" t="n">
        <v>46388</v>
      </c>
      <c r="D41" s="32" t="n">
        <v>46427</v>
      </c>
      <c r="E41" s="32" t="n">
        <v>46388</v>
      </c>
      <c r="F41" s="32" t="n">
        <v>46388</v>
      </c>
      <c r="G41" s="32" t="n">
        <v>46388</v>
      </c>
      <c r="H41" s="32" t="n">
        <v>46394</v>
      </c>
      <c r="I41" s="32" t="n">
        <v>46388</v>
      </c>
    </row>
    <row r="42" customFormat="false" ht="15" hidden="false" customHeight="false" outlineLevel="0" collapsed="false">
      <c r="A42" s="32" t="n">
        <v>46455</v>
      </c>
      <c r="B42" s="32" t="n">
        <v>46455</v>
      </c>
      <c r="C42" s="32" t="n">
        <v>46443</v>
      </c>
      <c r="D42" s="32" t="n">
        <v>46455</v>
      </c>
      <c r="E42" s="32" t="n">
        <v>46455</v>
      </c>
      <c r="F42" s="32" t="n">
        <v>46398</v>
      </c>
      <c r="G42" s="32" t="n">
        <v>46399</v>
      </c>
      <c r="H42" s="32" t="n">
        <v>46412</v>
      </c>
      <c r="I42" s="32" t="n">
        <v>46401</v>
      </c>
    </row>
    <row r="43" customFormat="false" ht="15" hidden="false" customHeight="false" outlineLevel="0" collapsed="false">
      <c r="A43" s="32" t="n">
        <v>46456</v>
      </c>
      <c r="B43" s="32" t="n">
        <v>46456</v>
      </c>
      <c r="C43" s="32" t="n">
        <v>46444</v>
      </c>
      <c r="D43" s="32" t="n">
        <v>46456</v>
      </c>
      <c r="E43" s="32" t="n">
        <v>46456</v>
      </c>
      <c r="F43" s="32" t="n">
        <v>46401</v>
      </c>
      <c r="G43" s="32" t="n">
        <v>46455</v>
      </c>
      <c r="H43" s="32" t="n">
        <v>46455</v>
      </c>
      <c r="I43" s="32" t="n">
        <v>46455</v>
      </c>
    </row>
    <row r="44" customFormat="false" ht="15" hidden="false" customHeight="false" outlineLevel="0" collapsed="false">
      <c r="A44" s="32" t="n">
        <v>46457</v>
      </c>
      <c r="B44" s="32" t="n">
        <v>46457</v>
      </c>
      <c r="C44" s="32" t="n">
        <v>46455</v>
      </c>
      <c r="D44" s="32" t="n">
        <v>46457</v>
      </c>
      <c r="E44" s="32" t="n">
        <v>46457</v>
      </c>
      <c r="F44" s="32" t="n">
        <v>46455</v>
      </c>
      <c r="G44" s="32" t="n">
        <v>46456</v>
      </c>
      <c r="H44" s="32" t="n">
        <v>46456</v>
      </c>
      <c r="I44" s="32" t="n">
        <v>46456</v>
      </c>
    </row>
    <row r="45" customFormat="false" ht="15" hidden="false" customHeight="false" outlineLevel="0" collapsed="false">
      <c r="A45" s="32" t="n">
        <v>46458</v>
      </c>
      <c r="B45" s="32" t="n">
        <v>46522</v>
      </c>
      <c r="C45" s="32" t="n">
        <v>46456</v>
      </c>
      <c r="D45" s="32" t="n">
        <v>46522</v>
      </c>
      <c r="E45" s="32" t="n">
        <v>46500</v>
      </c>
      <c r="F45" s="32" t="n">
        <v>46456</v>
      </c>
      <c r="G45" s="32" t="n">
        <v>46508</v>
      </c>
      <c r="H45" s="32" t="n">
        <v>46457</v>
      </c>
      <c r="I45" s="32" t="n">
        <v>46466</v>
      </c>
    </row>
    <row r="46" customFormat="false" ht="15" hidden="false" customHeight="false" outlineLevel="0" collapsed="false">
      <c r="A46" s="32" t="n">
        <v>46522</v>
      </c>
      <c r="B46" s="32" t="n">
        <v>46523</v>
      </c>
      <c r="C46" s="32" t="n">
        <v>46457</v>
      </c>
      <c r="D46" s="32" t="n">
        <v>46523</v>
      </c>
      <c r="E46" s="32" t="n">
        <v>46508</v>
      </c>
      <c r="F46" s="32" t="n">
        <v>46508</v>
      </c>
      <c r="G46" s="32" t="n">
        <v>46523</v>
      </c>
      <c r="H46" s="32" t="n">
        <v>46502</v>
      </c>
      <c r="I46" s="32" t="n">
        <v>46486</v>
      </c>
    </row>
    <row r="47" customFormat="false" ht="15" hidden="false" customHeight="false" outlineLevel="0" collapsed="false">
      <c r="A47" s="32" t="n">
        <v>46523</v>
      </c>
      <c r="B47" s="32" t="n">
        <v>46524</v>
      </c>
      <c r="C47" s="32" t="n">
        <v>46522</v>
      </c>
      <c r="D47" s="32" t="n">
        <v>46524</v>
      </c>
      <c r="E47" s="32" t="n">
        <v>46523</v>
      </c>
      <c r="F47" s="32" t="n">
        <v>46523</v>
      </c>
      <c r="G47" s="32" t="n">
        <v>46524</v>
      </c>
      <c r="H47" s="32" t="n">
        <v>46508</v>
      </c>
      <c r="I47" s="32" t="n">
        <v>46508</v>
      </c>
    </row>
    <row r="48" customFormat="false" ht="15" hidden="false" customHeight="false" outlineLevel="0" collapsed="false">
      <c r="A48" s="32" t="n">
        <v>46524</v>
      </c>
      <c r="B48" s="32" t="n">
        <v>46525</v>
      </c>
      <c r="C48" s="32" t="n">
        <v>46523</v>
      </c>
      <c r="D48" s="32" t="n">
        <v>46525</v>
      </c>
      <c r="E48" s="32" t="n">
        <v>46524</v>
      </c>
      <c r="F48" s="32" t="n">
        <v>46524</v>
      </c>
      <c r="G48" s="32" t="n">
        <v>46544</v>
      </c>
      <c r="H48" s="32" t="n">
        <v>46510</v>
      </c>
      <c r="I48" s="32" t="n">
        <v>46523</v>
      </c>
    </row>
    <row r="49" customFormat="false" ht="15" hidden="false" customHeight="false" outlineLevel="0" collapsed="false">
      <c r="A49" s="32" t="n">
        <v>46525</v>
      </c>
      <c r="B49" s="32" t="n">
        <v>46544</v>
      </c>
      <c r="C49" s="32" t="n">
        <v>46524</v>
      </c>
      <c r="D49" s="32" t="n">
        <v>46739</v>
      </c>
      <c r="E49" s="32" t="n">
        <v>46525</v>
      </c>
      <c r="F49" s="32" t="n">
        <v>46544</v>
      </c>
      <c r="G49" s="32" t="n">
        <v>46573</v>
      </c>
      <c r="H49" s="32" t="n">
        <v>46522</v>
      </c>
      <c r="I49" s="32" t="n">
        <v>46524</v>
      </c>
    </row>
    <row r="50" customFormat="false" ht="15" hidden="false" customHeight="false" outlineLevel="0" collapsed="false">
      <c r="A50" s="32" t="n">
        <v>46653</v>
      </c>
      <c r="B50" s="32" t="n">
        <v>46613</v>
      </c>
      <c r="C50" s="32" t="n">
        <v>46525</v>
      </c>
      <c r="D50" s="8"/>
      <c r="E50" s="32" t="n">
        <v>46526</v>
      </c>
      <c r="F50" s="32" t="n">
        <v>46598</v>
      </c>
      <c r="G50" s="32" t="n">
        <v>46613</v>
      </c>
      <c r="H50" s="32" t="n">
        <v>46523</v>
      </c>
      <c r="I50" s="32" t="n">
        <v>46544</v>
      </c>
    </row>
    <row r="51" customFormat="false" ht="15" hidden="false" customHeight="false" outlineLevel="0" collapsed="false">
      <c r="A51" s="8"/>
      <c r="B51" s="32" t="n">
        <v>46723</v>
      </c>
      <c r="C51" s="32" t="n">
        <v>46544</v>
      </c>
      <c r="D51" s="8"/>
      <c r="E51" s="32" t="n">
        <v>46583</v>
      </c>
      <c r="F51" s="32" t="n">
        <v>46613</v>
      </c>
      <c r="G51" s="32" t="n">
        <v>46692</v>
      </c>
      <c r="H51" s="32" t="n">
        <v>46524</v>
      </c>
      <c r="I51" s="32" t="n">
        <v>46593</v>
      </c>
    </row>
    <row r="52" customFormat="false" ht="15" hidden="false" customHeight="false" outlineLevel="0" collapsed="false">
      <c r="A52" s="8"/>
      <c r="B52" s="32" t="n">
        <v>46724</v>
      </c>
      <c r="C52" s="32" t="n">
        <v>46613</v>
      </c>
      <c r="D52" s="8"/>
      <c r="E52" s="32" t="n">
        <v>46629</v>
      </c>
      <c r="F52" s="32" t="n">
        <v>46619</v>
      </c>
      <c r="G52" s="8"/>
      <c r="H52" s="32" t="n">
        <v>46525</v>
      </c>
      <c r="I52" s="32" t="n">
        <v>46612</v>
      </c>
    </row>
    <row r="53" customFormat="false" ht="15" hidden="false" customHeight="false" outlineLevel="0" collapsed="false">
      <c r="A53" s="8"/>
      <c r="B53" s="8"/>
      <c r="C53" s="8"/>
      <c r="D53" s="8"/>
      <c r="E53" s="32" t="n">
        <v>46689</v>
      </c>
      <c r="F53" s="32" t="n">
        <v>46620</v>
      </c>
      <c r="G53" s="8"/>
      <c r="H53" s="32" t="n">
        <v>46544</v>
      </c>
      <c r="I53" s="32" t="n">
        <v>46613</v>
      </c>
    </row>
    <row r="54" customFormat="false" ht="15" hidden="false" customHeight="false" outlineLevel="0" collapsed="false">
      <c r="A54" s="8"/>
      <c r="B54" s="8"/>
      <c r="C54" s="8"/>
      <c r="D54" s="8"/>
      <c r="E54" s="8"/>
      <c r="F54" s="32" t="n">
        <v>46697</v>
      </c>
      <c r="G54" s="8"/>
      <c r="H54" s="32" t="n">
        <v>46568</v>
      </c>
      <c r="I54" s="32" t="n">
        <v>46675</v>
      </c>
    </row>
    <row r="55" customFormat="false" ht="15" hidden="false" customHeight="false" outlineLevel="0" collapsed="false">
      <c r="A55" s="8"/>
      <c r="B55" s="8"/>
      <c r="C55" s="8"/>
      <c r="D55" s="8"/>
      <c r="E55" s="8"/>
      <c r="F55" s="32" t="n">
        <v>46709</v>
      </c>
      <c r="G55" s="8"/>
      <c r="H55" s="32" t="n">
        <v>46591</v>
      </c>
      <c r="I55" s="32" t="n">
        <v>46738</v>
      </c>
    </row>
    <row r="56" customFormat="false" ht="15" hidden="false" customHeight="false" outlineLevel="0" collapsed="false">
      <c r="A56" s="8"/>
      <c r="B56" s="8"/>
      <c r="C56" s="8"/>
      <c r="D56" s="8"/>
      <c r="E56" s="8"/>
      <c r="F56" s="8"/>
      <c r="G56" s="8"/>
      <c r="H56" s="32" t="n">
        <v>46613</v>
      </c>
      <c r="I56" s="8"/>
    </row>
    <row r="57" customFormat="false" ht="15" hidden="false" customHeight="false" outlineLevel="0" collapsed="false">
      <c r="A57" s="8"/>
      <c r="B57" s="8"/>
      <c r="C57" s="8"/>
      <c r="D57" s="8"/>
      <c r="E57" s="8"/>
      <c r="F57" s="8"/>
      <c r="G57" s="8"/>
      <c r="H57" s="32" t="n">
        <v>46666</v>
      </c>
      <c r="I57" s="8"/>
    </row>
    <row r="58" customFormat="false" ht="15" hidden="false" customHeight="false" outlineLevel="0" collapsed="false">
      <c r="A58" s="2" t="s">
        <v>248</v>
      </c>
    </row>
  </sheetData>
  <sheetProtection sheet="true" formatColumns="false" formatRows="false" sort="false" autoFilter="false"/>
  <mergeCells count="6">
    <mergeCell ref="B17:F17"/>
    <mergeCell ref="B18:F18"/>
    <mergeCell ref="B19:F19"/>
    <mergeCell ref="B20:F20"/>
    <mergeCell ref="B21:F21"/>
    <mergeCell ref="B22:F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3" min="3" style="0" width="20"/>
    <col collapsed="false" customWidth="true" hidden="false" outlineLevel="0" max="4" min="4" style="0" width="16"/>
    <col collapsed="false" customWidth="true" hidden="false" outlineLevel="0" max="5" min="5" style="0" width="17"/>
    <col collapsed="false" customWidth="true" hidden="false" outlineLevel="0" max="6" min="6" style="0" width="9"/>
    <col collapsed="false" customWidth="true" hidden="false" outlineLevel="0" max="7" min="7" style="0" width="8"/>
    <col collapsed="false" customWidth="true" hidden="false" outlineLevel="0" max="8" min="8" style="0" width="10"/>
    <col collapsed="false" customWidth="true" hidden="false" outlineLevel="0" max="9" min="9" style="0" width="8"/>
    <col collapsed="false" customWidth="true" hidden="false" outlineLevel="0" max="10" min="10" style="0" width="15"/>
    <col collapsed="false" customWidth="true" hidden="false" outlineLevel="0" max="11" min="11" style="0" width="11"/>
    <col collapsed="false" customWidth="true" hidden="false" outlineLevel="0" max="12" min="12" style="0" width="15"/>
    <col collapsed="false" customWidth="true" hidden="false" outlineLevel="0" max="13" min="13" style="0" width="10"/>
    <col collapsed="false" customWidth="true" hidden="false" outlineLevel="0" max="14" min="14" style="0" width="15"/>
    <col collapsed="false" customWidth="true" hidden="false" outlineLevel="0" max="15" min="15" style="0" width="9"/>
    <col collapsed="false" customWidth="true" hidden="false" outlineLevel="0" max="17" min="16" style="0" width="15"/>
    <col collapsed="false" customWidth="true" hidden="false" outlineLevel="0" max="18" min="18" style="0" width="8"/>
    <col collapsed="false" customWidth="true" hidden="false" outlineLevel="0" max="19" min="19" style="0" width="7"/>
    <col collapsed="false" customWidth="true" hidden="false" outlineLevel="0" max="20" min="20" style="0" width="26"/>
    <col collapsed="false" customWidth="true" hidden="false" outlineLevel="0" max="21" min="21" style="0" width="15"/>
    <col collapsed="false" customWidth="true" hidden="false" outlineLevel="0" max="22" min="22" style="0" width="13"/>
    <col collapsed="false" customWidth="true" hidden="false" outlineLevel="0" max="23" min="23" style="0" width="14"/>
    <col collapsed="false" customWidth="true" hidden="false" outlineLevel="0" max="24" min="24" style="0" width="15"/>
    <col collapsed="false" customWidth="true" hidden="false" outlineLevel="0" max="25" min="25" style="0" width="13"/>
  </cols>
  <sheetData>
    <row r="1" customFormat="false" ht="19.7" hidden="false" customHeight="false" outlineLevel="0" collapsed="false">
      <c r="A1" s="1" t="s">
        <v>249</v>
      </c>
    </row>
    <row r="2" customFormat="false" ht="15" hidden="false" customHeight="false" outlineLevel="0" collapsed="false">
      <c r="A2" s="2" t="s">
        <v>250</v>
      </c>
    </row>
    <row r="4" customFormat="false" ht="57.75" hidden="false" customHeight="true" outlineLevel="0" collapsed="false">
      <c r="A4" s="11" t="s">
        <v>251</v>
      </c>
      <c r="B4" s="11" t="s">
        <v>101</v>
      </c>
      <c r="C4" s="11" t="s">
        <v>191</v>
      </c>
      <c r="D4" s="11" t="s">
        <v>252</v>
      </c>
      <c r="E4" s="11" t="s">
        <v>174</v>
      </c>
      <c r="F4" s="11" t="s">
        <v>146</v>
      </c>
      <c r="G4" s="11" t="s">
        <v>253</v>
      </c>
      <c r="H4" s="11" t="s">
        <v>148</v>
      </c>
      <c r="I4" s="11" t="s">
        <v>254</v>
      </c>
      <c r="J4" s="11" t="s">
        <v>255</v>
      </c>
      <c r="K4" s="11" t="s">
        <v>256</v>
      </c>
      <c r="L4" s="11" t="s">
        <v>220</v>
      </c>
      <c r="M4" s="11" t="s">
        <v>257</v>
      </c>
      <c r="N4" s="11" t="s">
        <v>223</v>
      </c>
      <c r="O4" s="11" t="s">
        <v>258</v>
      </c>
      <c r="P4" s="12" t="s">
        <v>259</v>
      </c>
      <c r="Q4" s="11" t="s">
        <v>225</v>
      </c>
      <c r="R4" s="11" t="s">
        <v>260</v>
      </c>
      <c r="S4" s="11" t="s">
        <v>261</v>
      </c>
      <c r="T4" s="12" t="s">
        <v>262</v>
      </c>
      <c r="U4" s="11" t="s">
        <v>263</v>
      </c>
      <c r="V4" s="12" t="s">
        <v>264</v>
      </c>
      <c r="W4" s="12" t="s">
        <v>265</v>
      </c>
      <c r="X4" s="12" t="s">
        <v>266</v>
      </c>
      <c r="Y4" s="11" t="s">
        <v>267</v>
      </c>
    </row>
    <row r="5" customFormat="false" ht="15" hidden="false" customHeight="false" outlineLevel="0" collapsed="false">
      <c r="A5" s="3" t="s">
        <v>268</v>
      </c>
      <c r="B5" s="25" t="s">
        <v>117</v>
      </c>
      <c r="C5" s="8" t="s">
        <v>118</v>
      </c>
      <c r="D5" s="8" t="s">
        <v>154</v>
      </c>
      <c r="E5" s="8" t="s">
        <v>178</v>
      </c>
      <c r="F5" s="19" t="n">
        <v>2.6</v>
      </c>
      <c r="G5" s="33" t="n">
        <f aca="false">F5*0.006477</f>
        <v>0.0168402</v>
      </c>
      <c r="H5" s="19" t="n">
        <f aca="false">F5*1.079436</f>
        <v>2.8065336</v>
      </c>
      <c r="I5" s="18" t="n">
        <f aca="false">MAX(1,ROUNDUP(G5/0.096,0))</f>
        <v>1</v>
      </c>
      <c r="J5" s="31" t="n">
        <v>46391</v>
      </c>
      <c r="K5" s="34" t="n">
        <f aca="false">J5-WEEKDAY(J5,2)+1</f>
        <v>46391</v>
      </c>
      <c r="L5" s="31" t="n">
        <f aca="false">J5</f>
        <v>46391</v>
      </c>
      <c r="M5" s="26" t="n">
        <f aca="false">INDEX(LR_Target,MATCH(B5,LR_Lane,0))</f>
        <v>2</v>
      </c>
      <c r="N5" s="31" t="n">
        <f aca="false">WORKDAY.INTL(L5,M5,INDEX(LR_Code,MATCH(B5,LR_Lane,0)),INDEX(DH_Table,0,MATCH(B5&amp;"*",DH_Head,0)))</f>
        <v>46393</v>
      </c>
      <c r="O5" s="35" t="n">
        <f aca="false">IF(W5&lt;&gt;"",W5,IF(U5="Helmond",IF(COUNTIFS(RC_Lane,B5,RC_Band,E5,RC_Transit,"&lt;&gt;")=0,"",SUMIFS(RC_Transit,RC_Lane,B5,RC_Band,E5)),IF(U5="Other","",IF(INDEX(RS_Transit,MATCH(B5,RS_Lane,0))="","",INDEX(RS_Transit,MATCH(B5,RS_Lane,0))))))</f>
        <v>1</v>
      </c>
      <c r="P5" s="36"/>
      <c r="Q5" s="31" t="n">
        <f aca="false">IF(P5&lt;&gt;"",P5,IF(O5="","",WORKDAY.INTL(L5,ROUNDUP(O5,0),INDEX(LR_Code,MATCH(B5,LR_Lane,0)),INDEX(DH_Table,0,MATCH(B5&amp;"*",DH_Head,0)))))</f>
        <v>46392</v>
      </c>
      <c r="R5" s="37" t="str">
        <f aca="false">IF(Q5="","",IF(Q5&lt;=N5,"Yes","No"))</f>
        <v>Yes</v>
      </c>
      <c r="S5" s="26" t="n">
        <f aca="false">IF(Q5="","",IF(Q5&lt;=N5,0,NETWORKDAYS.INTL(N5,Q5,INDEX(LR_Code,MATCH(B5,LR_Lane,0)),INDEX(DH_Table,0,MATCH(B5&amp;"*",DH_Head,0)))-1))</f>
        <v>0</v>
      </c>
      <c r="T5" s="4"/>
      <c r="U5" s="25" t="str">
        <f aca="false">IF(V5&lt;&gt;"",V5,IF(IFERROR(INDEX(RS_Flag,MATCH(B5,RS_Lane,0)),"")="Yes",IF(IFERROR(INDEX(RS_Loc,MATCH(B5,RS_Lane,0)),"")="","Regional stock",IFERROR(INDEX(RS_Loc,MATCH(B5,RS_Lane,0)),"")),"Helmond"))</f>
        <v>Helmond</v>
      </c>
      <c r="V5" s="17"/>
      <c r="W5" s="38"/>
      <c r="X5" s="39"/>
      <c r="Y5" s="40" t="n">
        <f aca="false">IF(X5&lt;&gt;"",X5,IF(U5="Helmond",IF(COUNTIFS(RC_Lane,B5,RC_Band,E5,RC_CostPS,"&gt;0")=0,"",SUMIFS(RC_CostPS,RC_Lane,B5,RC_Band,E5)),IF(U5="Other","",IF(INDEX(RS_Rate,MATCH(B5,RS_Lane,0))="","",INDEX(RS_Rate,MATCH(B5,RS_Lane,0))))))</f>
        <v>76.3</v>
      </c>
    </row>
    <row r="6" customFormat="false" ht="15" hidden="false" customHeight="false" outlineLevel="0" collapsed="false">
      <c r="A6" s="3" t="s">
        <v>269</v>
      </c>
      <c r="B6" s="25" t="s">
        <v>108</v>
      </c>
      <c r="C6" s="8" t="s">
        <v>109</v>
      </c>
      <c r="D6" s="8" t="s">
        <v>270</v>
      </c>
      <c r="E6" s="8" t="s">
        <v>182</v>
      </c>
      <c r="F6" s="19" t="n">
        <v>279.6</v>
      </c>
      <c r="G6" s="33" t="n">
        <f aca="false">F6*0.006477</f>
        <v>1.8109692</v>
      </c>
      <c r="H6" s="19" t="n">
        <f aca="false">F6*1.079436</f>
        <v>301.8103056</v>
      </c>
      <c r="I6" s="18" t="n">
        <f aca="false">MAX(1,ROUNDUP(G6/0.096,0))</f>
        <v>19</v>
      </c>
      <c r="J6" s="31" t="n">
        <v>46392</v>
      </c>
      <c r="K6" s="34" t="n">
        <f aca="false">J6-WEEKDAY(J6,2)+1</f>
        <v>46391</v>
      </c>
      <c r="L6" s="31" t="n">
        <f aca="false">J6</f>
        <v>46392</v>
      </c>
      <c r="M6" s="26" t="n">
        <f aca="false">INDEX(LR_Target,MATCH(B6,LR_Lane,0))</f>
        <v>2</v>
      </c>
      <c r="N6" s="31" t="n">
        <f aca="false">WORKDAY.INTL(L6,M6,INDEX(LR_Code,MATCH(B6,LR_Lane,0)),INDEX(DH_Table,0,MATCH(B6&amp;"*",DH_Head,0)))</f>
        <v>46394</v>
      </c>
      <c r="O6" s="35" t="n">
        <f aca="false">IF(W6&lt;&gt;"",W6,IF(U6="Helmond",IF(COUNTIFS(RC_Lane,B6,RC_Band,E6,RC_Transit,"&lt;&gt;")=0,"",SUMIFS(RC_Transit,RC_Lane,B6,RC_Band,E6)),IF(U6="Other","",IF(INDEX(RS_Transit,MATCH(B6,RS_Lane,0))="","",INDEX(RS_Transit,MATCH(B6,RS_Lane,0))))))</f>
        <v>3</v>
      </c>
      <c r="P6" s="36"/>
      <c r="Q6" s="31" t="n">
        <f aca="false">IF(P6&lt;&gt;"",P6,IF(O6="","",WORKDAY.INTL(L6,ROUNDUP(O6,0),INDEX(LR_Code,MATCH(B6,LR_Lane,0)),INDEX(DH_Table,0,MATCH(B6&amp;"*",DH_Head,0)))))</f>
        <v>46397</v>
      </c>
      <c r="R6" s="37" t="str">
        <f aca="false">IF(Q6="","",IF(Q6&lt;=N6,"Yes","No"))</f>
        <v>No</v>
      </c>
      <c r="S6" s="26" t="n">
        <f aca="false">IF(Q6="","",IF(Q6&lt;=N6,0,NETWORKDAYS.INTL(N6,Q6,INDEX(LR_Code,MATCH(B6,LR_Lane,0)),INDEX(DH_Table,0,MATCH(B6&amp;"*",DH_Head,0)))-1))</f>
        <v>1</v>
      </c>
      <c r="T6" s="4"/>
      <c r="U6" s="25" t="str">
        <f aca="false">IF(V6&lt;&gt;"",V6,IF(IFERROR(INDEX(RS_Flag,MATCH(B6,RS_Lane,0)),"")="Yes",IF(IFERROR(INDEX(RS_Loc,MATCH(B6,RS_Lane,0)),"")="","Regional stock",IFERROR(INDEX(RS_Loc,MATCH(B6,RS_Lane,0)),"")),"Helmond"))</f>
        <v>Helmond</v>
      </c>
      <c r="V6" s="17"/>
      <c r="W6" s="38"/>
      <c r="X6" s="39"/>
      <c r="Y6" s="40" t="n">
        <f aca="false">IF(X6&lt;&gt;"",X6,IF(U6="Helmond",IF(COUNTIFS(RC_Lane,B6,RC_Band,E6,RC_CostPS,"&gt;0")=0,"",SUMIFS(RC_CostPS,RC_Lane,B6,RC_Band,E6)),IF(U6="Other","",IF(INDEX(RS_Rate,MATCH(B6,RS_Lane,0))="","",INDEX(RS_Rate,MATCH(B6,RS_Lane,0))))))</f>
        <v>1062.898</v>
      </c>
    </row>
    <row r="7" customFormat="false" ht="15" hidden="false" customHeight="false" outlineLevel="0" collapsed="false">
      <c r="A7" s="3" t="s">
        <v>271</v>
      </c>
      <c r="B7" s="25" t="s">
        <v>108</v>
      </c>
      <c r="C7" s="8" t="s">
        <v>109</v>
      </c>
      <c r="D7" s="8" t="s">
        <v>272</v>
      </c>
      <c r="E7" s="8" t="s">
        <v>178</v>
      </c>
      <c r="F7" s="19" t="n">
        <v>11.1</v>
      </c>
      <c r="G7" s="33" t="n">
        <f aca="false">F7*0.006477</f>
        <v>0.0718947</v>
      </c>
      <c r="H7" s="19" t="n">
        <f aca="false">F7*1.079436</f>
        <v>11.9817396</v>
      </c>
      <c r="I7" s="18" t="n">
        <f aca="false">MAX(1,ROUNDUP(G7/0.096,0))</f>
        <v>1</v>
      </c>
      <c r="J7" s="31" t="n">
        <v>46395</v>
      </c>
      <c r="K7" s="34" t="n">
        <f aca="false">J7-WEEKDAY(J7,2)+1</f>
        <v>46391</v>
      </c>
      <c r="L7" s="31" t="n">
        <f aca="false">J7</f>
        <v>46395</v>
      </c>
      <c r="M7" s="26" t="n">
        <f aca="false">INDEX(LR_Target,MATCH(B7,LR_Lane,0))</f>
        <v>2</v>
      </c>
      <c r="N7" s="31" t="n">
        <f aca="false">WORKDAY.INTL(L7,M7,INDEX(LR_Code,MATCH(B7,LR_Lane,0)),INDEX(DH_Table,0,MATCH(B7&amp;"*",DH_Head,0)))</f>
        <v>46398</v>
      </c>
      <c r="O7" s="35" t="n">
        <f aca="false">IF(W7&lt;&gt;"",W7,IF(U7="Helmond",IF(COUNTIFS(RC_Lane,B7,RC_Band,E7,RC_Transit,"&lt;&gt;")=0,"",SUMIFS(RC_Transit,RC_Lane,B7,RC_Band,E7)),IF(U7="Other","",IF(INDEX(RS_Transit,MATCH(B7,RS_Lane,0))="","",INDEX(RS_Transit,MATCH(B7,RS_Lane,0))))))</f>
        <v>1</v>
      </c>
      <c r="P7" s="36"/>
      <c r="Q7" s="31" t="n">
        <f aca="false">IF(P7&lt;&gt;"",P7,IF(O7="","",WORKDAY.INTL(L7,ROUNDUP(O7,0),INDEX(LR_Code,MATCH(B7,LR_Lane,0)),INDEX(DH_Table,0,MATCH(B7&amp;"*",DH_Head,0)))))</f>
        <v>46397</v>
      </c>
      <c r="R7" s="37" t="str">
        <f aca="false">IF(Q7="","",IF(Q7&lt;=N7,"Yes","No"))</f>
        <v>Yes</v>
      </c>
      <c r="S7" s="26" t="n">
        <f aca="false">IF(Q7="","",IF(Q7&lt;=N7,0,NETWORKDAYS.INTL(N7,Q7,INDEX(LR_Code,MATCH(B7,LR_Lane,0)),INDEX(DH_Table,0,MATCH(B7&amp;"*",DH_Head,0)))-1))</f>
        <v>0</v>
      </c>
      <c r="T7" s="4"/>
      <c r="U7" s="25" t="str">
        <f aca="false">IF(V7&lt;&gt;"",V7,IF(IFERROR(INDEX(RS_Flag,MATCH(B7,RS_Lane,0)),"")="Yes",IF(IFERROR(INDEX(RS_Loc,MATCH(B7,RS_Lane,0)),"")="","Regional stock",IFERROR(INDEX(RS_Loc,MATCH(B7,RS_Lane,0)),"")),"Helmond"))</f>
        <v>Helmond</v>
      </c>
      <c r="V7" s="17"/>
      <c r="W7" s="38"/>
      <c r="X7" s="39"/>
      <c r="Y7" s="40" t="n">
        <f aca="false">IF(X7&lt;&gt;"",X7,IF(U7="Helmond",IF(COUNTIFS(RC_Lane,B7,RC_Band,E7,RC_CostPS,"&gt;0")=0,"",SUMIFS(RC_CostPS,RC_Lane,B7,RC_Band,E7)),IF(U7="Other","",IF(INDEX(RS_Rate,MATCH(B7,RS_Lane,0))="","",INDEX(RS_Rate,MATCH(B7,RS_Lane,0))))))</f>
        <v>76.3</v>
      </c>
    </row>
    <row r="8" customFormat="false" ht="15" hidden="false" customHeight="false" outlineLevel="0" collapsed="false">
      <c r="A8" s="3" t="s">
        <v>273</v>
      </c>
      <c r="B8" s="25" t="s">
        <v>108</v>
      </c>
      <c r="C8" s="8" t="s">
        <v>109</v>
      </c>
      <c r="D8" s="8" t="s">
        <v>270</v>
      </c>
      <c r="E8" s="8" t="s">
        <v>182</v>
      </c>
      <c r="F8" s="19" t="n">
        <v>270.6</v>
      </c>
      <c r="G8" s="33" t="n">
        <f aca="false">F8*0.006477</f>
        <v>1.7526762</v>
      </c>
      <c r="H8" s="19" t="n">
        <f aca="false">F8*1.079436</f>
        <v>292.0953816</v>
      </c>
      <c r="I8" s="18" t="n">
        <f aca="false">MAX(1,ROUNDUP(G8/0.096,0))</f>
        <v>19</v>
      </c>
      <c r="J8" s="31" t="n">
        <v>46395</v>
      </c>
      <c r="K8" s="34" t="n">
        <f aca="false">J8-WEEKDAY(J8,2)+1</f>
        <v>46391</v>
      </c>
      <c r="L8" s="31" t="n">
        <f aca="false">J8</f>
        <v>46395</v>
      </c>
      <c r="M8" s="26" t="n">
        <f aca="false">INDEX(LR_Target,MATCH(B8,LR_Lane,0))</f>
        <v>2</v>
      </c>
      <c r="N8" s="31" t="n">
        <f aca="false">WORKDAY.INTL(L8,M8,INDEX(LR_Code,MATCH(B8,LR_Lane,0)),INDEX(DH_Table,0,MATCH(B8&amp;"*",DH_Head,0)))</f>
        <v>46398</v>
      </c>
      <c r="O8" s="35" t="n">
        <f aca="false">IF(W8&lt;&gt;"",W8,IF(U8="Helmond",IF(COUNTIFS(RC_Lane,B8,RC_Band,E8,RC_Transit,"&lt;&gt;")=0,"",SUMIFS(RC_Transit,RC_Lane,B8,RC_Band,E8)),IF(U8="Other","",IF(INDEX(RS_Transit,MATCH(B8,RS_Lane,0))="","",INDEX(RS_Transit,MATCH(B8,RS_Lane,0))))))</f>
        <v>3</v>
      </c>
      <c r="P8" s="36"/>
      <c r="Q8" s="31" t="n">
        <f aca="false">IF(P8&lt;&gt;"",P8,IF(O8="","",WORKDAY.INTL(L8,ROUNDUP(O8,0),INDEX(LR_Code,MATCH(B8,LR_Lane,0)),INDEX(DH_Table,0,MATCH(B8&amp;"*",DH_Head,0)))))</f>
        <v>46399</v>
      </c>
      <c r="R8" s="37" t="str">
        <f aca="false">IF(Q8="","",IF(Q8&lt;=N8,"Yes","No"))</f>
        <v>No</v>
      </c>
      <c r="S8" s="26" t="n">
        <f aca="false">IF(Q8="","",IF(Q8&lt;=N8,0,NETWORKDAYS.INTL(N8,Q8,INDEX(LR_Code,MATCH(B8,LR_Lane,0)),INDEX(DH_Table,0,MATCH(B8&amp;"*",DH_Head,0)))-1))</f>
        <v>1</v>
      </c>
      <c r="T8" s="4"/>
      <c r="U8" s="25" t="str">
        <f aca="false">IF(V8&lt;&gt;"",V8,IF(IFERROR(INDEX(RS_Flag,MATCH(B8,RS_Lane,0)),"")="Yes",IF(IFERROR(INDEX(RS_Loc,MATCH(B8,RS_Lane,0)),"")="","Regional stock",IFERROR(INDEX(RS_Loc,MATCH(B8,RS_Lane,0)),"")),"Helmond"))</f>
        <v>Helmond</v>
      </c>
      <c r="V8" s="17"/>
      <c r="W8" s="38"/>
      <c r="X8" s="39"/>
      <c r="Y8" s="40" t="n">
        <f aca="false">IF(X8&lt;&gt;"",X8,IF(U8="Helmond",IF(COUNTIFS(RC_Lane,B8,RC_Band,E8,RC_CostPS,"&gt;0")=0,"",SUMIFS(RC_CostPS,RC_Lane,B8,RC_Band,E8)),IF(U8="Other","",IF(INDEX(RS_Rate,MATCH(B8,RS_Lane,0))="","",INDEX(RS_Rate,MATCH(B8,RS_Lane,0))))))</f>
        <v>1062.898</v>
      </c>
    </row>
    <row r="9" customFormat="false" ht="15" hidden="false" customHeight="false" outlineLevel="0" collapsed="false">
      <c r="A9" s="3" t="s">
        <v>274</v>
      </c>
      <c r="B9" s="25" t="s">
        <v>112</v>
      </c>
      <c r="C9" s="8" t="s">
        <v>113</v>
      </c>
      <c r="D9" s="8" t="s">
        <v>152</v>
      </c>
      <c r="E9" s="8" t="s">
        <v>178</v>
      </c>
      <c r="F9" s="19" t="n">
        <v>10.9</v>
      </c>
      <c r="G9" s="33" t="n">
        <f aca="false">F9*0.006477</f>
        <v>0.0705993</v>
      </c>
      <c r="H9" s="19" t="n">
        <f aca="false">F9*1.079436</f>
        <v>11.7658524</v>
      </c>
      <c r="I9" s="18" t="n">
        <f aca="false">MAX(1,ROUNDUP(G9/0.096,0))</f>
        <v>1</v>
      </c>
      <c r="J9" s="31" t="n">
        <v>46398</v>
      </c>
      <c r="K9" s="34" t="n">
        <f aca="false">J9-WEEKDAY(J9,2)+1</f>
        <v>46398</v>
      </c>
      <c r="L9" s="31" t="n">
        <f aca="false">J9</f>
        <v>46398</v>
      </c>
      <c r="M9" s="26" t="n">
        <f aca="false">INDEX(LR_Target,MATCH(B9,LR_Lane,0))</f>
        <v>2</v>
      </c>
      <c r="N9" s="31" t="n">
        <f aca="false">WORKDAY.INTL(L9,M9,INDEX(LR_Code,MATCH(B9,LR_Lane,0)),INDEX(DH_Table,0,MATCH(B9&amp;"*",DH_Head,0)))</f>
        <v>46400</v>
      </c>
      <c r="O9" s="35" t="n">
        <f aca="false">IF(W9&lt;&gt;"",W9,IF(U9="Helmond",IF(COUNTIFS(RC_Lane,B9,RC_Band,E9,RC_Transit,"&lt;&gt;")=0,"",SUMIFS(RC_Transit,RC_Lane,B9,RC_Band,E9)),IF(U9="Other","",IF(INDEX(RS_Transit,MATCH(B9,RS_Lane,0))="","",INDEX(RS_Transit,MATCH(B9,RS_Lane,0))))))</f>
        <v>1</v>
      </c>
      <c r="P9" s="36"/>
      <c r="Q9" s="31" t="n">
        <f aca="false">IF(P9&lt;&gt;"",P9,IF(O9="","",WORKDAY.INTL(L9,ROUNDUP(O9,0),INDEX(LR_Code,MATCH(B9,LR_Lane,0)),INDEX(DH_Table,0,MATCH(B9&amp;"*",DH_Head,0)))))</f>
        <v>46399</v>
      </c>
      <c r="R9" s="37" t="str">
        <f aca="false">IF(Q9="","",IF(Q9&lt;=N9,"Yes","No"))</f>
        <v>Yes</v>
      </c>
      <c r="S9" s="26" t="n">
        <f aca="false">IF(Q9="","",IF(Q9&lt;=N9,0,NETWORKDAYS.INTL(N9,Q9,INDEX(LR_Code,MATCH(B9,LR_Lane,0)),INDEX(DH_Table,0,MATCH(B9&amp;"*",DH_Head,0)))-1))</f>
        <v>0</v>
      </c>
      <c r="T9" s="4"/>
      <c r="U9" s="25" t="str">
        <f aca="false">IF(V9&lt;&gt;"",V9,IF(IFERROR(INDEX(RS_Flag,MATCH(B9,RS_Lane,0)),"")="Yes",IF(IFERROR(INDEX(RS_Loc,MATCH(B9,RS_Lane,0)),"")="","Regional stock",IFERROR(INDEX(RS_Loc,MATCH(B9,RS_Lane,0)),"")),"Helmond"))</f>
        <v>Helmond</v>
      </c>
      <c r="V9" s="17"/>
      <c r="W9" s="38"/>
      <c r="X9" s="39"/>
      <c r="Y9" s="40" t="n">
        <f aca="false">IF(X9&lt;&gt;"",X9,IF(U9="Helmond",IF(COUNTIFS(RC_Lane,B9,RC_Band,E9,RC_CostPS,"&gt;0")=0,"",SUMIFS(RC_CostPS,RC_Lane,B9,RC_Band,E9)),IF(U9="Other","",IF(INDEX(RS_Rate,MATCH(B9,RS_Lane,0))="","",INDEX(RS_Rate,MATCH(B9,RS_Lane,0))))))</f>
        <v>76.3</v>
      </c>
    </row>
    <row r="10" customFormat="false" ht="15" hidden="false" customHeight="false" outlineLevel="0" collapsed="false">
      <c r="A10" s="3" t="s">
        <v>275</v>
      </c>
      <c r="B10" s="25" t="s">
        <v>112</v>
      </c>
      <c r="C10" s="8" t="s">
        <v>113</v>
      </c>
      <c r="D10" s="8" t="s">
        <v>152</v>
      </c>
      <c r="E10" s="8" t="s">
        <v>178</v>
      </c>
      <c r="F10" s="19" t="n">
        <v>14.1</v>
      </c>
      <c r="G10" s="33" t="n">
        <f aca="false">F10*0.006477</f>
        <v>0.0913257</v>
      </c>
      <c r="H10" s="19" t="n">
        <f aca="false">F10*1.079436</f>
        <v>15.2200476</v>
      </c>
      <c r="I10" s="18" t="n">
        <f aca="false">MAX(1,ROUNDUP(G10/0.096,0))</f>
        <v>1</v>
      </c>
      <c r="J10" s="31" t="n">
        <v>46398</v>
      </c>
      <c r="K10" s="34" t="n">
        <f aca="false">J10-WEEKDAY(J10,2)+1</f>
        <v>46398</v>
      </c>
      <c r="L10" s="31" t="n">
        <f aca="false">J10</f>
        <v>46398</v>
      </c>
      <c r="M10" s="26" t="n">
        <f aca="false">INDEX(LR_Target,MATCH(B10,LR_Lane,0))</f>
        <v>2</v>
      </c>
      <c r="N10" s="31" t="n">
        <f aca="false">WORKDAY.INTL(L10,M10,INDEX(LR_Code,MATCH(B10,LR_Lane,0)),INDEX(DH_Table,0,MATCH(B10&amp;"*",DH_Head,0)))</f>
        <v>46400</v>
      </c>
      <c r="O10" s="35" t="n">
        <f aca="false">IF(W10&lt;&gt;"",W10,IF(U10="Helmond",IF(COUNTIFS(RC_Lane,B10,RC_Band,E10,RC_Transit,"&lt;&gt;")=0,"",SUMIFS(RC_Transit,RC_Lane,B10,RC_Band,E10)),IF(U10="Other","",IF(INDEX(RS_Transit,MATCH(B10,RS_Lane,0))="","",INDEX(RS_Transit,MATCH(B10,RS_Lane,0))))))</f>
        <v>1</v>
      </c>
      <c r="P10" s="36"/>
      <c r="Q10" s="31" t="n">
        <f aca="false">IF(P10&lt;&gt;"",P10,IF(O10="","",WORKDAY.INTL(L10,ROUNDUP(O10,0),INDEX(LR_Code,MATCH(B10,LR_Lane,0)),INDEX(DH_Table,0,MATCH(B10&amp;"*",DH_Head,0)))))</f>
        <v>46399</v>
      </c>
      <c r="R10" s="37" t="str">
        <f aca="false">IF(Q10="","",IF(Q10&lt;=N10,"Yes","No"))</f>
        <v>Yes</v>
      </c>
      <c r="S10" s="26" t="n">
        <f aca="false">IF(Q10="","",IF(Q10&lt;=N10,0,NETWORKDAYS.INTL(N10,Q10,INDEX(LR_Code,MATCH(B10,LR_Lane,0)),INDEX(DH_Table,0,MATCH(B10&amp;"*",DH_Head,0)))-1))</f>
        <v>0</v>
      </c>
      <c r="T10" s="4"/>
      <c r="U10" s="25" t="str">
        <f aca="false">IF(V10&lt;&gt;"",V10,IF(IFERROR(INDEX(RS_Flag,MATCH(B10,RS_Lane,0)),"")="Yes",IF(IFERROR(INDEX(RS_Loc,MATCH(B10,RS_Lane,0)),"")="","Regional stock",IFERROR(INDEX(RS_Loc,MATCH(B10,RS_Lane,0)),"")),"Helmond"))</f>
        <v>Helmond</v>
      </c>
      <c r="V10" s="17"/>
      <c r="W10" s="38"/>
      <c r="X10" s="39"/>
      <c r="Y10" s="40" t="n">
        <f aca="false">IF(X10&lt;&gt;"",X10,IF(U10="Helmond",IF(COUNTIFS(RC_Lane,B10,RC_Band,E10,RC_CostPS,"&gt;0")=0,"",SUMIFS(RC_CostPS,RC_Lane,B10,RC_Band,E10)),IF(U10="Other","",IF(INDEX(RS_Rate,MATCH(B10,RS_Lane,0))="","",INDEX(RS_Rate,MATCH(B10,RS_Lane,0))))))</f>
        <v>76.3</v>
      </c>
    </row>
    <row r="11" customFormat="false" ht="15" hidden="false" customHeight="false" outlineLevel="0" collapsed="false">
      <c r="A11" s="3" t="s">
        <v>276</v>
      </c>
      <c r="B11" s="25" t="s">
        <v>119</v>
      </c>
      <c r="C11" s="8" t="s">
        <v>120</v>
      </c>
      <c r="D11" s="8" t="s">
        <v>155</v>
      </c>
      <c r="E11" s="8" t="s">
        <v>182</v>
      </c>
      <c r="F11" s="19" t="n">
        <v>376.7</v>
      </c>
      <c r="G11" s="33" t="n">
        <f aca="false">F11*0.006477</f>
        <v>2.4398859</v>
      </c>
      <c r="H11" s="19" t="n">
        <f aca="false">F11*1.079436</f>
        <v>406.6235412</v>
      </c>
      <c r="I11" s="18" t="n">
        <f aca="false">MAX(1,ROUNDUP(G11/0.096,0))</f>
        <v>26</v>
      </c>
      <c r="J11" s="31" t="n">
        <v>46398</v>
      </c>
      <c r="K11" s="34" t="n">
        <f aca="false">J11-WEEKDAY(J11,2)+1</f>
        <v>46398</v>
      </c>
      <c r="L11" s="31" t="n">
        <f aca="false">J11</f>
        <v>46398</v>
      </c>
      <c r="M11" s="26" t="n">
        <f aca="false">INDEX(LR_Target,MATCH(B11,LR_Lane,0))</f>
        <v>3</v>
      </c>
      <c r="N11" s="31" t="n">
        <f aca="false">WORKDAY.INTL(L11,M11,INDEX(LR_Code,MATCH(B11,LR_Lane,0)),INDEX(DH_Table,0,MATCH(B11&amp;"*",DH_Head,0)))</f>
        <v>46401</v>
      </c>
      <c r="O11" s="35" t="n">
        <f aca="false">IF(W11&lt;&gt;"",W11,IF(U11="Helmond",IF(COUNTIFS(RC_Lane,B11,RC_Band,E11,RC_Transit,"&lt;&gt;")=0,"",SUMIFS(RC_Transit,RC_Lane,B11,RC_Band,E11)),IF(U11="Other","",IF(INDEX(RS_Transit,MATCH(B11,RS_Lane,0))="","",INDEX(RS_Transit,MATCH(B11,RS_Lane,0))))))</f>
        <v>3</v>
      </c>
      <c r="P11" s="36"/>
      <c r="Q11" s="31" t="n">
        <f aca="false">IF(P11&lt;&gt;"",P11,IF(O11="","",WORKDAY.INTL(L11,ROUNDUP(O11,0),INDEX(LR_Code,MATCH(B11,LR_Lane,0)),INDEX(DH_Table,0,MATCH(B11&amp;"*",DH_Head,0)))))</f>
        <v>46401</v>
      </c>
      <c r="R11" s="37" t="str">
        <f aca="false">IF(Q11="","",IF(Q11&lt;=N11,"Yes","No"))</f>
        <v>Yes</v>
      </c>
      <c r="S11" s="26" t="n">
        <f aca="false">IF(Q11="","",IF(Q11&lt;=N11,0,NETWORKDAYS.INTL(N11,Q11,INDEX(LR_Code,MATCH(B11,LR_Lane,0)),INDEX(DH_Table,0,MATCH(B11&amp;"*",DH_Head,0)))-1))</f>
        <v>0</v>
      </c>
      <c r="T11" s="4"/>
      <c r="U11" s="25" t="str">
        <f aca="false">IF(V11&lt;&gt;"",V11,IF(IFERROR(INDEX(RS_Flag,MATCH(B11,RS_Lane,0)),"")="Yes",IF(IFERROR(INDEX(RS_Loc,MATCH(B11,RS_Lane,0)),"")="","Regional stock",IFERROR(INDEX(RS_Loc,MATCH(B11,RS_Lane,0)),"")),"Helmond"))</f>
        <v>Helmond</v>
      </c>
      <c r="V11" s="17"/>
      <c r="W11" s="38"/>
      <c r="X11" s="39"/>
      <c r="Y11" s="40" t="n">
        <f aca="false">IF(X11&lt;&gt;"",X11,IF(U11="Helmond",IF(COUNTIFS(RC_Lane,B11,RC_Band,E11,RC_CostPS,"&gt;0")=0,"",SUMIFS(RC_CostPS,RC_Lane,B11,RC_Band,E11)),IF(U11="Other","",IF(INDEX(RS_Rate,MATCH(B11,RS_Lane,0))="","",INDEX(RS_Rate,MATCH(B11,RS_Lane,0))))))</f>
        <v>1474.0572</v>
      </c>
    </row>
    <row r="12" customFormat="false" ht="15" hidden="false" customHeight="false" outlineLevel="0" collapsed="false">
      <c r="A12" s="3" t="s">
        <v>277</v>
      </c>
      <c r="B12" s="25" t="s">
        <v>121</v>
      </c>
      <c r="C12" s="8" t="s">
        <v>122</v>
      </c>
      <c r="D12" s="8" t="s">
        <v>278</v>
      </c>
      <c r="E12" s="8" t="s">
        <v>183</v>
      </c>
      <c r="F12" s="19" t="n">
        <v>941.5</v>
      </c>
      <c r="G12" s="33" t="n">
        <f aca="false">F12*0.006477</f>
        <v>6.0980955</v>
      </c>
      <c r="H12" s="19" t="n">
        <f aca="false">F12*1.079436</f>
        <v>1016.288994</v>
      </c>
      <c r="I12" s="18" t="n">
        <f aca="false">MAX(1,ROUNDUP(G12/0.096,0))</f>
        <v>64</v>
      </c>
      <c r="J12" s="31" t="n">
        <v>46398</v>
      </c>
      <c r="K12" s="34" t="n">
        <f aca="false">J12-WEEKDAY(J12,2)+1</f>
        <v>46398</v>
      </c>
      <c r="L12" s="31" t="n">
        <f aca="false">J12</f>
        <v>46398</v>
      </c>
      <c r="M12" s="26" t="n">
        <f aca="false">INDEX(LR_Target,MATCH(B12,LR_Lane,0))</f>
        <v>3</v>
      </c>
      <c r="N12" s="31" t="n">
        <f aca="false">WORKDAY.INTL(L12,M12,INDEX(LR_Code,MATCH(B12,LR_Lane,0)),INDEX(DH_Table,0,MATCH(B12&amp;"*",DH_Head,0)))</f>
        <v>46402</v>
      </c>
      <c r="O12" s="35" t="n">
        <f aca="false">IF(W12&lt;&gt;"",W12,IF(U12="Helmond",IF(COUNTIFS(RC_Lane,B12,RC_Band,E12,RC_Transit,"&lt;&gt;")=0,"",SUMIFS(RC_Transit,RC_Lane,B12,RC_Band,E12)),IF(U12="Other","",IF(INDEX(RS_Transit,MATCH(B12,RS_Lane,0))="","",INDEX(RS_Transit,MATCH(B12,RS_Lane,0))))))</f>
        <v>4</v>
      </c>
      <c r="P12" s="36"/>
      <c r="Q12" s="31" t="n">
        <f aca="false">IF(P12&lt;&gt;"",P12,IF(O12="","",WORKDAY.INTL(L12,ROUNDUP(O12,0),INDEX(LR_Code,MATCH(B12,LR_Lane,0)),INDEX(DH_Table,0,MATCH(B12&amp;"*",DH_Head,0)))))</f>
        <v>46405</v>
      </c>
      <c r="R12" s="37" t="str">
        <f aca="false">IF(Q12="","",IF(Q12&lt;=N12,"Yes","No"))</f>
        <v>No</v>
      </c>
      <c r="S12" s="26" t="n">
        <f aca="false">IF(Q12="","",IF(Q12&lt;=N12,0,NETWORKDAYS.INTL(N12,Q12,INDEX(LR_Code,MATCH(B12,LR_Lane,0)),INDEX(DH_Table,0,MATCH(B12&amp;"*",DH_Head,0)))-1))</f>
        <v>1</v>
      </c>
      <c r="T12" s="4"/>
      <c r="U12" s="25" t="str">
        <f aca="false">IF(V12&lt;&gt;"",V12,IF(IFERROR(INDEX(RS_Flag,MATCH(B12,RS_Lane,0)),"")="Yes",IF(IFERROR(INDEX(RS_Loc,MATCH(B12,RS_Lane,0)),"")="","Regional stock",IFERROR(INDEX(RS_Loc,MATCH(B12,RS_Lane,0)),"")),"Helmond"))</f>
        <v>Helmond</v>
      </c>
      <c r="V12" s="17"/>
      <c r="W12" s="38"/>
      <c r="X12" s="39"/>
      <c r="Y12" s="40" t="n">
        <f aca="false">IF(X12&lt;&gt;"",X12,IF(U12="Helmond",IF(COUNTIFS(RC_Lane,B12,RC_Band,E12,RC_CostPS,"&gt;0")=0,"",SUMIFS(RC_CostPS,RC_Lane,B12,RC_Band,E12)),IF(U12="Other","",IF(INDEX(RS_Rate,MATCH(B12,RS_Lane,0))="","",INDEX(RS_Rate,MATCH(B12,RS_Lane,0))))))</f>
        <v>4614.7216</v>
      </c>
    </row>
    <row r="13" customFormat="false" ht="15" hidden="false" customHeight="false" outlineLevel="0" collapsed="false">
      <c r="A13" s="3" t="s">
        <v>279</v>
      </c>
      <c r="B13" s="25" t="s">
        <v>108</v>
      </c>
      <c r="C13" s="8" t="s">
        <v>109</v>
      </c>
      <c r="D13" s="8" t="s">
        <v>272</v>
      </c>
      <c r="E13" s="8" t="s">
        <v>178</v>
      </c>
      <c r="F13" s="19" t="n">
        <v>5.9</v>
      </c>
      <c r="G13" s="33" t="n">
        <f aca="false">F13*0.006477</f>
        <v>0.0382143</v>
      </c>
      <c r="H13" s="19" t="n">
        <f aca="false">F13*1.079436</f>
        <v>6.3686724</v>
      </c>
      <c r="I13" s="18" t="n">
        <f aca="false">MAX(1,ROUNDUP(G13/0.096,0))</f>
        <v>1</v>
      </c>
      <c r="J13" s="31" t="n">
        <v>46400</v>
      </c>
      <c r="K13" s="34" t="n">
        <f aca="false">J13-WEEKDAY(J13,2)+1</f>
        <v>46398</v>
      </c>
      <c r="L13" s="31" t="n">
        <f aca="false">J13</f>
        <v>46400</v>
      </c>
      <c r="M13" s="26" t="n">
        <f aca="false">INDEX(LR_Target,MATCH(B13,LR_Lane,0))</f>
        <v>2</v>
      </c>
      <c r="N13" s="31" t="n">
        <f aca="false">WORKDAY.INTL(L13,M13,INDEX(LR_Code,MATCH(B13,LR_Lane,0)),INDEX(DH_Table,0,MATCH(B13&amp;"*",DH_Head,0)))</f>
        <v>46404</v>
      </c>
      <c r="O13" s="35" t="n">
        <f aca="false">IF(W13&lt;&gt;"",W13,IF(U13="Helmond",IF(COUNTIFS(RC_Lane,B13,RC_Band,E13,RC_Transit,"&lt;&gt;")=0,"",SUMIFS(RC_Transit,RC_Lane,B13,RC_Band,E13)),IF(U13="Other","",IF(INDEX(RS_Transit,MATCH(B13,RS_Lane,0))="","",INDEX(RS_Transit,MATCH(B13,RS_Lane,0))))))</f>
        <v>1</v>
      </c>
      <c r="P13" s="36"/>
      <c r="Q13" s="31" t="n">
        <f aca="false">IF(P13&lt;&gt;"",P13,IF(O13="","",WORKDAY.INTL(L13,ROUNDUP(O13,0),INDEX(LR_Code,MATCH(B13,LR_Lane,0)),INDEX(DH_Table,0,MATCH(B13&amp;"*",DH_Head,0)))))</f>
        <v>46401</v>
      </c>
      <c r="R13" s="37" t="str">
        <f aca="false">IF(Q13="","",IF(Q13&lt;=N13,"Yes","No"))</f>
        <v>Yes</v>
      </c>
      <c r="S13" s="26" t="n">
        <f aca="false">IF(Q13="","",IF(Q13&lt;=N13,0,NETWORKDAYS.INTL(N13,Q13,INDEX(LR_Code,MATCH(B13,LR_Lane,0)),INDEX(DH_Table,0,MATCH(B13&amp;"*",DH_Head,0)))-1))</f>
        <v>0</v>
      </c>
      <c r="T13" s="4"/>
      <c r="U13" s="25" t="str">
        <f aca="false">IF(V13&lt;&gt;"",V13,IF(IFERROR(INDEX(RS_Flag,MATCH(B13,RS_Lane,0)),"")="Yes",IF(IFERROR(INDEX(RS_Loc,MATCH(B13,RS_Lane,0)),"")="","Regional stock",IFERROR(INDEX(RS_Loc,MATCH(B13,RS_Lane,0)),"")),"Helmond"))</f>
        <v>Helmond</v>
      </c>
      <c r="V13" s="17"/>
      <c r="W13" s="38"/>
      <c r="X13" s="39"/>
      <c r="Y13" s="40" t="n">
        <f aca="false">IF(X13&lt;&gt;"",X13,IF(U13="Helmond",IF(COUNTIFS(RC_Lane,B13,RC_Band,E13,RC_CostPS,"&gt;0")=0,"",SUMIFS(RC_CostPS,RC_Lane,B13,RC_Band,E13)),IF(U13="Other","",IF(INDEX(RS_Rate,MATCH(B13,RS_Lane,0))="","",INDEX(RS_Rate,MATCH(B13,RS_Lane,0))))))</f>
        <v>76.3</v>
      </c>
    </row>
    <row r="14" customFormat="false" ht="15" hidden="false" customHeight="false" outlineLevel="0" collapsed="false">
      <c r="A14" s="3" t="s">
        <v>280</v>
      </c>
      <c r="B14" s="25" t="s">
        <v>115</v>
      </c>
      <c r="C14" s="8" t="s">
        <v>116</v>
      </c>
      <c r="D14" s="8" t="s">
        <v>153</v>
      </c>
      <c r="E14" s="8" t="s">
        <v>183</v>
      </c>
      <c r="F14" s="19" t="n">
        <v>1093</v>
      </c>
      <c r="G14" s="33" t="n">
        <f aca="false">F14*0.006477</f>
        <v>7.079361</v>
      </c>
      <c r="H14" s="19" t="n">
        <f aca="false">F14*1.079436</f>
        <v>1179.823548</v>
      </c>
      <c r="I14" s="18" t="n">
        <f aca="false">MAX(1,ROUNDUP(G14/0.096,0))</f>
        <v>74</v>
      </c>
      <c r="J14" s="31" t="n">
        <v>46407</v>
      </c>
      <c r="K14" s="34" t="n">
        <f aca="false">J14-WEEKDAY(J14,2)+1</f>
        <v>46405</v>
      </c>
      <c r="L14" s="31" t="n">
        <f aca="false">J14</f>
        <v>46407</v>
      </c>
      <c r="M14" s="26" t="n">
        <f aca="false">INDEX(LR_Target,MATCH(B14,LR_Lane,0))</f>
        <v>2</v>
      </c>
      <c r="N14" s="31" t="n">
        <f aca="false">WORKDAY.INTL(L14,M14,INDEX(LR_Code,MATCH(B14,LR_Lane,0)),INDEX(DH_Table,0,MATCH(B14&amp;"*",DH_Head,0)))</f>
        <v>46411</v>
      </c>
      <c r="O14" s="35" t="n">
        <f aca="false">IF(W14&lt;&gt;"",W14,IF(U14="Helmond",IF(COUNTIFS(RC_Lane,B14,RC_Band,E14,RC_Transit,"&lt;&gt;")=0,"",SUMIFS(RC_Transit,RC_Lane,B14,RC_Band,E14)),IF(U14="Other","",IF(INDEX(RS_Transit,MATCH(B14,RS_Lane,0))="","",INDEX(RS_Transit,MATCH(B14,RS_Lane,0))))))</f>
        <v>4</v>
      </c>
      <c r="P14" s="36"/>
      <c r="Q14" s="31" t="n">
        <f aca="false">IF(P14&lt;&gt;"",P14,IF(O14="","",WORKDAY.INTL(L14,ROUNDUP(O14,0),INDEX(LR_Code,MATCH(B14,LR_Lane,0)),INDEX(DH_Table,0,MATCH(B14&amp;"*",DH_Head,0)))))</f>
        <v>46413</v>
      </c>
      <c r="R14" s="37" t="str">
        <f aca="false">IF(Q14="","",IF(Q14&lt;=N14,"Yes","No"))</f>
        <v>No</v>
      </c>
      <c r="S14" s="26" t="n">
        <f aca="false">IF(Q14="","",IF(Q14&lt;=N14,0,NETWORKDAYS.INTL(N14,Q14,INDEX(LR_Code,MATCH(B14,LR_Lane,0)),INDEX(DH_Table,0,MATCH(B14&amp;"*",DH_Head,0)))-1))</f>
        <v>2</v>
      </c>
      <c r="T14" s="4"/>
      <c r="U14" s="25" t="str">
        <f aca="false">IF(V14&lt;&gt;"",V14,IF(IFERROR(INDEX(RS_Flag,MATCH(B14,RS_Lane,0)),"")="Yes",IF(IFERROR(INDEX(RS_Loc,MATCH(B14,RS_Lane,0)),"")="","Regional stock",IFERROR(INDEX(RS_Loc,MATCH(B14,RS_Lane,0)),"")),"Helmond"))</f>
        <v>Helmond</v>
      </c>
      <c r="V14" s="17"/>
      <c r="W14" s="38"/>
      <c r="X14" s="39"/>
      <c r="Y14" s="40" t="n">
        <f aca="false">IF(X14&lt;&gt;"",X14,IF(U14="Helmond",IF(COUNTIFS(RC_Lane,B14,RC_Band,E14,RC_CostPS,"&gt;0")=0,"",SUMIFS(RC_CostPS,RC_Lane,B14,RC_Band,E14)),IF(U14="Other","",IF(INDEX(RS_Rate,MATCH(B14,RS_Lane,0))="","",INDEX(RS_Rate,MATCH(B14,RS_Lane,0))))))</f>
        <v>3379.8752</v>
      </c>
    </row>
    <row r="15" customFormat="false" ht="15" hidden="false" customHeight="false" outlineLevel="0" collapsed="false">
      <c r="A15" s="3" t="s">
        <v>281</v>
      </c>
      <c r="B15" s="25" t="s">
        <v>108</v>
      </c>
      <c r="C15" s="8" t="s">
        <v>109</v>
      </c>
      <c r="D15" s="8" t="s">
        <v>272</v>
      </c>
      <c r="E15" s="8" t="s">
        <v>182</v>
      </c>
      <c r="F15" s="19" t="n">
        <v>232.3</v>
      </c>
      <c r="G15" s="33" t="n">
        <f aca="false">F15*0.006477</f>
        <v>1.5046071</v>
      </c>
      <c r="H15" s="19" t="n">
        <f aca="false">F15*1.079436</f>
        <v>250.7529828</v>
      </c>
      <c r="I15" s="18" t="n">
        <f aca="false">MAX(1,ROUNDUP(G15/0.096,0))</f>
        <v>16</v>
      </c>
      <c r="J15" s="31" t="n">
        <v>46413</v>
      </c>
      <c r="K15" s="34" t="n">
        <f aca="false">J15-WEEKDAY(J15,2)+1</f>
        <v>46412</v>
      </c>
      <c r="L15" s="31" t="n">
        <f aca="false">J15</f>
        <v>46413</v>
      </c>
      <c r="M15" s="26" t="n">
        <f aca="false">INDEX(LR_Target,MATCH(B15,LR_Lane,0))</f>
        <v>2</v>
      </c>
      <c r="N15" s="31" t="n">
        <f aca="false">WORKDAY.INTL(L15,M15,INDEX(LR_Code,MATCH(B15,LR_Lane,0)),INDEX(DH_Table,0,MATCH(B15&amp;"*",DH_Head,0)))</f>
        <v>46415</v>
      </c>
      <c r="O15" s="35" t="n">
        <f aca="false">IF(W15&lt;&gt;"",W15,IF(U15="Helmond",IF(COUNTIFS(RC_Lane,B15,RC_Band,E15,RC_Transit,"&lt;&gt;")=0,"",SUMIFS(RC_Transit,RC_Lane,B15,RC_Band,E15)),IF(U15="Other","",IF(INDEX(RS_Transit,MATCH(B15,RS_Lane,0))="","",INDEX(RS_Transit,MATCH(B15,RS_Lane,0))))))</f>
        <v>3</v>
      </c>
      <c r="P15" s="36"/>
      <c r="Q15" s="31" t="n">
        <f aca="false">IF(P15&lt;&gt;"",P15,IF(O15="","",WORKDAY.INTL(L15,ROUNDUP(O15,0),INDEX(LR_Code,MATCH(B15,LR_Lane,0)),INDEX(DH_Table,0,MATCH(B15&amp;"*",DH_Head,0)))))</f>
        <v>46418</v>
      </c>
      <c r="R15" s="37" t="str">
        <f aca="false">IF(Q15="","",IF(Q15&lt;=N15,"Yes","No"))</f>
        <v>No</v>
      </c>
      <c r="S15" s="26" t="n">
        <f aca="false">IF(Q15="","",IF(Q15&lt;=N15,0,NETWORKDAYS.INTL(N15,Q15,INDEX(LR_Code,MATCH(B15,LR_Lane,0)),INDEX(DH_Table,0,MATCH(B15&amp;"*",DH_Head,0)))-1))</f>
        <v>1</v>
      </c>
      <c r="T15" s="4"/>
      <c r="U15" s="25" t="str">
        <f aca="false">IF(V15&lt;&gt;"",V15,IF(IFERROR(INDEX(RS_Flag,MATCH(B15,RS_Lane,0)),"")="Yes",IF(IFERROR(INDEX(RS_Loc,MATCH(B15,RS_Lane,0)),"")="","Regional stock",IFERROR(INDEX(RS_Loc,MATCH(B15,RS_Lane,0)),"")),"Helmond"))</f>
        <v>Helmond</v>
      </c>
      <c r="V15" s="17"/>
      <c r="W15" s="38"/>
      <c r="X15" s="39"/>
      <c r="Y15" s="40" t="n">
        <f aca="false">IF(X15&lt;&gt;"",X15,IF(U15="Helmond",IF(COUNTIFS(RC_Lane,B15,RC_Band,E15,RC_CostPS,"&gt;0")=0,"",SUMIFS(RC_CostPS,RC_Lane,B15,RC_Band,E15)),IF(U15="Other","",IF(INDEX(RS_Rate,MATCH(B15,RS_Lane,0))="","",INDEX(RS_Rate,MATCH(B15,RS_Lane,0))))))</f>
        <v>1062.898</v>
      </c>
    </row>
    <row r="16" customFormat="false" ht="15" hidden="false" customHeight="false" outlineLevel="0" collapsed="false">
      <c r="A16" s="3" t="s">
        <v>282</v>
      </c>
      <c r="B16" s="25" t="s">
        <v>112</v>
      </c>
      <c r="C16" s="8" t="s">
        <v>113</v>
      </c>
      <c r="D16" s="8" t="s">
        <v>152</v>
      </c>
      <c r="E16" s="8" t="s">
        <v>182</v>
      </c>
      <c r="F16" s="19" t="n">
        <v>202.1</v>
      </c>
      <c r="G16" s="33" t="n">
        <f aca="false">F16*0.006477</f>
        <v>1.3090017</v>
      </c>
      <c r="H16" s="19" t="n">
        <f aca="false">F16*1.079436</f>
        <v>218.1540156</v>
      </c>
      <c r="I16" s="18" t="n">
        <f aca="false">MAX(1,ROUNDUP(G16/0.096,0))</f>
        <v>14</v>
      </c>
      <c r="J16" s="31" t="n">
        <v>46413</v>
      </c>
      <c r="K16" s="34" t="n">
        <f aca="false">J16-WEEKDAY(J16,2)+1</f>
        <v>46412</v>
      </c>
      <c r="L16" s="31" t="n">
        <f aca="false">J16</f>
        <v>46413</v>
      </c>
      <c r="M16" s="26" t="n">
        <f aca="false">INDEX(LR_Target,MATCH(B16,LR_Lane,0))</f>
        <v>2</v>
      </c>
      <c r="N16" s="31" t="n">
        <f aca="false">WORKDAY.INTL(L16,M16,INDEX(LR_Code,MATCH(B16,LR_Lane,0)),INDEX(DH_Table,0,MATCH(B16&amp;"*",DH_Head,0)))</f>
        <v>46415</v>
      </c>
      <c r="O16" s="35" t="n">
        <f aca="false">IF(W16&lt;&gt;"",W16,IF(U16="Helmond",IF(COUNTIFS(RC_Lane,B16,RC_Band,E16,RC_Transit,"&lt;&gt;")=0,"",SUMIFS(RC_Transit,RC_Lane,B16,RC_Band,E16)),IF(U16="Other","",IF(INDEX(RS_Transit,MATCH(B16,RS_Lane,0))="","",INDEX(RS_Transit,MATCH(B16,RS_Lane,0))))))</f>
        <v>3</v>
      </c>
      <c r="P16" s="36"/>
      <c r="Q16" s="31" t="n">
        <f aca="false">IF(P16&lt;&gt;"",P16,IF(O16="","",WORKDAY.INTL(L16,ROUNDUP(O16,0),INDEX(LR_Code,MATCH(B16,LR_Lane,0)),INDEX(DH_Table,0,MATCH(B16&amp;"*",DH_Head,0)))))</f>
        <v>46416</v>
      </c>
      <c r="R16" s="37" t="str">
        <f aca="false">IF(Q16="","",IF(Q16&lt;=N16,"Yes","No"))</f>
        <v>No</v>
      </c>
      <c r="S16" s="26" t="n">
        <f aca="false">IF(Q16="","",IF(Q16&lt;=N16,0,NETWORKDAYS.INTL(N16,Q16,INDEX(LR_Code,MATCH(B16,LR_Lane,0)),INDEX(DH_Table,0,MATCH(B16&amp;"*",DH_Head,0)))-1))</f>
        <v>1</v>
      </c>
      <c r="T16" s="4"/>
      <c r="U16" s="25" t="str">
        <f aca="false">IF(V16&lt;&gt;"",V16,IF(IFERROR(INDEX(RS_Flag,MATCH(B16,RS_Lane,0)),"")="Yes",IF(IFERROR(INDEX(RS_Loc,MATCH(B16,RS_Lane,0)),"")="","Regional stock",IFERROR(INDEX(RS_Loc,MATCH(B16,RS_Lane,0)),"")),"Helmond"))</f>
        <v>Helmond</v>
      </c>
      <c r="V16" s="17"/>
      <c r="W16" s="38"/>
      <c r="X16" s="39"/>
      <c r="Y16" s="40" t="n">
        <f aca="false">IF(X16&lt;&gt;"",X16,IF(U16="Helmond",IF(COUNTIFS(RC_Lane,B16,RC_Band,E16,RC_CostPS,"&gt;0")=0,"",SUMIFS(RC_CostPS,RC_Lane,B16,RC_Band,E16)),IF(U16="Other","",IF(INDEX(RS_Rate,MATCH(B16,RS_Lane,0))="","",INDEX(RS_Rate,MATCH(B16,RS_Lane,0))))))</f>
        <v>1503.8994</v>
      </c>
    </row>
    <row r="17" customFormat="false" ht="15" hidden="false" customHeight="false" outlineLevel="0" collapsed="false">
      <c r="A17" s="3" t="s">
        <v>283</v>
      </c>
      <c r="B17" s="25" t="s">
        <v>124</v>
      </c>
      <c r="C17" s="8" t="s">
        <v>125</v>
      </c>
      <c r="D17" s="8" t="s">
        <v>157</v>
      </c>
      <c r="E17" s="8" t="s">
        <v>180</v>
      </c>
      <c r="F17" s="19" t="n">
        <v>52</v>
      </c>
      <c r="G17" s="33" t="n">
        <f aca="false">F17*0.006477</f>
        <v>0.336804</v>
      </c>
      <c r="H17" s="19" t="n">
        <f aca="false">F17*1.079436</f>
        <v>56.130672</v>
      </c>
      <c r="I17" s="18" t="n">
        <f aca="false">MAX(1,ROUNDUP(G17/0.096,0))</f>
        <v>4</v>
      </c>
      <c r="J17" s="31" t="n">
        <v>46413</v>
      </c>
      <c r="K17" s="34" t="n">
        <f aca="false">J17-WEEKDAY(J17,2)+1</f>
        <v>46412</v>
      </c>
      <c r="L17" s="31" t="n">
        <f aca="false">J17</f>
        <v>46413</v>
      </c>
      <c r="M17" s="26" t="n">
        <f aca="false">INDEX(LR_Target,MATCH(B17,LR_Lane,0))</f>
        <v>5</v>
      </c>
      <c r="N17" s="31" t="n">
        <f aca="false">WORKDAY.INTL(L17,M17,INDEX(LR_Code,MATCH(B17,LR_Lane,0)),INDEX(DH_Table,0,MATCH(B17&amp;"*",DH_Head,0)))</f>
        <v>46420</v>
      </c>
      <c r="O17" s="35" t="n">
        <f aca="false">IF(W17&lt;&gt;"",W17,IF(U17="Helmond",IF(COUNTIFS(RC_Lane,B17,RC_Band,E17,RC_Transit,"&lt;&gt;")=0,"",SUMIFS(RC_Transit,RC_Lane,B17,RC_Band,E17)),IF(U17="Other","",IF(INDEX(RS_Transit,MATCH(B17,RS_Lane,0))="","",INDEX(RS_Transit,MATCH(B17,RS_Lane,0))))))</f>
        <v>2</v>
      </c>
      <c r="P17" s="36"/>
      <c r="Q17" s="31" t="n">
        <f aca="false">IF(P17&lt;&gt;"",P17,IF(O17="","",WORKDAY.INTL(L17,ROUNDUP(O17,0),INDEX(LR_Code,MATCH(B17,LR_Lane,0)),INDEX(DH_Table,0,MATCH(B17&amp;"*",DH_Head,0)))))</f>
        <v>46415</v>
      </c>
      <c r="R17" s="37" t="str">
        <f aca="false">IF(Q17="","",IF(Q17&lt;=N17,"Yes","No"))</f>
        <v>Yes</v>
      </c>
      <c r="S17" s="26" t="n">
        <f aca="false">IF(Q17="","",IF(Q17&lt;=N17,0,NETWORKDAYS.INTL(N17,Q17,INDEX(LR_Code,MATCH(B17,LR_Lane,0)),INDEX(DH_Table,0,MATCH(B17&amp;"*",DH_Head,0)))-1))</f>
        <v>0</v>
      </c>
      <c r="T17" s="4"/>
      <c r="U17" s="25" t="str">
        <f aca="false">IF(V17&lt;&gt;"",V17,IF(IFERROR(INDEX(RS_Flag,MATCH(B17,RS_Lane,0)),"")="Yes",IF(IFERROR(INDEX(RS_Loc,MATCH(B17,RS_Lane,0)),"")="","Regional stock",IFERROR(INDEX(RS_Loc,MATCH(B17,RS_Lane,0)),"")),"Helmond"))</f>
        <v>Helmond</v>
      </c>
      <c r="V17" s="17"/>
      <c r="W17" s="38"/>
      <c r="X17" s="39"/>
      <c r="Y17" s="40" t="n">
        <f aca="false">IF(X17&lt;&gt;"",X17,IF(U17="Helmond",IF(COUNTIFS(RC_Lane,B17,RC_Band,E17,RC_CostPS,"&gt;0")=0,"",SUMIFS(RC_CostPS,RC_Lane,B17,RC_Band,E17)),IF(U17="Other","",IF(INDEX(RS_Rate,MATCH(B17,RS_Lane,0))="","",INDEX(RS_Rate,MATCH(B17,RS_Lane,0))))))</f>
        <v>160.552</v>
      </c>
    </row>
    <row r="18" customFormat="false" ht="15" hidden="false" customHeight="false" outlineLevel="0" collapsed="false">
      <c r="A18" s="3" t="s">
        <v>284</v>
      </c>
      <c r="B18" s="25" t="s">
        <v>115</v>
      </c>
      <c r="C18" s="8" t="s">
        <v>116</v>
      </c>
      <c r="D18" s="8" t="s">
        <v>153</v>
      </c>
      <c r="E18" s="8" t="s">
        <v>182</v>
      </c>
      <c r="F18" s="19" t="n">
        <v>231.9</v>
      </c>
      <c r="G18" s="33" t="n">
        <f aca="false">F18*0.006477</f>
        <v>1.5020163</v>
      </c>
      <c r="H18" s="19" t="n">
        <f aca="false">F18*1.079436</f>
        <v>250.3212084</v>
      </c>
      <c r="I18" s="18" t="n">
        <f aca="false">MAX(1,ROUNDUP(G18/0.096,0))</f>
        <v>16</v>
      </c>
      <c r="J18" s="31" t="n">
        <v>46420</v>
      </c>
      <c r="K18" s="34" t="n">
        <f aca="false">J18-WEEKDAY(J18,2)+1</f>
        <v>46419</v>
      </c>
      <c r="L18" s="31" t="n">
        <f aca="false">J18</f>
        <v>46420</v>
      </c>
      <c r="M18" s="26" t="n">
        <f aca="false">INDEX(LR_Target,MATCH(B18,LR_Lane,0))</f>
        <v>2</v>
      </c>
      <c r="N18" s="31" t="n">
        <f aca="false">WORKDAY.INTL(L18,M18,INDEX(LR_Code,MATCH(B18,LR_Lane,0)),INDEX(DH_Table,0,MATCH(B18&amp;"*",DH_Head,0)))</f>
        <v>46422</v>
      </c>
      <c r="O18" s="35" t="n">
        <f aca="false">IF(W18&lt;&gt;"",W18,IF(U18="Helmond",IF(COUNTIFS(RC_Lane,B18,RC_Band,E18,RC_Transit,"&lt;&gt;")=0,"",SUMIFS(RC_Transit,RC_Lane,B18,RC_Band,E18)),IF(U18="Other","",IF(INDEX(RS_Transit,MATCH(B18,RS_Lane,0))="","",INDEX(RS_Transit,MATCH(B18,RS_Lane,0))))))</f>
        <v>3</v>
      </c>
      <c r="P18" s="36"/>
      <c r="Q18" s="31" t="n">
        <f aca="false">IF(P18&lt;&gt;"",P18,IF(O18="","",WORKDAY.INTL(L18,ROUNDUP(O18,0),INDEX(LR_Code,MATCH(B18,LR_Lane,0)),INDEX(DH_Table,0,MATCH(B18&amp;"*",DH_Head,0)))))</f>
        <v>46425</v>
      </c>
      <c r="R18" s="37" t="str">
        <f aca="false">IF(Q18="","",IF(Q18&lt;=N18,"Yes","No"))</f>
        <v>No</v>
      </c>
      <c r="S18" s="26" t="n">
        <f aca="false">IF(Q18="","",IF(Q18&lt;=N18,0,NETWORKDAYS.INTL(N18,Q18,INDEX(LR_Code,MATCH(B18,LR_Lane,0)),INDEX(DH_Table,0,MATCH(B18&amp;"*",DH_Head,0)))-1))</f>
        <v>1</v>
      </c>
      <c r="T18" s="4"/>
      <c r="U18" s="25" t="str">
        <f aca="false">IF(V18&lt;&gt;"",V18,IF(IFERROR(INDEX(RS_Flag,MATCH(B18,RS_Lane,0)),"")="Yes",IF(IFERROR(INDEX(RS_Loc,MATCH(B18,RS_Lane,0)),"")="","Regional stock",IFERROR(INDEX(RS_Loc,MATCH(B18,RS_Lane,0)),"")),"Helmond"))</f>
        <v>Helmond</v>
      </c>
      <c r="V18" s="17"/>
      <c r="W18" s="38"/>
      <c r="X18" s="39"/>
      <c r="Y18" s="40" t="n">
        <f aca="false">IF(X18&lt;&gt;"",X18,IF(U18="Helmond",IF(COUNTIFS(RC_Lane,B18,RC_Band,E18,RC_CostPS,"&gt;0")=0,"",SUMIFS(RC_CostPS,RC_Lane,B18,RC_Band,E18)),IF(U18="Other","",IF(INDEX(RS_Rate,MATCH(B18,RS_Lane,0))="","",INDEX(RS_Rate,MATCH(B18,RS_Lane,0))))))</f>
        <v>1338.1094</v>
      </c>
    </row>
    <row r="19" customFormat="false" ht="15" hidden="false" customHeight="false" outlineLevel="0" collapsed="false">
      <c r="A19" s="3" t="s">
        <v>285</v>
      </c>
      <c r="B19" s="25" t="s">
        <v>119</v>
      </c>
      <c r="C19" s="8" t="s">
        <v>120</v>
      </c>
      <c r="D19" s="8" t="s">
        <v>155</v>
      </c>
      <c r="E19" s="8" t="s">
        <v>180</v>
      </c>
      <c r="F19" s="19" t="n">
        <v>45.7</v>
      </c>
      <c r="G19" s="33" t="n">
        <f aca="false">F19*0.006477</f>
        <v>0.2959989</v>
      </c>
      <c r="H19" s="19" t="n">
        <f aca="false">F19*1.079436</f>
        <v>49.3302252</v>
      </c>
      <c r="I19" s="18" t="n">
        <f aca="false">MAX(1,ROUNDUP(G19/0.096,0))</f>
        <v>4</v>
      </c>
      <c r="J19" s="31" t="n">
        <v>46421</v>
      </c>
      <c r="K19" s="34" t="n">
        <f aca="false">J19-WEEKDAY(J19,2)+1</f>
        <v>46419</v>
      </c>
      <c r="L19" s="31" t="n">
        <f aca="false">J19</f>
        <v>46421</v>
      </c>
      <c r="M19" s="26" t="n">
        <f aca="false">INDEX(LR_Target,MATCH(B19,LR_Lane,0))</f>
        <v>3</v>
      </c>
      <c r="N19" s="31" t="n">
        <f aca="false">WORKDAY.INTL(L19,M19,INDEX(LR_Code,MATCH(B19,LR_Lane,0)),INDEX(DH_Table,0,MATCH(B19&amp;"*",DH_Head,0)))</f>
        <v>46426</v>
      </c>
      <c r="O19" s="35" t="n">
        <f aca="false">IF(W19&lt;&gt;"",W19,IF(U19="Helmond",IF(COUNTIFS(RC_Lane,B19,RC_Band,E19,RC_Transit,"&lt;&gt;")=0,"",SUMIFS(RC_Transit,RC_Lane,B19,RC_Band,E19)),IF(U19="Other","",IF(INDEX(RS_Transit,MATCH(B19,RS_Lane,0))="","",INDEX(RS_Transit,MATCH(B19,RS_Lane,0))))))</f>
        <v>2</v>
      </c>
      <c r="P19" s="36"/>
      <c r="Q19" s="31" t="n">
        <f aca="false">IF(P19&lt;&gt;"",P19,IF(O19="","",WORKDAY.INTL(L19,ROUNDUP(O19,0),INDEX(LR_Code,MATCH(B19,LR_Lane,0)),INDEX(DH_Table,0,MATCH(B19&amp;"*",DH_Head,0)))))</f>
        <v>46423</v>
      </c>
      <c r="R19" s="37" t="str">
        <f aca="false">IF(Q19="","",IF(Q19&lt;=N19,"Yes","No"))</f>
        <v>Yes</v>
      </c>
      <c r="S19" s="26" t="n">
        <f aca="false">IF(Q19="","",IF(Q19&lt;=N19,0,NETWORKDAYS.INTL(N19,Q19,INDEX(LR_Code,MATCH(B19,LR_Lane,0)),INDEX(DH_Table,0,MATCH(B19&amp;"*",DH_Head,0)))-1))</f>
        <v>0</v>
      </c>
      <c r="T19" s="4"/>
      <c r="U19" s="25" t="str">
        <f aca="false">IF(V19&lt;&gt;"",V19,IF(IFERROR(INDEX(RS_Flag,MATCH(B19,RS_Lane,0)),"")="Yes",IF(IFERROR(INDEX(RS_Loc,MATCH(B19,RS_Lane,0)),"")="","Regional stock",IFERROR(INDEX(RS_Loc,MATCH(B19,RS_Lane,0)),"")),"Helmond"))</f>
        <v>Helmond</v>
      </c>
      <c r="V19" s="17"/>
      <c r="W19" s="38"/>
      <c r="X19" s="39"/>
      <c r="Y19" s="40" t="n">
        <f aca="false">IF(X19&lt;&gt;"",X19,IF(U19="Helmond",IF(COUNTIFS(RC_Lane,B19,RC_Band,E19,RC_CostPS,"&gt;0")=0,"",SUMIFS(RC_CostPS,RC_Lane,B19,RC_Band,E19)),IF(U19="Other","",IF(INDEX(RS_Rate,MATCH(B19,RS_Lane,0))="","",INDEX(RS_Rate,MATCH(B19,RS_Lane,0))))))</f>
        <v>319.8048</v>
      </c>
    </row>
    <row r="20" customFormat="false" ht="15" hidden="false" customHeight="false" outlineLevel="0" collapsed="false">
      <c r="A20" s="3" t="s">
        <v>286</v>
      </c>
      <c r="B20" s="25" t="s">
        <v>121</v>
      </c>
      <c r="C20" s="8" t="s">
        <v>122</v>
      </c>
      <c r="D20" s="8" t="s">
        <v>287</v>
      </c>
      <c r="E20" s="8" t="s">
        <v>182</v>
      </c>
      <c r="F20" s="19" t="n">
        <v>260.6</v>
      </c>
      <c r="G20" s="33" t="n">
        <f aca="false">F20*0.006477</f>
        <v>1.6879062</v>
      </c>
      <c r="H20" s="19" t="n">
        <f aca="false">F20*1.079436</f>
        <v>281.3010216</v>
      </c>
      <c r="I20" s="18" t="n">
        <f aca="false">MAX(1,ROUNDUP(G20/0.096,0))</f>
        <v>18</v>
      </c>
      <c r="J20" s="31" t="n">
        <v>46421</v>
      </c>
      <c r="K20" s="34" t="n">
        <f aca="false">J20-WEEKDAY(J20,2)+1</f>
        <v>46419</v>
      </c>
      <c r="L20" s="31" t="n">
        <f aca="false">J20</f>
        <v>46421</v>
      </c>
      <c r="M20" s="26" t="n">
        <f aca="false">INDEX(LR_Target,MATCH(B20,LR_Lane,0))</f>
        <v>3</v>
      </c>
      <c r="N20" s="31" t="n">
        <f aca="false">WORKDAY.INTL(L20,M20,INDEX(LR_Code,MATCH(B20,LR_Lane,0)),INDEX(DH_Table,0,MATCH(B20&amp;"*",DH_Head,0)))</f>
        <v>46426</v>
      </c>
      <c r="O20" s="35" t="n">
        <f aca="false">IF(W20&lt;&gt;"",W20,IF(U20="Helmond",IF(COUNTIFS(RC_Lane,B20,RC_Band,E20,RC_Transit,"&lt;&gt;")=0,"",SUMIFS(RC_Transit,RC_Lane,B20,RC_Band,E20)),IF(U20="Other","",IF(INDEX(RS_Transit,MATCH(B20,RS_Lane,0))="","",INDEX(RS_Transit,MATCH(B20,RS_Lane,0))))))</f>
        <v>3</v>
      </c>
      <c r="P20" s="36"/>
      <c r="Q20" s="31" t="n">
        <f aca="false">IF(P20&lt;&gt;"",P20,IF(O20="","",WORKDAY.INTL(L20,ROUNDUP(O20,0),INDEX(LR_Code,MATCH(B20,LR_Lane,0)),INDEX(DH_Table,0,MATCH(B20&amp;"*",DH_Head,0)))))</f>
        <v>46426</v>
      </c>
      <c r="R20" s="37" t="str">
        <f aca="false">IF(Q20="","",IF(Q20&lt;=N20,"Yes","No"))</f>
        <v>Yes</v>
      </c>
      <c r="S20" s="26" t="n">
        <f aca="false">IF(Q20="","",IF(Q20&lt;=N20,0,NETWORKDAYS.INTL(N20,Q20,INDEX(LR_Code,MATCH(B20,LR_Lane,0)),INDEX(DH_Table,0,MATCH(B20&amp;"*",DH_Head,0)))-1))</f>
        <v>0</v>
      </c>
      <c r="T20" s="4"/>
      <c r="U20" s="25" t="str">
        <f aca="false">IF(V20&lt;&gt;"",V20,IF(IFERROR(INDEX(RS_Flag,MATCH(B20,RS_Lane,0)),"")="Yes",IF(IFERROR(INDEX(RS_Loc,MATCH(B20,RS_Lane,0)),"")="","Regional stock",IFERROR(INDEX(RS_Loc,MATCH(B20,RS_Lane,0)),"")),"Helmond"))</f>
        <v>Helmond</v>
      </c>
      <c r="V20" s="17"/>
      <c r="W20" s="38"/>
      <c r="X20" s="39"/>
      <c r="Y20" s="40" t="n">
        <f aca="false">IF(X20&lt;&gt;"",X20,IF(U20="Helmond",IF(COUNTIFS(RC_Lane,B20,RC_Band,E20,RC_CostPS,"&gt;0")=0,"",SUMIFS(RC_CostPS,RC_Lane,B20,RC_Band,E20)),IF(U20="Other","",IF(INDEX(RS_Rate,MATCH(B20,RS_Lane,0))="","",INDEX(RS_Rate,MATCH(B20,RS_Lane,0))))))</f>
        <v>728.0022</v>
      </c>
    </row>
    <row r="21" customFormat="false" ht="15" hidden="false" customHeight="false" outlineLevel="0" collapsed="false">
      <c r="A21" s="3" t="s">
        <v>288</v>
      </c>
      <c r="B21" s="25" t="s">
        <v>129</v>
      </c>
      <c r="C21" s="8" t="s">
        <v>130</v>
      </c>
      <c r="D21" s="8" t="s">
        <v>159</v>
      </c>
      <c r="E21" s="8" t="s">
        <v>178</v>
      </c>
      <c r="F21" s="19" t="n">
        <v>7.8</v>
      </c>
      <c r="G21" s="33" t="n">
        <f aca="false">F21*0.006477</f>
        <v>0.0505206</v>
      </c>
      <c r="H21" s="19" t="n">
        <f aca="false">F21*1.079436</f>
        <v>8.4196008</v>
      </c>
      <c r="I21" s="18" t="n">
        <f aca="false">MAX(1,ROUNDUP(G21/0.096,0))</f>
        <v>1</v>
      </c>
      <c r="J21" s="31" t="n">
        <v>46426</v>
      </c>
      <c r="K21" s="34" t="n">
        <f aca="false">J21-WEEKDAY(J21,2)+1</f>
        <v>46426</v>
      </c>
      <c r="L21" s="31" t="n">
        <f aca="false">J21</f>
        <v>46426</v>
      </c>
      <c r="M21" s="26" t="n">
        <f aca="false">INDEX(LR_Target,MATCH(B21,LR_Lane,0))</f>
        <v>4</v>
      </c>
      <c r="N21" s="31" t="n">
        <f aca="false">WORKDAY.INTL(L21,M21,INDEX(LR_Code,MATCH(B21,LR_Lane,0)),INDEX(DH_Table,0,MATCH(B21&amp;"*",DH_Head,0)))</f>
        <v>46430</v>
      </c>
      <c r="O21" s="35" t="n">
        <f aca="false">IF(W21&lt;&gt;"",W21,IF(U21="Helmond",IF(COUNTIFS(RC_Lane,B21,RC_Band,E21,RC_Transit,"&lt;&gt;")=0,"",SUMIFS(RC_Transit,RC_Lane,B21,RC_Band,E21)),IF(U21="Other","",IF(INDEX(RS_Transit,MATCH(B21,RS_Lane,0))="","",INDEX(RS_Transit,MATCH(B21,RS_Lane,0))))))</f>
        <v>1</v>
      </c>
      <c r="P21" s="36"/>
      <c r="Q21" s="31" t="n">
        <f aca="false">IF(P21&lt;&gt;"",P21,IF(O21="","",WORKDAY.INTL(L21,ROUNDUP(O21,0),INDEX(LR_Code,MATCH(B21,LR_Lane,0)),INDEX(DH_Table,0,MATCH(B21&amp;"*",DH_Head,0)))))</f>
        <v>46427</v>
      </c>
      <c r="R21" s="37" t="str">
        <f aca="false">IF(Q21="","",IF(Q21&lt;=N21,"Yes","No"))</f>
        <v>Yes</v>
      </c>
      <c r="S21" s="26" t="n">
        <f aca="false">IF(Q21="","",IF(Q21&lt;=N21,0,NETWORKDAYS.INTL(N21,Q21,INDEX(LR_Code,MATCH(B21,LR_Lane,0)),INDEX(DH_Table,0,MATCH(B21&amp;"*",DH_Head,0)))-1))</f>
        <v>0</v>
      </c>
      <c r="T21" s="4"/>
      <c r="U21" s="25" t="str">
        <f aca="false">IF(V21&lt;&gt;"",V21,IF(IFERROR(INDEX(RS_Flag,MATCH(B21,RS_Lane,0)),"")="Yes",IF(IFERROR(INDEX(RS_Loc,MATCH(B21,RS_Lane,0)),"")="","Regional stock",IFERROR(INDEX(RS_Loc,MATCH(B21,RS_Lane,0)),"")),"Helmond"))</f>
        <v>Helmond</v>
      </c>
      <c r="V21" s="17"/>
      <c r="W21" s="38"/>
      <c r="X21" s="39"/>
      <c r="Y21" s="40" t="n">
        <f aca="false">IF(X21&lt;&gt;"",X21,IF(U21="Helmond",IF(COUNTIFS(RC_Lane,B21,RC_Band,E21,RC_CostPS,"&gt;0")=0,"",SUMIFS(RC_CostPS,RC_Lane,B21,RC_Band,E21)),IF(U21="Other","",IF(INDEX(RS_Rate,MATCH(B21,RS_Lane,0))="","",INDEX(RS_Rate,MATCH(B21,RS_Lane,0))))))</f>
        <v>76.3</v>
      </c>
    </row>
    <row r="22" customFormat="false" ht="15" hidden="false" customHeight="false" outlineLevel="0" collapsed="false">
      <c r="A22" s="3" t="s">
        <v>289</v>
      </c>
      <c r="B22" s="25" t="s">
        <v>112</v>
      </c>
      <c r="C22" s="8" t="s">
        <v>113</v>
      </c>
      <c r="D22" s="8" t="s">
        <v>152</v>
      </c>
      <c r="E22" s="8" t="s">
        <v>178</v>
      </c>
      <c r="F22" s="19" t="n">
        <v>11.6</v>
      </c>
      <c r="G22" s="33" t="n">
        <f aca="false">F22*0.006477</f>
        <v>0.0751332</v>
      </c>
      <c r="H22" s="19" t="n">
        <f aca="false">F22*1.079436</f>
        <v>12.5214576</v>
      </c>
      <c r="I22" s="18" t="n">
        <f aca="false">MAX(1,ROUNDUP(G22/0.096,0))</f>
        <v>1</v>
      </c>
      <c r="J22" s="31" t="n">
        <v>46427</v>
      </c>
      <c r="K22" s="34" t="n">
        <f aca="false">J22-WEEKDAY(J22,2)+1</f>
        <v>46426</v>
      </c>
      <c r="L22" s="31" t="n">
        <f aca="false">J22</f>
        <v>46427</v>
      </c>
      <c r="M22" s="26" t="n">
        <f aca="false">INDEX(LR_Target,MATCH(B22,LR_Lane,0))</f>
        <v>2</v>
      </c>
      <c r="N22" s="31" t="n">
        <f aca="false">WORKDAY.INTL(L22,M22,INDEX(LR_Code,MATCH(B22,LR_Lane,0)),INDEX(DH_Table,0,MATCH(B22&amp;"*",DH_Head,0)))</f>
        <v>46429</v>
      </c>
      <c r="O22" s="35" t="n">
        <f aca="false">IF(W22&lt;&gt;"",W22,IF(U22="Helmond",IF(COUNTIFS(RC_Lane,B22,RC_Band,E22,RC_Transit,"&lt;&gt;")=0,"",SUMIFS(RC_Transit,RC_Lane,B22,RC_Band,E22)),IF(U22="Other","",IF(INDEX(RS_Transit,MATCH(B22,RS_Lane,0))="","",INDEX(RS_Transit,MATCH(B22,RS_Lane,0))))))</f>
        <v>1</v>
      </c>
      <c r="P22" s="36"/>
      <c r="Q22" s="31" t="n">
        <f aca="false">IF(P22&lt;&gt;"",P22,IF(O22="","",WORKDAY.INTL(L22,ROUNDUP(O22,0),INDEX(LR_Code,MATCH(B22,LR_Lane,0)),INDEX(DH_Table,0,MATCH(B22&amp;"*",DH_Head,0)))))</f>
        <v>46428</v>
      </c>
      <c r="R22" s="37" t="str">
        <f aca="false">IF(Q22="","",IF(Q22&lt;=N22,"Yes","No"))</f>
        <v>Yes</v>
      </c>
      <c r="S22" s="26" t="n">
        <f aca="false">IF(Q22="","",IF(Q22&lt;=N22,0,NETWORKDAYS.INTL(N22,Q22,INDEX(LR_Code,MATCH(B22,LR_Lane,0)),INDEX(DH_Table,0,MATCH(B22&amp;"*",DH_Head,0)))-1))</f>
        <v>0</v>
      </c>
      <c r="T22" s="4"/>
      <c r="U22" s="25" t="str">
        <f aca="false">IF(V22&lt;&gt;"",V22,IF(IFERROR(INDEX(RS_Flag,MATCH(B22,RS_Lane,0)),"")="Yes",IF(IFERROR(INDEX(RS_Loc,MATCH(B22,RS_Lane,0)),"")="","Regional stock",IFERROR(INDEX(RS_Loc,MATCH(B22,RS_Lane,0)),"")),"Helmond"))</f>
        <v>Helmond</v>
      </c>
      <c r="V22" s="17"/>
      <c r="W22" s="38"/>
      <c r="X22" s="39"/>
      <c r="Y22" s="40" t="n">
        <f aca="false">IF(X22&lt;&gt;"",X22,IF(U22="Helmond",IF(COUNTIFS(RC_Lane,B22,RC_Band,E22,RC_CostPS,"&gt;0")=0,"",SUMIFS(RC_CostPS,RC_Lane,B22,RC_Band,E22)),IF(U22="Other","",IF(INDEX(RS_Rate,MATCH(B22,RS_Lane,0))="","",INDEX(RS_Rate,MATCH(B22,RS_Lane,0))))))</f>
        <v>76.3</v>
      </c>
    </row>
    <row r="23" customFormat="false" ht="15" hidden="false" customHeight="false" outlineLevel="0" collapsed="false">
      <c r="A23" s="3" t="s">
        <v>290</v>
      </c>
      <c r="B23" s="25" t="s">
        <v>117</v>
      </c>
      <c r="C23" s="8" t="s">
        <v>118</v>
      </c>
      <c r="D23" s="8" t="s">
        <v>154</v>
      </c>
      <c r="E23" s="8" t="s">
        <v>180</v>
      </c>
      <c r="F23" s="19" t="n">
        <v>45.1</v>
      </c>
      <c r="G23" s="33" t="n">
        <f aca="false">F23*0.006477</f>
        <v>0.2921127</v>
      </c>
      <c r="H23" s="19" t="n">
        <f aca="false">F23*1.079436</f>
        <v>48.6825636</v>
      </c>
      <c r="I23" s="18" t="n">
        <f aca="false">MAX(1,ROUNDUP(G23/0.096,0))</f>
        <v>4</v>
      </c>
      <c r="J23" s="31" t="n">
        <v>46429</v>
      </c>
      <c r="K23" s="34" t="n">
        <f aca="false">J23-WEEKDAY(J23,2)+1</f>
        <v>46426</v>
      </c>
      <c r="L23" s="31" t="n">
        <f aca="false">J23</f>
        <v>46429</v>
      </c>
      <c r="M23" s="26" t="n">
        <f aca="false">INDEX(LR_Target,MATCH(B23,LR_Lane,0))</f>
        <v>2</v>
      </c>
      <c r="N23" s="31" t="n">
        <f aca="false">WORKDAY.INTL(L23,M23,INDEX(LR_Code,MATCH(B23,LR_Lane,0)),INDEX(DH_Table,0,MATCH(B23&amp;"*",DH_Head,0)))</f>
        <v>46433</v>
      </c>
      <c r="O23" s="35" t="n">
        <f aca="false">IF(W23&lt;&gt;"",W23,IF(U23="Helmond",IF(COUNTIFS(RC_Lane,B23,RC_Band,E23,RC_Transit,"&lt;&gt;")=0,"",SUMIFS(RC_Transit,RC_Lane,B23,RC_Band,E23)),IF(U23="Other","",IF(INDEX(RS_Transit,MATCH(B23,RS_Lane,0))="","",INDEX(RS_Transit,MATCH(B23,RS_Lane,0))))))</f>
        <v>2</v>
      </c>
      <c r="P23" s="36"/>
      <c r="Q23" s="31" t="n">
        <f aca="false">IF(P23&lt;&gt;"",P23,IF(O23="","",WORKDAY.INTL(L23,ROUNDUP(O23,0),INDEX(LR_Code,MATCH(B23,LR_Lane,0)),INDEX(DH_Table,0,MATCH(B23&amp;"*",DH_Head,0)))))</f>
        <v>46433</v>
      </c>
      <c r="R23" s="37" t="str">
        <f aca="false">IF(Q23="","",IF(Q23&lt;=N23,"Yes","No"))</f>
        <v>Yes</v>
      </c>
      <c r="S23" s="26" t="n">
        <f aca="false">IF(Q23="","",IF(Q23&lt;=N23,0,NETWORKDAYS.INTL(N23,Q23,INDEX(LR_Code,MATCH(B23,LR_Lane,0)),INDEX(DH_Table,0,MATCH(B23&amp;"*",DH_Head,0)))-1))</f>
        <v>0</v>
      </c>
      <c r="T23" s="4"/>
      <c r="U23" s="25" t="str">
        <f aca="false">IF(V23&lt;&gt;"",V23,IF(IFERROR(INDEX(RS_Flag,MATCH(B23,RS_Lane,0)),"")="Yes",IF(IFERROR(INDEX(RS_Loc,MATCH(B23,RS_Lane,0)),"")="","Regional stock",IFERROR(INDEX(RS_Loc,MATCH(B23,RS_Lane,0)),"")),"Helmond"))</f>
        <v>Helmond</v>
      </c>
      <c r="V23" s="17"/>
      <c r="W23" s="38"/>
      <c r="X23" s="39"/>
      <c r="Y23" s="40" t="n">
        <f aca="false">IF(X23&lt;&gt;"",X23,IF(U23="Helmond",IF(COUNTIFS(RC_Lane,B23,RC_Band,E23,RC_CostPS,"&gt;0")=0,"",SUMIFS(RC_CostPS,RC_Lane,B23,RC_Band,E23)),IF(U23="Other","",IF(INDEX(RS_Rate,MATCH(B23,RS_Lane,0))="","",INDEX(RS_Rate,MATCH(B23,RS_Lane,0))))))</f>
        <v>162.5344</v>
      </c>
    </row>
    <row r="24" customFormat="false" ht="15" hidden="false" customHeight="false" outlineLevel="0" collapsed="false">
      <c r="A24" s="3" t="s">
        <v>291</v>
      </c>
      <c r="B24" s="25" t="s">
        <v>126</v>
      </c>
      <c r="C24" s="8" t="s">
        <v>127</v>
      </c>
      <c r="D24" s="8" t="s">
        <v>158</v>
      </c>
      <c r="E24" s="8" t="s">
        <v>178</v>
      </c>
      <c r="F24" s="19" t="n">
        <v>14.1</v>
      </c>
      <c r="G24" s="33" t="n">
        <f aca="false">F24*0.006477</f>
        <v>0.0913257</v>
      </c>
      <c r="H24" s="19" t="n">
        <f aca="false">F24*1.079436</f>
        <v>15.2200476</v>
      </c>
      <c r="I24" s="18" t="n">
        <f aca="false">MAX(1,ROUNDUP(G24/0.096,0))</f>
        <v>1</v>
      </c>
      <c r="J24" s="31" t="n">
        <v>46434</v>
      </c>
      <c r="K24" s="34" t="n">
        <f aca="false">J24-WEEKDAY(J24,2)+1</f>
        <v>46433</v>
      </c>
      <c r="L24" s="31" t="n">
        <f aca="false">J24</f>
        <v>46434</v>
      </c>
      <c r="M24" s="26" t="n">
        <f aca="false">INDEX(LR_Target,MATCH(B24,LR_Lane,0))</f>
        <v>4</v>
      </c>
      <c r="N24" s="31" t="n">
        <f aca="false">WORKDAY.INTL(L24,M24,INDEX(LR_Code,MATCH(B24,LR_Lane,0)),INDEX(DH_Table,0,MATCH(B24&amp;"*",DH_Head,0)))</f>
        <v>46440</v>
      </c>
      <c r="O24" s="35" t="n">
        <f aca="false">IF(W24&lt;&gt;"",W24,IF(U24="Helmond",IF(COUNTIFS(RC_Lane,B24,RC_Band,E24,RC_Transit,"&lt;&gt;")=0,"",SUMIFS(RC_Transit,RC_Lane,B24,RC_Band,E24)),IF(U24="Other","",IF(INDEX(RS_Transit,MATCH(B24,RS_Lane,0))="","",INDEX(RS_Transit,MATCH(B24,RS_Lane,0))))))</f>
        <v>1</v>
      </c>
      <c r="P24" s="36"/>
      <c r="Q24" s="31" t="n">
        <f aca="false">IF(P24&lt;&gt;"",P24,IF(O24="","",WORKDAY.INTL(L24,ROUNDUP(O24,0),INDEX(LR_Code,MATCH(B24,LR_Lane,0)),INDEX(DH_Table,0,MATCH(B24&amp;"*",DH_Head,0)))))</f>
        <v>46435</v>
      </c>
      <c r="R24" s="37" t="str">
        <f aca="false">IF(Q24="","",IF(Q24&lt;=N24,"Yes","No"))</f>
        <v>Yes</v>
      </c>
      <c r="S24" s="26" t="n">
        <f aca="false">IF(Q24="","",IF(Q24&lt;=N24,0,NETWORKDAYS.INTL(N24,Q24,INDEX(LR_Code,MATCH(B24,LR_Lane,0)),INDEX(DH_Table,0,MATCH(B24&amp;"*",DH_Head,0)))-1))</f>
        <v>0</v>
      </c>
      <c r="T24" s="4"/>
      <c r="U24" s="25" t="str">
        <f aca="false">IF(V24&lt;&gt;"",V24,IF(IFERROR(INDEX(RS_Flag,MATCH(B24,RS_Lane,0)),"")="Yes",IF(IFERROR(INDEX(RS_Loc,MATCH(B24,RS_Lane,0)),"")="","Regional stock",IFERROR(INDEX(RS_Loc,MATCH(B24,RS_Lane,0)),"")),"Helmond"))</f>
        <v>Helmond</v>
      </c>
      <c r="V24" s="17"/>
      <c r="W24" s="38"/>
      <c r="X24" s="39"/>
      <c r="Y24" s="40" t="n">
        <f aca="false">IF(X24&lt;&gt;"",X24,IF(U24="Helmond",IF(COUNTIFS(RC_Lane,B24,RC_Band,E24,RC_CostPS,"&gt;0")=0,"",SUMIFS(RC_CostPS,RC_Lane,B24,RC_Band,E24)),IF(U24="Other","",IF(INDEX(RS_Rate,MATCH(B24,RS_Lane,0))="","",INDEX(RS_Rate,MATCH(B24,RS_Lane,0))))))</f>
        <v>76.3</v>
      </c>
    </row>
    <row r="25" customFormat="false" ht="15" hidden="false" customHeight="false" outlineLevel="0" collapsed="false">
      <c r="A25" s="3" t="s">
        <v>292</v>
      </c>
      <c r="B25" s="25" t="s">
        <v>108</v>
      </c>
      <c r="C25" s="8" t="s">
        <v>109</v>
      </c>
      <c r="D25" s="8" t="s">
        <v>272</v>
      </c>
      <c r="E25" s="8" t="s">
        <v>178</v>
      </c>
      <c r="F25" s="19" t="n">
        <v>7.5</v>
      </c>
      <c r="G25" s="33" t="n">
        <f aca="false">F25*0.006477</f>
        <v>0.0485775</v>
      </c>
      <c r="H25" s="19" t="n">
        <f aca="false">F25*1.079436</f>
        <v>8.09577</v>
      </c>
      <c r="I25" s="18" t="n">
        <f aca="false">MAX(1,ROUNDUP(G25/0.096,0))</f>
        <v>1</v>
      </c>
      <c r="J25" s="31" t="n">
        <v>46435</v>
      </c>
      <c r="K25" s="34" t="n">
        <f aca="false">J25-WEEKDAY(J25,2)+1</f>
        <v>46433</v>
      </c>
      <c r="L25" s="31" t="n">
        <f aca="false">J25</f>
        <v>46435</v>
      </c>
      <c r="M25" s="26" t="n">
        <f aca="false">INDEX(LR_Target,MATCH(B25,LR_Lane,0))</f>
        <v>2</v>
      </c>
      <c r="N25" s="31" t="n">
        <f aca="false">WORKDAY.INTL(L25,M25,INDEX(LR_Code,MATCH(B25,LR_Lane,0)),INDEX(DH_Table,0,MATCH(B25&amp;"*",DH_Head,0)))</f>
        <v>46439</v>
      </c>
      <c r="O25" s="35" t="n">
        <f aca="false">IF(W25&lt;&gt;"",W25,IF(U25="Helmond",IF(COUNTIFS(RC_Lane,B25,RC_Band,E25,RC_Transit,"&lt;&gt;")=0,"",SUMIFS(RC_Transit,RC_Lane,B25,RC_Band,E25)),IF(U25="Other","",IF(INDEX(RS_Transit,MATCH(B25,RS_Lane,0))="","",INDEX(RS_Transit,MATCH(B25,RS_Lane,0))))))</f>
        <v>1</v>
      </c>
      <c r="P25" s="36"/>
      <c r="Q25" s="31" t="n">
        <f aca="false">IF(P25&lt;&gt;"",P25,IF(O25="","",WORKDAY.INTL(L25,ROUNDUP(O25,0),INDEX(LR_Code,MATCH(B25,LR_Lane,0)),INDEX(DH_Table,0,MATCH(B25&amp;"*",DH_Head,0)))))</f>
        <v>46436</v>
      </c>
      <c r="R25" s="37" t="str">
        <f aca="false">IF(Q25="","",IF(Q25&lt;=N25,"Yes","No"))</f>
        <v>Yes</v>
      </c>
      <c r="S25" s="26" t="n">
        <f aca="false">IF(Q25="","",IF(Q25&lt;=N25,0,NETWORKDAYS.INTL(N25,Q25,INDEX(LR_Code,MATCH(B25,LR_Lane,0)),INDEX(DH_Table,0,MATCH(B25&amp;"*",DH_Head,0)))-1))</f>
        <v>0</v>
      </c>
      <c r="T25" s="4"/>
      <c r="U25" s="25" t="str">
        <f aca="false">IF(V25&lt;&gt;"",V25,IF(IFERROR(INDEX(RS_Flag,MATCH(B25,RS_Lane,0)),"")="Yes",IF(IFERROR(INDEX(RS_Loc,MATCH(B25,RS_Lane,0)),"")="","Regional stock",IFERROR(INDEX(RS_Loc,MATCH(B25,RS_Lane,0)),"")),"Helmond"))</f>
        <v>Helmond</v>
      </c>
      <c r="V25" s="17"/>
      <c r="W25" s="38"/>
      <c r="X25" s="39"/>
      <c r="Y25" s="40" t="n">
        <f aca="false">IF(X25&lt;&gt;"",X25,IF(U25="Helmond",IF(COUNTIFS(RC_Lane,B25,RC_Band,E25,RC_CostPS,"&gt;0")=0,"",SUMIFS(RC_CostPS,RC_Lane,B25,RC_Band,E25)),IF(U25="Other","",IF(INDEX(RS_Rate,MATCH(B25,RS_Lane,0))="","",INDEX(RS_Rate,MATCH(B25,RS_Lane,0))))))</f>
        <v>76.3</v>
      </c>
    </row>
    <row r="26" customFormat="false" ht="15" hidden="false" customHeight="false" outlineLevel="0" collapsed="false">
      <c r="A26" s="3" t="s">
        <v>293</v>
      </c>
      <c r="B26" s="25" t="s">
        <v>108</v>
      </c>
      <c r="C26" s="8" t="s">
        <v>109</v>
      </c>
      <c r="D26" s="8" t="s">
        <v>270</v>
      </c>
      <c r="E26" s="8" t="s">
        <v>180</v>
      </c>
      <c r="F26" s="19" t="n">
        <v>41.7</v>
      </c>
      <c r="G26" s="33" t="n">
        <f aca="false">F26*0.006477</f>
        <v>0.2700909</v>
      </c>
      <c r="H26" s="19" t="n">
        <f aca="false">F26*1.079436</f>
        <v>45.0124812</v>
      </c>
      <c r="I26" s="18" t="n">
        <f aca="false">MAX(1,ROUNDUP(G26/0.096,0))</f>
        <v>3</v>
      </c>
      <c r="J26" s="31" t="n">
        <v>46436</v>
      </c>
      <c r="K26" s="34" t="n">
        <f aca="false">J26-WEEKDAY(J26,2)+1</f>
        <v>46433</v>
      </c>
      <c r="L26" s="31" t="n">
        <f aca="false">J26</f>
        <v>46436</v>
      </c>
      <c r="M26" s="26" t="n">
        <f aca="false">INDEX(LR_Target,MATCH(B26,LR_Lane,0))</f>
        <v>2</v>
      </c>
      <c r="N26" s="31" t="n">
        <f aca="false">WORKDAY.INTL(L26,M26,INDEX(LR_Code,MATCH(B26,LR_Lane,0)),INDEX(DH_Table,0,MATCH(B26&amp;"*",DH_Head,0)))</f>
        <v>46441</v>
      </c>
      <c r="O26" s="35" t="n">
        <f aca="false">IF(W26&lt;&gt;"",W26,IF(U26="Helmond",IF(COUNTIFS(RC_Lane,B26,RC_Band,E26,RC_Transit,"&lt;&gt;")=0,"",SUMIFS(RC_Transit,RC_Lane,B26,RC_Band,E26)),IF(U26="Other","",IF(INDEX(RS_Transit,MATCH(B26,RS_Lane,0))="","",INDEX(RS_Transit,MATCH(B26,RS_Lane,0))))))</f>
        <v>2</v>
      </c>
      <c r="P26" s="36"/>
      <c r="Q26" s="31" t="n">
        <f aca="false">IF(P26&lt;&gt;"",P26,IF(O26="","",WORKDAY.INTL(L26,ROUNDUP(O26,0),INDEX(LR_Code,MATCH(B26,LR_Lane,0)),INDEX(DH_Table,0,MATCH(B26&amp;"*",DH_Head,0)))))</f>
        <v>46441</v>
      </c>
      <c r="R26" s="37" t="str">
        <f aca="false">IF(Q26="","",IF(Q26&lt;=N26,"Yes","No"))</f>
        <v>Yes</v>
      </c>
      <c r="S26" s="26" t="n">
        <f aca="false">IF(Q26="","",IF(Q26&lt;=N26,0,NETWORKDAYS.INTL(N26,Q26,INDEX(LR_Code,MATCH(B26,LR_Lane,0)),INDEX(DH_Table,0,MATCH(B26&amp;"*",DH_Head,0)))-1))</f>
        <v>0</v>
      </c>
      <c r="T26" s="4"/>
      <c r="U26" s="25" t="str">
        <f aca="false">IF(V26&lt;&gt;"",V26,IF(IFERROR(INDEX(RS_Flag,MATCH(B26,RS_Lane,0)),"")="Yes",IF(IFERROR(INDEX(RS_Loc,MATCH(B26,RS_Lane,0)),"")="","Regional stock",IFERROR(INDEX(RS_Loc,MATCH(B26,RS_Lane,0)),"")),"Helmond"))</f>
        <v>Helmond</v>
      </c>
      <c r="V26" s="17"/>
      <c r="W26" s="38"/>
      <c r="X26" s="39"/>
      <c r="Y26" s="40" t="n">
        <f aca="false">IF(X26&lt;&gt;"",X26,IF(U26="Helmond",IF(COUNTIFS(RC_Lane,B26,RC_Band,E26,RC_CostPS,"&gt;0")=0,"",SUMIFS(RC_CostPS,RC_Lane,B26,RC_Band,E26)),IF(U26="Other","",IF(INDEX(RS_Rate,MATCH(B26,RS_Lane,0))="","",INDEX(RS_Rate,MATCH(B26,RS_Lane,0))))))</f>
        <v>299.9808</v>
      </c>
    </row>
    <row r="27" customFormat="false" ht="15" hidden="false" customHeight="false" outlineLevel="0" collapsed="false">
      <c r="A27" s="3" t="s">
        <v>294</v>
      </c>
      <c r="B27" s="25" t="s">
        <v>108</v>
      </c>
      <c r="C27" s="8" t="s">
        <v>109</v>
      </c>
      <c r="D27" s="8" t="s">
        <v>272</v>
      </c>
      <c r="E27" s="8" t="s">
        <v>185</v>
      </c>
      <c r="F27" s="19" t="n">
        <v>2134.8</v>
      </c>
      <c r="G27" s="33" t="n">
        <f aca="false">F27*0.006477</f>
        <v>13.8270996</v>
      </c>
      <c r="H27" s="19" t="n">
        <f aca="false">F27*1.079436</f>
        <v>2304.3799728</v>
      </c>
      <c r="I27" s="18" t="n">
        <f aca="false">MAX(1,ROUNDUP(G27/0.096,0))</f>
        <v>145</v>
      </c>
      <c r="J27" s="31" t="n">
        <v>46437</v>
      </c>
      <c r="K27" s="34" t="n">
        <f aca="false">J27-WEEKDAY(J27,2)+1</f>
        <v>46433</v>
      </c>
      <c r="L27" s="31" t="n">
        <f aca="false">J27</f>
        <v>46437</v>
      </c>
      <c r="M27" s="26" t="n">
        <f aca="false">INDEX(LR_Target,MATCH(B27,LR_Lane,0))</f>
        <v>2</v>
      </c>
      <c r="N27" s="31" t="n">
        <f aca="false">WORKDAY.INTL(L27,M27,INDEX(LR_Code,MATCH(B27,LR_Lane,0)),INDEX(DH_Table,0,MATCH(B27&amp;"*",DH_Head,0)))</f>
        <v>46441</v>
      </c>
      <c r="O27" s="35" t="n">
        <f aca="false">IF(W27&lt;&gt;"",W27,IF(U27="Helmond",IF(COUNTIFS(RC_Lane,B27,RC_Band,E27,RC_Transit,"&lt;&gt;")=0,"",SUMIFS(RC_Transit,RC_Lane,B27,RC_Band,E27)),IF(U27="Other","",IF(INDEX(RS_Transit,MATCH(B27,RS_Lane,0))="","",INDEX(RS_Transit,MATCH(B27,RS_Lane,0))))))</f>
        <v>6</v>
      </c>
      <c r="P27" s="36"/>
      <c r="Q27" s="31" t="n">
        <f aca="false">IF(P27&lt;&gt;"",P27,IF(O27="","",WORKDAY.INTL(L27,ROUNDUP(O27,0),INDEX(LR_Code,MATCH(B27,LR_Lane,0)),INDEX(DH_Table,0,MATCH(B27&amp;"*",DH_Head,0)))))</f>
        <v>46447</v>
      </c>
      <c r="R27" s="37" t="str">
        <f aca="false">IF(Q27="","",IF(Q27&lt;=N27,"Yes","No"))</f>
        <v>No</v>
      </c>
      <c r="S27" s="26" t="n">
        <f aca="false">IF(Q27="","",IF(Q27&lt;=N27,0,NETWORKDAYS.INTL(N27,Q27,INDEX(LR_Code,MATCH(B27,LR_Lane,0)),INDEX(DH_Table,0,MATCH(B27&amp;"*",DH_Head,0)))-1))</f>
        <v>4</v>
      </c>
      <c r="T27" s="4"/>
      <c r="U27" s="25" t="str">
        <f aca="false">IF(V27&lt;&gt;"",V27,IF(IFERROR(INDEX(RS_Flag,MATCH(B27,RS_Lane,0)),"")="Yes",IF(IFERROR(INDEX(RS_Loc,MATCH(B27,RS_Lane,0)),"")="","Regional stock",IFERROR(INDEX(RS_Loc,MATCH(B27,RS_Lane,0)),"")),"Helmond"))</f>
        <v>Helmond</v>
      </c>
      <c r="V27" s="17"/>
      <c r="W27" s="38"/>
      <c r="X27" s="39"/>
      <c r="Y27" s="40" t="n">
        <f aca="false">IF(X27&lt;&gt;"",X27,IF(U27="Helmond",IF(COUNTIFS(RC_Lane,B27,RC_Band,E27,RC_CostPS,"&gt;0")=0,"",SUMIFS(RC_CostPS,RC_Lane,B27,RC_Band,E27)),IF(U27="Other","",IF(INDEX(RS_Rate,MATCH(B27,RS_Lane,0))="","",INDEX(RS_Rate,MATCH(B27,RS_Lane,0))))))</f>
        <v>9432.402</v>
      </c>
    </row>
    <row r="28" customFormat="false" ht="15" hidden="false" customHeight="false" outlineLevel="0" collapsed="false">
      <c r="A28" s="3" t="s">
        <v>295</v>
      </c>
      <c r="B28" s="25" t="s">
        <v>108</v>
      </c>
      <c r="C28" s="8" t="s">
        <v>109</v>
      </c>
      <c r="D28" s="8" t="s">
        <v>270</v>
      </c>
      <c r="E28" s="8" t="s">
        <v>183</v>
      </c>
      <c r="F28" s="19" t="n">
        <v>844.7</v>
      </c>
      <c r="G28" s="33" t="n">
        <f aca="false">F28*0.006477</f>
        <v>5.4711219</v>
      </c>
      <c r="H28" s="19" t="n">
        <f aca="false">F28*1.079436</f>
        <v>911.7995892</v>
      </c>
      <c r="I28" s="18" t="n">
        <f aca="false">MAX(1,ROUNDUP(G28/0.096,0))</f>
        <v>57</v>
      </c>
      <c r="J28" s="31" t="n">
        <v>46440</v>
      </c>
      <c r="K28" s="34" t="n">
        <f aca="false">J28-WEEKDAY(J28,2)+1</f>
        <v>46440</v>
      </c>
      <c r="L28" s="31" t="n">
        <f aca="false">J28</f>
        <v>46440</v>
      </c>
      <c r="M28" s="26" t="n">
        <f aca="false">INDEX(LR_Target,MATCH(B28,LR_Lane,0))</f>
        <v>2</v>
      </c>
      <c r="N28" s="31" t="n">
        <f aca="false">WORKDAY.INTL(L28,M28,INDEX(LR_Code,MATCH(B28,LR_Lane,0)),INDEX(DH_Table,0,MATCH(B28&amp;"*",DH_Head,0)))</f>
        <v>46442</v>
      </c>
      <c r="O28" s="35" t="n">
        <f aca="false">IF(W28&lt;&gt;"",W28,IF(U28="Helmond",IF(COUNTIFS(RC_Lane,B28,RC_Band,E28,RC_Transit,"&lt;&gt;")=0,"",SUMIFS(RC_Transit,RC_Lane,B28,RC_Band,E28)),IF(U28="Other","",IF(INDEX(RS_Transit,MATCH(B28,RS_Lane,0))="","",INDEX(RS_Transit,MATCH(B28,RS_Lane,0))))))</f>
        <v>4</v>
      </c>
      <c r="P28" s="36"/>
      <c r="Q28" s="31" t="n">
        <f aca="false">IF(P28&lt;&gt;"",P28,IF(O28="","",WORKDAY.INTL(L28,ROUNDUP(O28,0),INDEX(LR_Code,MATCH(B28,LR_Lane,0)),INDEX(DH_Table,0,MATCH(B28&amp;"*",DH_Head,0)))))</f>
        <v>46446</v>
      </c>
      <c r="R28" s="37" t="str">
        <f aca="false">IF(Q28="","",IF(Q28&lt;=N28,"Yes","No"))</f>
        <v>No</v>
      </c>
      <c r="S28" s="26" t="n">
        <f aca="false">IF(Q28="","",IF(Q28&lt;=N28,0,NETWORKDAYS.INTL(N28,Q28,INDEX(LR_Code,MATCH(B28,LR_Lane,0)),INDEX(DH_Table,0,MATCH(B28&amp;"*",DH_Head,0)))-1))</f>
        <v>2</v>
      </c>
      <c r="T28" s="4"/>
      <c r="U28" s="25" t="str">
        <f aca="false">IF(V28&lt;&gt;"",V28,IF(IFERROR(INDEX(RS_Flag,MATCH(B28,RS_Lane,0)),"")="Yes",IF(IFERROR(INDEX(RS_Loc,MATCH(B28,RS_Lane,0)),"")="","Regional stock",IFERROR(INDEX(RS_Loc,MATCH(B28,RS_Lane,0)),"")),"Helmond"))</f>
        <v>Helmond</v>
      </c>
      <c r="V28" s="17"/>
      <c r="W28" s="38"/>
      <c r="X28" s="39"/>
      <c r="Y28" s="40" t="n">
        <f aca="false">IF(X28&lt;&gt;"",X28,IF(U28="Helmond",IF(COUNTIFS(RC_Lane,B28,RC_Band,E28,RC_CostPS,"&gt;0")=0,"",SUMIFS(RC_CostPS,RC_Lane,B28,RC_Band,E28)),IF(U28="Other","",IF(INDEX(RS_Rate,MATCH(B28,RS_Lane,0))="","",INDEX(RS_Rate,MATCH(B28,RS_Lane,0))))))</f>
        <v>3212.032</v>
      </c>
    </row>
    <row r="29" customFormat="false" ht="15" hidden="false" customHeight="false" outlineLevel="0" collapsed="false">
      <c r="A29" s="3" t="s">
        <v>296</v>
      </c>
      <c r="B29" s="25" t="s">
        <v>112</v>
      </c>
      <c r="C29" s="8" t="s">
        <v>113</v>
      </c>
      <c r="D29" s="8" t="s">
        <v>152</v>
      </c>
      <c r="E29" s="8" t="s">
        <v>178</v>
      </c>
      <c r="F29" s="19" t="n">
        <v>3.1</v>
      </c>
      <c r="G29" s="33" t="n">
        <f aca="false">F29*0.006477</f>
        <v>0.0200787</v>
      </c>
      <c r="H29" s="19" t="n">
        <f aca="false">F29*1.079436</f>
        <v>3.3462516</v>
      </c>
      <c r="I29" s="18" t="n">
        <f aca="false">MAX(1,ROUNDUP(G29/0.096,0))</f>
        <v>1</v>
      </c>
      <c r="J29" s="31" t="n">
        <v>46443</v>
      </c>
      <c r="K29" s="34" t="n">
        <f aca="false">J29-WEEKDAY(J29,2)+1</f>
        <v>46440</v>
      </c>
      <c r="L29" s="31" t="n">
        <f aca="false">J29</f>
        <v>46443</v>
      </c>
      <c r="M29" s="26" t="n">
        <f aca="false">INDEX(LR_Target,MATCH(B29,LR_Lane,0))</f>
        <v>2</v>
      </c>
      <c r="N29" s="31" t="n">
        <f aca="false">WORKDAY.INTL(L29,M29,INDEX(LR_Code,MATCH(B29,LR_Lane,0)),INDEX(DH_Table,0,MATCH(B29&amp;"*",DH_Head,0)))</f>
        <v>46447</v>
      </c>
      <c r="O29" s="35" t="n">
        <f aca="false">IF(W29&lt;&gt;"",W29,IF(U29="Helmond",IF(COUNTIFS(RC_Lane,B29,RC_Band,E29,RC_Transit,"&lt;&gt;")=0,"",SUMIFS(RC_Transit,RC_Lane,B29,RC_Band,E29)),IF(U29="Other","",IF(INDEX(RS_Transit,MATCH(B29,RS_Lane,0))="","",INDEX(RS_Transit,MATCH(B29,RS_Lane,0))))))</f>
        <v>1</v>
      </c>
      <c r="P29" s="36"/>
      <c r="Q29" s="31" t="n">
        <f aca="false">IF(P29&lt;&gt;"",P29,IF(O29="","",WORKDAY.INTL(L29,ROUNDUP(O29,0),INDEX(LR_Code,MATCH(B29,LR_Lane,0)),INDEX(DH_Table,0,MATCH(B29&amp;"*",DH_Head,0)))))</f>
        <v>46444</v>
      </c>
      <c r="R29" s="37" t="str">
        <f aca="false">IF(Q29="","",IF(Q29&lt;=N29,"Yes","No"))</f>
        <v>Yes</v>
      </c>
      <c r="S29" s="26" t="n">
        <f aca="false">IF(Q29="","",IF(Q29&lt;=N29,0,NETWORKDAYS.INTL(N29,Q29,INDEX(LR_Code,MATCH(B29,LR_Lane,0)),INDEX(DH_Table,0,MATCH(B29&amp;"*",DH_Head,0)))-1))</f>
        <v>0</v>
      </c>
      <c r="T29" s="4"/>
      <c r="U29" s="25" t="str">
        <f aca="false">IF(V29&lt;&gt;"",V29,IF(IFERROR(INDEX(RS_Flag,MATCH(B29,RS_Lane,0)),"")="Yes",IF(IFERROR(INDEX(RS_Loc,MATCH(B29,RS_Lane,0)),"")="","Regional stock",IFERROR(INDEX(RS_Loc,MATCH(B29,RS_Lane,0)),"")),"Helmond"))</f>
        <v>Helmond</v>
      </c>
      <c r="V29" s="17"/>
      <c r="W29" s="38"/>
      <c r="X29" s="39"/>
      <c r="Y29" s="40" t="n">
        <f aca="false">IF(X29&lt;&gt;"",X29,IF(U29="Helmond",IF(COUNTIFS(RC_Lane,B29,RC_Band,E29,RC_CostPS,"&gt;0")=0,"",SUMIFS(RC_CostPS,RC_Lane,B29,RC_Band,E29)),IF(U29="Other","",IF(INDEX(RS_Rate,MATCH(B29,RS_Lane,0))="","",INDEX(RS_Rate,MATCH(B29,RS_Lane,0))))))</f>
        <v>76.3</v>
      </c>
    </row>
    <row r="30" customFormat="false" ht="15" hidden="false" customHeight="false" outlineLevel="0" collapsed="false">
      <c r="A30" s="3" t="s">
        <v>297</v>
      </c>
      <c r="B30" s="25" t="s">
        <v>112</v>
      </c>
      <c r="C30" s="8" t="s">
        <v>113</v>
      </c>
      <c r="D30" s="8" t="s">
        <v>152</v>
      </c>
      <c r="E30" s="8" t="s">
        <v>178</v>
      </c>
      <c r="F30" s="19" t="n">
        <v>5.4</v>
      </c>
      <c r="G30" s="33" t="n">
        <f aca="false">F30*0.006477</f>
        <v>0.0349758</v>
      </c>
      <c r="H30" s="19" t="n">
        <f aca="false">F30*1.079436</f>
        <v>5.8289544</v>
      </c>
      <c r="I30" s="18" t="n">
        <f aca="false">MAX(1,ROUNDUP(G30/0.096,0))</f>
        <v>1</v>
      </c>
      <c r="J30" s="31" t="n">
        <v>46444</v>
      </c>
      <c r="K30" s="34" t="n">
        <f aca="false">J30-WEEKDAY(J30,2)+1</f>
        <v>46440</v>
      </c>
      <c r="L30" s="31" t="n">
        <f aca="false">J30</f>
        <v>46444</v>
      </c>
      <c r="M30" s="26" t="n">
        <f aca="false">INDEX(LR_Target,MATCH(B30,LR_Lane,0))</f>
        <v>2</v>
      </c>
      <c r="N30" s="31" t="n">
        <f aca="false">WORKDAY.INTL(L30,M30,INDEX(LR_Code,MATCH(B30,LR_Lane,0)),INDEX(DH_Table,0,MATCH(B30&amp;"*",DH_Head,0)))</f>
        <v>46448</v>
      </c>
      <c r="O30" s="35" t="n">
        <f aca="false">IF(W30&lt;&gt;"",W30,IF(U30="Helmond",IF(COUNTIFS(RC_Lane,B30,RC_Band,E30,RC_Transit,"&lt;&gt;")=0,"",SUMIFS(RC_Transit,RC_Lane,B30,RC_Band,E30)),IF(U30="Other","",IF(INDEX(RS_Transit,MATCH(B30,RS_Lane,0))="","",INDEX(RS_Transit,MATCH(B30,RS_Lane,0))))))</f>
        <v>1</v>
      </c>
      <c r="P30" s="36"/>
      <c r="Q30" s="31" t="n">
        <f aca="false">IF(P30&lt;&gt;"",P30,IF(O30="","",WORKDAY.INTL(L30,ROUNDUP(O30,0),INDEX(LR_Code,MATCH(B30,LR_Lane,0)),INDEX(DH_Table,0,MATCH(B30&amp;"*",DH_Head,0)))))</f>
        <v>46447</v>
      </c>
      <c r="R30" s="37" t="str">
        <f aca="false">IF(Q30="","",IF(Q30&lt;=N30,"Yes","No"))</f>
        <v>Yes</v>
      </c>
      <c r="S30" s="26" t="n">
        <f aca="false">IF(Q30="","",IF(Q30&lt;=N30,0,NETWORKDAYS.INTL(N30,Q30,INDEX(LR_Code,MATCH(B30,LR_Lane,0)),INDEX(DH_Table,0,MATCH(B30&amp;"*",DH_Head,0)))-1))</f>
        <v>0</v>
      </c>
      <c r="T30" s="4"/>
      <c r="U30" s="25" t="str">
        <f aca="false">IF(V30&lt;&gt;"",V30,IF(IFERROR(INDEX(RS_Flag,MATCH(B30,RS_Lane,0)),"")="Yes",IF(IFERROR(INDEX(RS_Loc,MATCH(B30,RS_Lane,0)),"")="","Regional stock",IFERROR(INDEX(RS_Loc,MATCH(B30,RS_Lane,0)),"")),"Helmond"))</f>
        <v>Helmond</v>
      </c>
      <c r="V30" s="17"/>
      <c r="W30" s="38"/>
      <c r="X30" s="39"/>
      <c r="Y30" s="40" t="n">
        <f aca="false">IF(X30&lt;&gt;"",X30,IF(U30="Helmond",IF(COUNTIFS(RC_Lane,B30,RC_Band,E30,RC_CostPS,"&gt;0")=0,"",SUMIFS(RC_CostPS,RC_Lane,B30,RC_Band,E30)),IF(U30="Other","",IF(INDEX(RS_Rate,MATCH(B30,RS_Lane,0))="","",INDEX(RS_Rate,MATCH(B30,RS_Lane,0))))))</f>
        <v>76.3</v>
      </c>
    </row>
    <row r="31" customFormat="false" ht="15" hidden="false" customHeight="false" outlineLevel="0" collapsed="false">
      <c r="A31" s="3" t="s">
        <v>298</v>
      </c>
      <c r="B31" s="25" t="s">
        <v>108</v>
      </c>
      <c r="C31" s="8" t="s">
        <v>109</v>
      </c>
      <c r="D31" s="8" t="s">
        <v>272</v>
      </c>
      <c r="E31" s="8" t="s">
        <v>178</v>
      </c>
      <c r="F31" s="19" t="n">
        <v>12.6</v>
      </c>
      <c r="G31" s="33" t="n">
        <f aca="false">F31*0.006477</f>
        <v>0.0816102</v>
      </c>
      <c r="H31" s="19" t="n">
        <f aca="false">F31*1.079436</f>
        <v>13.6008936</v>
      </c>
      <c r="I31" s="18" t="n">
        <f aca="false">MAX(1,ROUNDUP(G31/0.096,0))</f>
        <v>1</v>
      </c>
      <c r="J31" s="31" t="n">
        <v>46447</v>
      </c>
      <c r="K31" s="34" t="n">
        <f aca="false">J31-WEEKDAY(J31,2)+1</f>
        <v>46447</v>
      </c>
      <c r="L31" s="31" t="n">
        <f aca="false">J31</f>
        <v>46447</v>
      </c>
      <c r="M31" s="26" t="n">
        <f aca="false">INDEX(LR_Target,MATCH(B31,LR_Lane,0))</f>
        <v>2</v>
      </c>
      <c r="N31" s="31" t="n">
        <f aca="false">WORKDAY.INTL(L31,M31,INDEX(LR_Code,MATCH(B31,LR_Lane,0)),INDEX(DH_Table,0,MATCH(B31&amp;"*",DH_Head,0)))</f>
        <v>46449</v>
      </c>
      <c r="O31" s="35" t="n">
        <f aca="false">IF(W31&lt;&gt;"",W31,IF(U31="Helmond",IF(COUNTIFS(RC_Lane,B31,RC_Band,E31,RC_Transit,"&lt;&gt;")=0,"",SUMIFS(RC_Transit,RC_Lane,B31,RC_Band,E31)),IF(U31="Other","",IF(INDEX(RS_Transit,MATCH(B31,RS_Lane,0))="","",INDEX(RS_Transit,MATCH(B31,RS_Lane,0))))))</f>
        <v>1</v>
      </c>
      <c r="P31" s="36"/>
      <c r="Q31" s="31" t="n">
        <f aca="false">IF(P31&lt;&gt;"",P31,IF(O31="","",WORKDAY.INTL(L31,ROUNDUP(O31,0),INDEX(LR_Code,MATCH(B31,LR_Lane,0)),INDEX(DH_Table,0,MATCH(B31&amp;"*",DH_Head,0)))))</f>
        <v>46448</v>
      </c>
      <c r="R31" s="37" t="str">
        <f aca="false">IF(Q31="","",IF(Q31&lt;=N31,"Yes","No"))</f>
        <v>Yes</v>
      </c>
      <c r="S31" s="26" t="n">
        <f aca="false">IF(Q31="","",IF(Q31&lt;=N31,0,NETWORKDAYS.INTL(N31,Q31,INDEX(LR_Code,MATCH(B31,LR_Lane,0)),INDEX(DH_Table,0,MATCH(B31&amp;"*",DH_Head,0)))-1))</f>
        <v>0</v>
      </c>
      <c r="T31" s="4"/>
      <c r="U31" s="25" t="str">
        <f aca="false">IF(V31&lt;&gt;"",V31,IF(IFERROR(INDEX(RS_Flag,MATCH(B31,RS_Lane,0)),"")="Yes",IF(IFERROR(INDEX(RS_Loc,MATCH(B31,RS_Lane,0)),"")="","Regional stock",IFERROR(INDEX(RS_Loc,MATCH(B31,RS_Lane,0)),"")),"Helmond"))</f>
        <v>Helmond</v>
      </c>
      <c r="V31" s="17"/>
      <c r="W31" s="38"/>
      <c r="X31" s="39"/>
      <c r="Y31" s="40" t="n">
        <f aca="false">IF(X31&lt;&gt;"",X31,IF(U31="Helmond",IF(COUNTIFS(RC_Lane,B31,RC_Band,E31,RC_CostPS,"&gt;0")=0,"",SUMIFS(RC_CostPS,RC_Lane,B31,RC_Band,E31)),IF(U31="Other","",IF(INDEX(RS_Rate,MATCH(B31,RS_Lane,0))="","",INDEX(RS_Rate,MATCH(B31,RS_Lane,0))))))</f>
        <v>76.3</v>
      </c>
    </row>
    <row r="32" customFormat="false" ht="15" hidden="false" customHeight="false" outlineLevel="0" collapsed="false">
      <c r="A32" s="3" t="s">
        <v>299</v>
      </c>
      <c r="B32" s="25" t="s">
        <v>121</v>
      </c>
      <c r="C32" s="8" t="s">
        <v>122</v>
      </c>
      <c r="D32" s="8" t="s">
        <v>278</v>
      </c>
      <c r="E32" s="8" t="s">
        <v>178</v>
      </c>
      <c r="F32" s="19" t="n">
        <v>5</v>
      </c>
      <c r="G32" s="33" t="n">
        <f aca="false">F32*0.006477</f>
        <v>0.032385</v>
      </c>
      <c r="H32" s="19" t="n">
        <f aca="false">F32*1.079436</f>
        <v>5.39718</v>
      </c>
      <c r="I32" s="18" t="n">
        <f aca="false">MAX(1,ROUNDUP(G32/0.096,0))</f>
        <v>1</v>
      </c>
      <c r="J32" s="31" t="n">
        <v>46461</v>
      </c>
      <c r="K32" s="34" t="n">
        <f aca="false">J32-WEEKDAY(J32,2)+1</f>
        <v>46461</v>
      </c>
      <c r="L32" s="31" t="n">
        <f aca="false">J32</f>
        <v>46461</v>
      </c>
      <c r="M32" s="26" t="n">
        <f aca="false">INDEX(LR_Target,MATCH(B32,LR_Lane,0))</f>
        <v>3</v>
      </c>
      <c r="N32" s="31" t="n">
        <f aca="false">WORKDAY.INTL(L32,M32,INDEX(LR_Code,MATCH(B32,LR_Lane,0)),INDEX(DH_Table,0,MATCH(B32&amp;"*",DH_Head,0)))</f>
        <v>46464</v>
      </c>
      <c r="O32" s="35" t="n">
        <f aca="false">IF(W32&lt;&gt;"",W32,IF(U32="Helmond",IF(COUNTIFS(RC_Lane,B32,RC_Band,E32,RC_Transit,"&lt;&gt;")=0,"",SUMIFS(RC_Transit,RC_Lane,B32,RC_Band,E32)),IF(U32="Other","",IF(INDEX(RS_Transit,MATCH(B32,RS_Lane,0))="","",INDEX(RS_Transit,MATCH(B32,RS_Lane,0))))))</f>
        <v>1</v>
      </c>
      <c r="P32" s="36"/>
      <c r="Q32" s="31" t="n">
        <f aca="false">IF(P32&lt;&gt;"",P32,IF(O32="","",WORKDAY.INTL(L32,ROUNDUP(O32,0),INDEX(LR_Code,MATCH(B32,LR_Lane,0)),INDEX(DH_Table,0,MATCH(B32&amp;"*",DH_Head,0)))))</f>
        <v>46462</v>
      </c>
      <c r="R32" s="37" t="str">
        <f aca="false">IF(Q32="","",IF(Q32&lt;=N32,"Yes","No"))</f>
        <v>Yes</v>
      </c>
      <c r="S32" s="26" t="n">
        <f aca="false">IF(Q32="","",IF(Q32&lt;=N32,0,NETWORKDAYS.INTL(N32,Q32,INDEX(LR_Code,MATCH(B32,LR_Lane,0)),INDEX(DH_Table,0,MATCH(B32&amp;"*",DH_Head,0)))-1))</f>
        <v>0</v>
      </c>
      <c r="T32" s="4"/>
      <c r="U32" s="25" t="str">
        <f aca="false">IF(V32&lt;&gt;"",V32,IF(IFERROR(INDEX(RS_Flag,MATCH(B32,RS_Lane,0)),"")="Yes",IF(IFERROR(INDEX(RS_Loc,MATCH(B32,RS_Lane,0)),"")="","Regional stock",IFERROR(INDEX(RS_Loc,MATCH(B32,RS_Lane,0)),"")),"Helmond"))</f>
        <v>Helmond</v>
      </c>
      <c r="V32" s="17"/>
      <c r="W32" s="38"/>
      <c r="X32" s="39"/>
      <c r="Y32" s="40" t="n">
        <f aca="false">IF(X32&lt;&gt;"",X32,IF(U32="Helmond",IF(COUNTIFS(RC_Lane,B32,RC_Band,E32,RC_CostPS,"&gt;0")=0,"",SUMIFS(RC_CostPS,RC_Lane,B32,RC_Band,E32)),IF(U32="Other","",IF(INDEX(RS_Rate,MATCH(B32,RS_Lane,0))="","",INDEX(RS_Rate,MATCH(B32,RS_Lane,0))))))</f>
        <v>76.3</v>
      </c>
    </row>
    <row r="33" customFormat="false" ht="15" hidden="false" customHeight="false" outlineLevel="0" collapsed="false">
      <c r="A33" s="3" t="s">
        <v>300</v>
      </c>
      <c r="B33" s="25" t="s">
        <v>112</v>
      </c>
      <c r="C33" s="8" t="s">
        <v>113</v>
      </c>
      <c r="D33" s="8" t="s">
        <v>152</v>
      </c>
      <c r="E33" s="8" t="s">
        <v>178</v>
      </c>
      <c r="F33" s="19" t="n">
        <v>6.4</v>
      </c>
      <c r="G33" s="33" t="n">
        <f aca="false">F33*0.006477</f>
        <v>0.0414528</v>
      </c>
      <c r="H33" s="19" t="n">
        <f aca="false">F33*1.079436</f>
        <v>6.9083904</v>
      </c>
      <c r="I33" s="18" t="n">
        <f aca="false">MAX(1,ROUNDUP(G33/0.096,0))</f>
        <v>1</v>
      </c>
      <c r="J33" s="31" t="n">
        <v>46463</v>
      </c>
      <c r="K33" s="34" t="n">
        <f aca="false">J33-WEEKDAY(J33,2)+1</f>
        <v>46461</v>
      </c>
      <c r="L33" s="31" t="n">
        <f aca="false">J33</f>
        <v>46463</v>
      </c>
      <c r="M33" s="26" t="n">
        <f aca="false">INDEX(LR_Target,MATCH(B33,LR_Lane,0))</f>
        <v>2</v>
      </c>
      <c r="N33" s="31" t="n">
        <f aca="false">WORKDAY.INTL(L33,M33,INDEX(LR_Code,MATCH(B33,LR_Lane,0)),INDEX(DH_Table,0,MATCH(B33&amp;"*",DH_Head,0)))</f>
        <v>46465</v>
      </c>
      <c r="O33" s="35" t="n">
        <f aca="false">IF(W33&lt;&gt;"",W33,IF(U33="Helmond",IF(COUNTIFS(RC_Lane,B33,RC_Band,E33,RC_Transit,"&lt;&gt;")=0,"",SUMIFS(RC_Transit,RC_Lane,B33,RC_Band,E33)),IF(U33="Other","",IF(INDEX(RS_Transit,MATCH(B33,RS_Lane,0))="","",INDEX(RS_Transit,MATCH(B33,RS_Lane,0))))))</f>
        <v>1</v>
      </c>
      <c r="P33" s="36"/>
      <c r="Q33" s="31" t="n">
        <f aca="false">IF(P33&lt;&gt;"",P33,IF(O33="","",WORKDAY.INTL(L33,ROUNDUP(O33,0),INDEX(LR_Code,MATCH(B33,LR_Lane,0)),INDEX(DH_Table,0,MATCH(B33&amp;"*",DH_Head,0)))))</f>
        <v>46464</v>
      </c>
      <c r="R33" s="37" t="str">
        <f aca="false">IF(Q33="","",IF(Q33&lt;=N33,"Yes","No"))</f>
        <v>Yes</v>
      </c>
      <c r="S33" s="26" t="n">
        <f aca="false">IF(Q33="","",IF(Q33&lt;=N33,0,NETWORKDAYS.INTL(N33,Q33,INDEX(LR_Code,MATCH(B33,LR_Lane,0)),INDEX(DH_Table,0,MATCH(B33&amp;"*",DH_Head,0)))-1))</f>
        <v>0</v>
      </c>
      <c r="T33" s="4"/>
      <c r="U33" s="25" t="str">
        <f aca="false">IF(V33&lt;&gt;"",V33,IF(IFERROR(INDEX(RS_Flag,MATCH(B33,RS_Lane,0)),"")="Yes",IF(IFERROR(INDEX(RS_Loc,MATCH(B33,RS_Lane,0)),"")="","Regional stock",IFERROR(INDEX(RS_Loc,MATCH(B33,RS_Lane,0)),"")),"Helmond"))</f>
        <v>Helmond</v>
      </c>
      <c r="V33" s="17"/>
      <c r="W33" s="38"/>
      <c r="X33" s="39"/>
      <c r="Y33" s="40" t="n">
        <f aca="false">IF(X33&lt;&gt;"",X33,IF(U33="Helmond",IF(COUNTIFS(RC_Lane,B33,RC_Band,E33,RC_CostPS,"&gt;0")=0,"",SUMIFS(RC_CostPS,RC_Lane,B33,RC_Band,E33)),IF(U33="Other","",IF(INDEX(RS_Rate,MATCH(B33,RS_Lane,0))="","",INDEX(RS_Rate,MATCH(B33,RS_Lane,0))))))</f>
        <v>76.3</v>
      </c>
    </row>
    <row r="34" customFormat="false" ht="15" hidden="false" customHeight="false" outlineLevel="0" collapsed="false">
      <c r="A34" s="3" t="s">
        <v>301</v>
      </c>
      <c r="B34" s="25" t="s">
        <v>108</v>
      </c>
      <c r="C34" s="8" t="s">
        <v>109</v>
      </c>
      <c r="D34" s="8" t="s">
        <v>272</v>
      </c>
      <c r="E34" s="8" t="s">
        <v>182</v>
      </c>
      <c r="F34" s="19" t="n">
        <v>389.6</v>
      </c>
      <c r="G34" s="33" t="n">
        <f aca="false">F34*0.006477</f>
        <v>2.5234392</v>
      </c>
      <c r="H34" s="19" t="n">
        <f aca="false">F34*1.079436</f>
        <v>420.5482656</v>
      </c>
      <c r="I34" s="18" t="n">
        <f aca="false">MAX(1,ROUNDUP(G34/0.096,0))</f>
        <v>27</v>
      </c>
      <c r="J34" s="31" t="n">
        <v>46465</v>
      </c>
      <c r="K34" s="34" t="n">
        <f aca="false">J34-WEEKDAY(J34,2)+1</f>
        <v>46461</v>
      </c>
      <c r="L34" s="31" t="n">
        <f aca="false">J34</f>
        <v>46465</v>
      </c>
      <c r="M34" s="26" t="n">
        <f aca="false">INDEX(LR_Target,MATCH(B34,LR_Lane,0))</f>
        <v>2</v>
      </c>
      <c r="N34" s="31" t="n">
        <f aca="false">WORKDAY.INTL(L34,M34,INDEX(LR_Code,MATCH(B34,LR_Lane,0)),INDEX(DH_Table,0,MATCH(B34&amp;"*",DH_Head,0)))</f>
        <v>46468</v>
      </c>
      <c r="O34" s="35" t="n">
        <f aca="false">IF(W34&lt;&gt;"",W34,IF(U34="Helmond",IF(COUNTIFS(RC_Lane,B34,RC_Band,E34,RC_Transit,"&lt;&gt;")=0,"",SUMIFS(RC_Transit,RC_Lane,B34,RC_Band,E34)),IF(U34="Other","",IF(INDEX(RS_Transit,MATCH(B34,RS_Lane,0))="","",INDEX(RS_Transit,MATCH(B34,RS_Lane,0))))))</f>
        <v>3</v>
      </c>
      <c r="P34" s="36"/>
      <c r="Q34" s="31" t="n">
        <f aca="false">IF(P34&lt;&gt;"",P34,IF(O34="","",WORKDAY.INTL(L34,ROUNDUP(O34,0),INDEX(LR_Code,MATCH(B34,LR_Lane,0)),INDEX(DH_Table,0,MATCH(B34&amp;"*",DH_Head,0)))))</f>
        <v>46469</v>
      </c>
      <c r="R34" s="37" t="str">
        <f aca="false">IF(Q34="","",IF(Q34&lt;=N34,"Yes","No"))</f>
        <v>No</v>
      </c>
      <c r="S34" s="26" t="n">
        <f aca="false">IF(Q34="","",IF(Q34&lt;=N34,0,NETWORKDAYS.INTL(N34,Q34,INDEX(LR_Code,MATCH(B34,LR_Lane,0)),INDEX(DH_Table,0,MATCH(B34&amp;"*",DH_Head,0)))-1))</f>
        <v>1</v>
      </c>
      <c r="T34" s="4"/>
      <c r="U34" s="25" t="str">
        <f aca="false">IF(V34&lt;&gt;"",V34,IF(IFERROR(INDEX(RS_Flag,MATCH(B34,RS_Lane,0)),"")="Yes",IF(IFERROR(INDEX(RS_Loc,MATCH(B34,RS_Lane,0)),"")="","Regional stock",IFERROR(INDEX(RS_Loc,MATCH(B34,RS_Lane,0)),"")),"Helmond"))</f>
        <v>Helmond</v>
      </c>
      <c r="V34" s="17"/>
      <c r="W34" s="38"/>
      <c r="X34" s="39"/>
      <c r="Y34" s="40" t="n">
        <f aca="false">IF(X34&lt;&gt;"",X34,IF(U34="Helmond",IF(COUNTIFS(RC_Lane,B34,RC_Band,E34,RC_CostPS,"&gt;0")=0,"",SUMIFS(RC_CostPS,RC_Lane,B34,RC_Band,E34)),IF(U34="Other","",IF(INDEX(RS_Rate,MATCH(B34,RS_Lane,0))="","",INDEX(RS_Rate,MATCH(B34,RS_Lane,0))))))</f>
        <v>1062.898</v>
      </c>
    </row>
    <row r="35" customFormat="false" ht="15" hidden="false" customHeight="false" outlineLevel="0" collapsed="false">
      <c r="A35" s="3" t="s">
        <v>302</v>
      </c>
      <c r="B35" s="25" t="s">
        <v>126</v>
      </c>
      <c r="C35" s="8" t="s">
        <v>127</v>
      </c>
      <c r="D35" s="8" t="s">
        <v>158</v>
      </c>
      <c r="E35" s="8" t="s">
        <v>183</v>
      </c>
      <c r="F35" s="19" t="n">
        <v>941.5</v>
      </c>
      <c r="G35" s="33" t="n">
        <f aca="false">F35*0.006477</f>
        <v>6.0980955</v>
      </c>
      <c r="H35" s="19" t="n">
        <f aca="false">F35*1.079436</f>
        <v>1016.288994</v>
      </c>
      <c r="I35" s="18" t="n">
        <f aca="false">MAX(1,ROUNDUP(G35/0.096,0))</f>
        <v>64</v>
      </c>
      <c r="J35" s="31" t="n">
        <v>46469</v>
      </c>
      <c r="K35" s="34" t="n">
        <f aca="false">J35-WEEKDAY(J35,2)+1</f>
        <v>46468</v>
      </c>
      <c r="L35" s="31" t="n">
        <f aca="false">J35</f>
        <v>46469</v>
      </c>
      <c r="M35" s="26" t="n">
        <f aca="false">INDEX(LR_Target,MATCH(B35,LR_Lane,0))</f>
        <v>4</v>
      </c>
      <c r="N35" s="31" t="n">
        <f aca="false">WORKDAY.INTL(L35,M35,INDEX(LR_Code,MATCH(B35,LR_Lane,0)),INDEX(DH_Table,0,MATCH(B35&amp;"*",DH_Head,0)))</f>
        <v>46475</v>
      </c>
      <c r="O35" s="35" t="n">
        <f aca="false">IF(W35&lt;&gt;"",W35,IF(U35="Helmond",IF(COUNTIFS(RC_Lane,B35,RC_Band,E35,RC_Transit,"&lt;&gt;")=0,"",SUMIFS(RC_Transit,RC_Lane,B35,RC_Band,E35)),IF(U35="Other","",IF(INDEX(RS_Transit,MATCH(B35,RS_Lane,0))="","",INDEX(RS_Transit,MATCH(B35,RS_Lane,0))))))</f>
        <v>4</v>
      </c>
      <c r="P35" s="36"/>
      <c r="Q35" s="31" t="n">
        <f aca="false">IF(P35&lt;&gt;"",P35,IF(O35="","",WORKDAY.INTL(L35,ROUNDUP(O35,0),INDEX(LR_Code,MATCH(B35,LR_Lane,0)),INDEX(DH_Table,0,MATCH(B35&amp;"*",DH_Head,0)))))</f>
        <v>46475</v>
      </c>
      <c r="R35" s="37" t="str">
        <f aca="false">IF(Q35="","",IF(Q35&lt;=N35,"Yes","No"))</f>
        <v>Yes</v>
      </c>
      <c r="S35" s="26" t="n">
        <f aca="false">IF(Q35="","",IF(Q35&lt;=N35,0,NETWORKDAYS.INTL(N35,Q35,INDEX(LR_Code,MATCH(B35,LR_Lane,0)),INDEX(DH_Table,0,MATCH(B35&amp;"*",DH_Head,0)))-1))</f>
        <v>0</v>
      </c>
      <c r="T35" s="4"/>
      <c r="U35" s="25" t="str">
        <f aca="false">IF(V35&lt;&gt;"",V35,IF(IFERROR(INDEX(RS_Flag,MATCH(B35,RS_Lane,0)),"")="Yes",IF(IFERROR(INDEX(RS_Loc,MATCH(B35,RS_Lane,0)),"")="","Regional stock",IFERROR(INDEX(RS_Loc,MATCH(B35,RS_Lane,0)),"")),"Helmond"))</f>
        <v>Helmond</v>
      </c>
      <c r="V35" s="17"/>
      <c r="W35" s="38"/>
      <c r="X35" s="39"/>
      <c r="Y35" s="40" t="n">
        <f aca="false">IF(X35&lt;&gt;"",X35,IF(U35="Helmond",IF(COUNTIFS(RC_Lane,B35,RC_Band,E35,RC_CostPS,"&gt;0")=0,"",SUMIFS(RC_CostPS,RC_Lane,B35,RC_Band,E35)),IF(U35="Other","",IF(INDEX(RS_Rate,MATCH(B35,RS_Lane,0))="","",INDEX(RS_Rate,MATCH(B35,RS_Lane,0))))))</f>
        <v>5190.184</v>
      </c>
    </row>
    <row r="36" customFormat="false" ht="15" hidden="false" customHeight="false" outlineLevel="0" collapsed="false">
      <c r="A36" s="3" t="s">
        <v>303</v>
      </c>
      <c r="B36" s="25" t="s">
        <v>112</v>
      </c>
      <c r="C36" s="8" t="s">
        <v>113</v>
      </c>
      <c r="D36" s="8" t="s">
        <v>152</v>
      </c>
      <c r="E36" s="8" t="s">
        <v>178</v>
      </c>
      <c r="F36" s="19" t="n">
        <v>4</v>
      </c>
      <c r="G36" s="33" t="n">
        <f aca="false">F36*0.006477</f>
        <v>0.025908</v>
      </c>
      <c r="H36" s="19" t="n">
        <f aca="false">F36*1.079436</f>
        <v>4.317744</v>
      </c>
      <c r="I36" s="18" t="n">
        <f aca="false">MAX(1,ROUNDUP(G36/0.096,0))</f>
        <v>1</v>
      </c>
      <c r="J36" s="31" t="n">
        <v>46471</v>
      </c>
      <c r="K36" s="34" t="n">
        <f aca="false">J36-WEEKDAY(J36,2)+1</f>
        <v>46468</v>
      </c>
      <c r="L36" s="31" t="n">
        <f aca="false">J36</f>
        <v>46471</v>
      </c>
      <c r="M36" s="26" t="n">
        <f aca="false">INDEX(LR_Target,MATCH(B36,LR_Lane,0))</f>
        <v>2</v>
      </c>
      <c r="N36" s="31" t="n">
        <f aca="false">WORKDAY.INTL(L36,M36,INDEX(LR_Code,MATCH(B36,LR_Lane,0)),INDEX(DH_Table,0,MATCH(B36&amp;"*",DH_Head,0)))</f>
        <v>46475</v>
      </c>
      <c r="O36" s="35" t="n">
        <f aca="false">IF(W36&lt;&gt;"",W36,IF(U36="Helmond",IF(COUNTIFS(RC_Lane,B36,RC_Band,E36,RC_Transit,"&lt;&gt;")=0,"",SUMIFS(RC_Transit,RC_Lane,B36,RC_Band,E36)),IF(U36="Other","",IF(INDEX(RS_Transit,MATCH(B36,RS_Lane,0))="","",INDEX(RS_Transit,MATCH(B36,RS_Lane,0))))))</f>
        <v>1</v>
      </c>
      <c r="P36" s="36"/>
      <c r="Q36" s="31" t="n">
        <f aca="false">IF(P36&lt;&gt;"",P36,IF(O36="","",WORKDAY.INTL(L36,ROUNDUP(O36,0),INDEX(LR_Code,MATCH(B36,LR_Lane,0)),INDEX(DH_Table,0,MATCH(B36&amp;"*",DH_Head,0)))))</f>
        <v>46472</v>
      </c>
      <c r="R36" s="37" t="str">
        <f aca="false">IF(Q36="","",IF(Q36&lt;=N36,"Yes","No"))</f>
        <v>Yes</v>
      </c>
      <c r="S36" s="26" t="n">
        <f aca="false">IF(Q36="","",IF(Q36&lt;=N36,0,NETWORKDAYS.INTL(N36,Q36,INDEX(LR_Code,MATCH(B36,LR_Lane,0)),INDEX(DH_Table,0,MATCH(B36&amp;"*",DH_Head,0)))-1))</f>
        <v>0</v>
      </c>
      <c r="T36" s="4"/>
      <c r="U36" s="25" t="str">
        <f aca="false">IF(V36&lt;&gt;"",V36,IF(IFERROR(INDEX(RS_Flag,MATCH(B36,RS_Lane,0)),"")="Yes",IF(IFERROR(INDEX(RS_Loc,MATCH(B36,RS_Lane,0)),"")="","Regional stock",IFERROR(INDEX(RS_Loc,MATCH(B36,RS_Lane,0)),"")),"Helmond"))</f>
        <v>Helmond</v>
      </c>
      <c r="V36" s="17"/>
      <c r="W36" s="38"/>
      <c r="X36" s="39"/>
      <c r="Y36" s="40" t="n">
        <f aca="false">IF(X36&lt;&gt;"",X36,IF(U36="Helmond",IF(COUNTIFS(RC_Lane,B36,RC_Band,E36,RC_CostPS,"&gt;0")=0,"",SUMIFS(RC_CostPS,RC_Lane,B36,RC_Band,E36)),IF(U36="Other","",IF(INDEX(RS_Rate,MATCH(B36,RS_Lane,0))="","",INDEX(RS_Rate,MATCH(B36,RS_Lane,0))))))</f>
        <v>76.3</v>
      </c>
    </row>
    <row r="37" customFormat="false" ht="15" hidden="false" customHeight="false" outlineLevel="0" collapsed="false">
      <c r="A37" s="3" t="s">
        <v>304</v>
      </c>
      <c r="B37" s="25" t="s">
        <v>108</v>
      </c>
      <c r="C37" s="8" t="s">
        <v>109</v>
      </c>
      <c r="D37" s="8" t="s">
        <v>270</v>
      </c>
      <c r="E37" s="8" t="s">
        <v>178</v>
      </c>
      <c r="F37" s="19" t="n">
        <v>5.4</v>
      </c>
      <c r="G37" s="33" t="n">
        <f aca="false">F37*0.006477</f>
        <v>0.0349758</v>
      </c>
      <c r="H37" s="19" t="n">
        <f aca="false">F37*1.079436</f>
        <v>5.8289544</v>
      </c>
      <c r="I37" s="18" t="n">
        <f aca="false">MAX(1,ROUNDUP(G37/0.096,0))</f>
        <v>1</v>
      </c>
      <c r="J37" s="31" t="n">
        <v>46472</v>
      </c>
      <c r="K37" s="34" t="n">
        <f aca="false">J37-WEEKDAY(J37,2)+1</f>
        <v>46468</v>
      </c>
      <c r="L37" s="31" t="n">
        <f aca="false">J37</f>
        <v>46472</v>
      </c>
      <c r="M37" s="26" t="n">
        <f aca="false">INDEX(LR_Target,MATCH(B37,LR_Lane,0))</f>
        <v>2</v>
      </c>
      <c r="N37" s="31" t="n">
        <f aca="false">WORKDAY.INTL(L37,M37,INDEX(LR_Code,MATCH(B37,LR_Lane,0)),INDEX(DH_Table,0,MATCH(B37&amp;"*",DH_Head,0)))</f>
        <v>46475</v>
      </c>
      <c r="O37" s="35" t="n">
        <f aca="false">IF(W37&lt;&gt;"",W37,IF(U37="Helmond",IF(COUNTIFS(RC_Lane,B37,RC_Band,E37,RC_Transit,"&lt;&gt;")=0,"",SUMIFS(RC_Transit,RC_Lane,B37,RC_Band,E37)),IF(U37="Other","",IF(INDEX(RS_Transit,MATCH(B37,RS_Lane,0))="","",INDEX(RS_Transit,MATCH(B37,RS_Lane,0))))))</f>
        <v>1</v>
      </c>
      <c r="P37" s="36"/>
      <c r="Q37" s="31" t="n">
        <f aca="false">IF(P37&lt;&gt;"",P37,IF(O37="","",WORKDAY.INTL(L37,ROUNDUP(O37,0),INDEX(LR_Code,MATCH(B37,LR_Lane,0)),INDEX(DH_Table,0,MATCH(B37&amp;"*",DH_Head,0)))))</f>
        <v>46474</v>
      </c>
      <c r="R37" s="37" t="str">
        <f aca="false">IF(Q37="","",IF(Q37&lt;=N37,"Yes","No"))</f>
        <v>Yes</v>
      </c>
      <c r="S37" s="26" t="n">
        <f aca="false">IF(Q37="","",IF(Q37&lt;=N37,0,NETWORKDAYS.INTL(N37,Q37,INDEX(LR_Code,MATCH(B37,LR_Lane,0)),INDEX(DH_Table,0,MATCH(B37&amp;"*",DH_Head,0)))-1))</f>
        <v>0</v>
      </c>
      <c r="T37" s="4"/>
      <c r="U37" s="25" t="str">
        <f aca="false">IF(V37&lt;&gt;"",V37,IF(IFERROR(INDEX(RS_Flag,MATCH(B37,RS_Lane,0)),"")="Yes",IF(IFERROR(INDEX(RS_Loc,MATCH(B37,RS_Lane,0)),"")="","Regional stock",IFERROR(INDEX(RS_Loc,MATCH(B37,RS_Lane,0)),"")),"Helmond"))</f>
        <v>Helmond</v>
      </c>
      <c r="V37" s="17"/>
      <c r="W37" s="38"/>
      <c r="X37" s="39"/>
      <c r="Y37" s="40" t="n">
        <f aca="false">IF(X37&lt;&gt;"",X37,IF(U37="Helmond",IF(COUNTIFS(RC_Lane,B37,RC_Band,E37,RC_CostPS,"&gt;0")=0,"",SUMIFS(RC_CostPS,RC_Lane,B37,RC_Band,E37)),IF(U37="Other","",IF(INDEX(RS_Rate,MATCH(B37,RS_Lane,0))="","",INDEX(RS_Rate,MATCH(B37,RS_Lane,0))))))</f>
        <v>76.3</v>
      </c>
    </row>
    <row r="38" customFormat="false" ht="15" hidden="false" customHeight="false" outlineLevel="0" collapsed="false">
      <c r="A38" s="3" t="s">
        <v>305</v>
      </c>
      <c r="B38" s="25" t="s">
        <v>117</v>
      </c>
      <c r="C38" s="8" t="s">
        <v>118</v>
      </c>
      <c r="D38" s="8" t="s">
        <v>154</v>
      </c>
      <c r="E38" s="8" t="s">
        <v>178</v>
      </c>
      <c r="F38" s="19" t="n">
        <v>9.8</v>
      </c>
      <c r="G38" s="33" t="n">
        <f aca="false">F38*0.006477</f>
        <v>0.0634746</v>
      </c>
      <c r="H38" s="19" t="n">
        <f aca="false">F38*1.079436</f>
        <v>10.5784728</v>
      </c>
      <c r="I38" s="18" t="n">
        <f aca="false">MAX(1,ROUNDUP(G38/0.096,0))</f>
        <v>1</v>
      </c>
      <c r="J38" s="31" t="n">
        <v>46472</v>
      </c>
      <c r="K38" s="34" t="n">
        <f aca="false">J38-WEEKDAY(J38,2)+1</f>
        <v>46468</v>
      </c>
      <c r="L38" s="31" t="n">
        <f aca="false">J38</f>
        <v>46472</v>
      </c>
      <c r="M38" s="26" t="n">
        <f aca="false">INDEX(LR_Target,MATCH(B38,LR_Lane,0))</f>
        <v>2</v>
      </c>
      <c r="N38" s="31" t="n">
        <f aca="false">WORKDAY.INTL(L38,M38,INDEX(LR_Code,MATCH(B38,LR_Lane,0)),INDEX(DH_Table,0,MATCH(B38&amp;"*",DH_Head,0)))</f>
        <v>46475</v>
      </c>
      <c r="O38" s="35" t="n">
        <f aca="false">IF(W38&lt;&gt;"",W38,IF(U38="Helmond",IF(COUNTIFS(RC_Lane,B38,RC_Band,E38,RC_Transit,"&lt;&gt;")=0,"",SUMIFS(RC_Transit,RC_Lane,B38,RC_Band,E38)),IF(U38="Other","",IF(INDEX(RS_Transit,MATCH(B38,RS_Lane,0))="","",INDEX(RS_Transit,MATCH(B38,RS_Lane,0))))))</f>
        <v>1</v>
      </c>
      <c r="P38" s="36"/>
      <c r="Q38" s="31" t="n">
        <f aca="false">IF(P38&lt;&gt;"",P38,IF(O38="","",WORKDAY.INTL(L38,ROUNDUP(O38,0),INDEX(LR_Code,MATCH(B38,LR_Lane,0)),INDEX(DH_Table,0,MATCH(B38&amp;"*",DH_Head,0)))))</f>
        <v>46474</v>
      </c>
      <c r="R38" s="37" t="str">
        <f aca="false">IF(Q38="","",IF(Q38&lt;=N38,"Yes","No"))</f>
        <v>Yes</v>
      </c>
      <c r="S38" s="26" t="n">
        <f aca="false">IF(Q38="","",IF(Q38&lt;=N38,0,NETWORKDAYS.INTL(N38,Q38,INDEX(LR_Code,MATCH(B38,LR_Lane,0)),INDEX(DH_Table,0,MATCH(B38&amp;"*",DH_Head,0)))-1))</f>
        <v>0</v>
      </c>
      <c r="T38" s="4"/>
      <c r="U38" s="25" t="str">
        <f aca="false">IF(V38&lt;&gt;"",V38,IF(IFERROR(INDEX(RS_Flag,MATCH(B38,RS_Lane,0)),"")="Yes",IF(IFERROR(INDEX(RS_Loc,MATCH(B38,RS_Lane,0)),"")="","Regional stock",IFERROR(INDEX(RS_Loc,MATCH(B38,RS_Lane,0)),"")),"Helmond"))</f>
        <v>Helmond</v>
      </c>
      <c r="V38" s="17"/>
      <c r="W38" s="38"/>
      <c r="X38" s="39"/>
      <c r="Y38" s="40" t="n">
        <f aca="false">IF(X38&lt;&gt;"",X38,IF(U38="Helmond",IF(COUNTIFS(RC_Lane,B38,RC_Band,E38,RC_CostPS,"&gt;0")=0,"",SUMIFS(RC_CostPS,RC_Lane,B38,RC_Band,E38)),IF(U38="Other","",IF(INDEX(RS_Rate,MATCH(B38,RS_Lane,0))="","",INDEX(RS_Rate,MATCH(B38,RS_Lane,0))))))</f>
        <v>76.3</v>
      </c>
    </row>
    <row r="39" customFormat="false" ht="15" hidden="false" customHeight="false" outlineLevel="0" collapsed="false">
      <c r="A39" s="3" t="s">
        <v>306</v>
      </c>
      <c r="B39" s="25" t="s">
        <v>119</v>
      </c>
      <c r="C39" s="8" t="s">
        <v>120</v>
      </c>
      <c r="D39" s="8" t="s">
        <v>155</v>
      </c>
      <c r="E39" s="8" t="s">
        <v>182</v>
      </c>
      <c r="F39" s="19" t="n">
        <v>391.2</v>
      </c>
      <c r="G39" s="33" t="n">
        <f aca="false">F39*0.006477</f>
        <v>2.5338024</v>
      </c>
      <c r="H39" s="19" t="n">
        <f aca="false">F39*1.079436</f>
        <v>422.2753632</v>
      </c>
      <c r="I39" s="18" t="n">
        <f aca="false">MAX(1,ROUNDUP(G39/0.096,0))</f>
        <v>27</v>
      </c>
      <c r="J39" s="31" t="n">
        <v>46477</v>
      </c>
      <c r="K39" s="34" t="n">
        <f aca="false">J39-WEEKDAY(J39,2)+1</f>
        <v>46475</v>
      </c>
      <c r="L39" s="31" t="n">
        <f aca="false">J39</f>
        <v>46477</v>
      </c>
      <c r="M39" s="26" t="n">
        <f aca="false">INDEX(LR_Target,MATCH(B39,LR_Lane,0))</f>
        <v>3</v>
      </c>
      <c r="N39" s="31" t="n">
        <f aca="false">WORKDAY.INTL(L39,M39,INDEX(LR_Code,MATCH(B39,LR_Lane,0)),INDEX(DH_Table,0,MATCH(B39&amp;"*",DH_Head,0)))</f>
        <v>46482</v>
      </c>
      <c r="O39" s="35" t="n">
        <f aca="false">IF(W39&lt;&gt;"",W39,IF(U39="Helmond",IF(COUNTIFS(RC_Lane,B39,RC_Band,E39,RC_Transit,"&lt;&gt;")=0,"",SUMIFS(RC_Transit,RC_Lane,B39,RC_Band,E39)),IF(U39="Other","",IF(INDEX(RS_Transit,MATCH(B39,RS_Lane,0))="","",INDEX(RS_Transit,MATCH(B39,RS_Lane,0))))))</f>
        <v>3</v>
      </c>
      <c r="P39" s="36"/>
      <c r="Q39" s="31" t="n">
        <f aca="false">IF(P39&lt;&gt;"",P39,IF(O39="","",WORKDAY.INTL(L39,ROUNDUP(O39,0),INDEX(LR_Code,MATCH(B39,LR_Lane,0)),INDEX(DH_Table,0,MATCH(B39&amp;"*",DH_Head,0)))))</f>
        <v>46482</v>
      </c>
      <c r="R39" s="37" t="str">
        <f aca="false">IF(Q39="","",IF(Q39&lt;=N39,"Yes","No"))</f>
        <v>Yes</v>
      </c>
      <c r="S39" s="26" t="n">
        <f aca="false">IF(Q39="","",IF(Q39&lt;=N39,0,NETWORKDAYS.INTL(N39,Q39,INDEX(LR_Code,MATCH(B39,LR_Lane,0)),INDEX(DH_Table,0,MATCH(B39&amp;"*",DH_Head,0)))-1))</f>
        <v>0</v>
      </c>
      <c r="T39" s="4"/>
      <c r="U39" s="25" t="str">
        <f aca="false">IF(V39&lt;&gt;"",V39,IF(IFERROR(INDEX(RS_Flag,MATCH(B39,RS_Lane,0)),"")="Yes",IF(IFERROR(INDEX(RS_Loc,MATCH(B39,RS_Lane,0)),"")="","Regional stock",IFERROR(INDEX(RS_Loc,MATCH(B39,RS_Lane,0)),"")),"Helmond"))</f>
        <v>Helmond</v>
      </c>
      <c r="V39" s="17"/>
      <c r="W39" s="38"/>
      <c r="X39" s="39"/>
      <c r="Y39" s="40" t="n">
        <f aca="false">IF(X39&lt;&gt;"",X39,IF(U39="Helmond",IF(COUNTIFS(RC_Lane,B39,RC_Band,E39,RC_CostPS,"&gt;0")=0,"",SUMIFS(RC_CostPS,RC_Lane,B39,RC_Band,E39)),IF(U39="Other","",IF(INDEX(RS_Rate,MATCH(B39,RS_Lane,0))="","",INDEX(RS_Rate,MATCH(B39,RS_Lane,0))))))</f>
        <v>1474.0572</v>
      </c>
    </row>
    <row r="40" customFormat="false" ht="15" hidden="false" customHeight="false" outlineLevel="0" collapsed="false">
      <c r="A40" s="3" t="s">
        <v>307</v>
      </c>
      <c r="B40" s="25" t="s">
        <v>108</v>
      </c>
      <c r="C40" s="8" t="s">
        <v>109</v>
      </c>
      <c r="D40" s="8" t="s">
        <v>272</v>
      </c>
      <c r="E40" s="8" t="s">
        <v>178</v>
      </c>
      <c r="F40" s="19" t="n">
        <v>13.6</v>
      </c>
      <c r="G40" s="33" t="n">
        <f aca="false">F40*0.006477</f>
        <v>0.0880872</v>
      </c>
      <c r="H40" s="19" t="n">
        <f aca="false">F40*1.079436</f>
        <v>14.6803296</v>
      </c>
      <c r="I40" s="18" t="n">
        <f aca="false">MAX(1,ROUNDUP(G40/0.096,0))</f>
        <v>1</v>
      </c>
      <c r="J40" s="31" t="n">
        <v>46478</v>
      </c>
      <c r="K40" s="34" t="n">
        <f aca="false">J40-WEEKDAY(J40,2)+1</f>
        <v>46475</v>
      </c>
      <c r="L40" s="31" t="n">
        <f aca="false">J40</f>
        <v>46478</v>
      </c>
      <c r="M40" s="26" t="n">
        <f aca="false">INDEX(LR_Target,MATCH(B40,LR_Lane,0))</f>
        <v>2</v>
      </c>
      <c r="N40" s="31" t="n">
        <f aca="false">WORKDAY.INTL(L40,M40,INDEX(LR_Code,MATCH(B40,LR_Lane,0)),INDEX(DH_Table,0,MATCH(B40&amp;"*",DH_Head,0)))</f>
        <v>46482</v>
      </c>
      <c r="O40" s="35" t="n">
        <f aca="false">IF(W40&lt;&gt;"",W40,IF(U40="Helmond",IF(COUNTIFS(RC_Lane,B40,RC_Band,E40,RC_Transit,"&lt;&gt;")=0,"",SUMIFS(RC_Transit,RC_Lane,B40,RC_Band,E40)),IF(U40="Other","",IF(INDEX(RS_Transit,MATCH(B40,RS_Lane,0))="","",INDEX(RS_Transit,MATCH(B40,RS_Lane,0))))))</f>
        <v>1</v>
      </c>
      <c r="P40" s="36"/>
      <c r="Q40" s="31" t="n">
        <f aca="false">IF(P40&lt;&gt;"",P40,IF(O40="","",WORKDAY.INTL(L40,ROUNDUP(O40,0),INDEX(LR_Code,MATCH(B40,LR_Lane,0)),INDEX(DH_Table,0,MATCH(B40&amp;"*",DH_Head,0)))))</f>
        <v>46481</v>
      </c>
      <c r="R40" s="37" t="str">
        <f aca="false">IF(Q40="","",IF(Q40&lt;=N40,"Yes","No"))</f>
        <v>Yes</v>
      </c>
      <c r="S40" s="26" t="n">
        <f aca="false">IF(Q40="","",IF(Q40&lt;=N40,0,NETWORKDAYS.INTL(N40,Q40,INDEX(LR_Code,MATCH(B40,LR_Lane,0)),INDEX(DH_Table,0,MATCH(B40&amp;"*",DH_Head,0)))-1))</f>
        <v>0</v>
      </c>
      <c r="T40" s="4"/>
      <c r="U40" s="25" t="str">
        <f aca="false">IF(V40&lt;&gt;"",V40,IF(IFERROR(INDEX(RS_Flag,MATCH(B40,RS_Lane,0)),"")="Yes",IF(IFERROR(INDEX(RS_Loc,MATCH(B40,RS_Lane,0)),"")="","Regional stock",IFERROR(INDEX(RS_Loc,MATCH(B40,RS_Lane,0)),"")),"Helmond"))</f>
        <v>Helmond</v>
      </c>
      <c r="V40" s="17"/>
      <c r="W40" s="38"/>
      <c r="X40" s="39"/>
      <c r="Y40" s="40" t="n">
        <f aca="false">IF(X40&lt;&gt;"",X40,IF(U40="Helmond",IF(COUNTIFS(RC_Lane,B40,RC_Band,E40,RC_CostPS,"&gt;0")=0,"",SUMIFS(RC_CostPS,RC_Lane,B40,RC_Band,E40)),IF(U40="Other","",IF(INDEX(RS_Rate,MATCH(B40,RS_Lane,0))="","",INDEX(RS_Rate,MATCH(B40,RS_Lane,0))))))</f>
        <v>76.3</v>
      </c>
    </row>
    <row r="41" customFormat="false" ht="15" hidden="false" customHeight="false" outlineLevel="0" collapsed="false">
      <c r="A41" s="3" t="s">
        <v>308</v>
      </c>
      <c r="B41" s="25" t="s">
        <v>112</v>
      </c>
      <c r="C41" s="8" t="s">
        <v>113</v>
      </c>
      <c r="D41" s="8" t="s">
        <v>152</v>
      </c>
      <c r="E41" s="8" t="s">
        <v>178</v>
      </c>
      <c r="F41" s="19" t="n">
        <v>11</v>
      </c>
      <c r="G41" s="33" t="n">
        <f aca="false">F41*0.006477</f>
        <v>0.071247</v>
      </c>
      <c r="H41" s="19" t="n">
        <f aca="false">F41*1.079436</f>
        <v>11.873796</v>
      </c>
      <c r="I41" s="18" t="n">
        <f aca="false">MAX(1,ROUNDUP(G41/0.096,0))</f>
        <v>1</v>
      </c>
      <c r="J41" s="31" t="n">
        <v>46482</v>
      </c>
      <c r="K41" s="34" t="n">
        <f aca="false">J41-WEEKDAY(J41,2)+1</f>
        <v>46482</v>
      </c>
      <c r="L41" s="31" t="n">
        <f aca="false">J41</f>
        <v>46482</v>
      </c>
      <c r="M41" s="26" t="n">
        <f aca="false">INDEX(LR_Target,MATCH(B41,LR_Lane,0))</f>
        <v>2</v>
      </c>
      <c r="N41" s="31" t="n">
        <f aca="false">WORKDAY.INTL(L41,M41,INDEX(LR_Code,MATCH(B41,LR_Lane,0)),INDEX(DH_Table,0,MATCH(B41&amp;"*",DH_Head,0)))</f>
        <v>46484</v>
      </c>
      <c r="O41" s="35" t="n">
        <f aca="false">IF(W41&lt;&gt;"",W41,IF(U41="Helmond",IF(COUNTIFS(RC_Lane,B41,RC_Band,E41,RC_Transit,"&lt;&gt;")=0,"",SUMIFS(RC_Transit,RC_Lane,B41,RC_Band,E41)),IF(U41="Other","",IF(INDEX(RS_Transit,MATCH(B41,RS_Lane,0))="","",INDEX(RS_Transit,MATCH(B41,RS_Lane,0))))))</f>
        <v>1</v>
      </c>
      <c r="P41" s="36"/>
      <c r="Q41" s="31" t="n">
        <f aca="false">IF(P41&lt;&gt;"",P41,IF(O41="","",WORKDAY.INTL(L41,ROUNDUP(O41,0),INDEX(LR_Code,MATCH(B41,LR_Lane,0)),INDEX(DH_Table,0,MATCH(B41&amp;"*",DH_Head,0)))))</f>
        <v>46483</v>
      </c>
      <c r="R41" s="37" t="str">
        <f aca="false">IF(Q41="","",IF(Q41&lt;=N41,"Yes","No"))</f>
        <v>Yes</v>
      </c>
      <c r="S41" s="26" t="n">
        <f aca="false">IF(Q41="","",IF(Q41&lt;=N41,0,NETWORKDAYS.INTL(N41,Q41,INDEX(LR_Code,MATCH(B41,LR_Lane,0)),INDEX(DH_Table,0,MATCH(B41&amp;"*",DH_Head,0)))-1))</f>
        <v>0</v>
      </c>
      <c r="T41" s="4"/>
      <c r="U41" s="25" t="str">
        <f aca="false">IF(V41&lt;&gt;"",V41,IF(IFERROR(INDEX(RS_Flag,MATCH(B41,RS_Lane,0)),"")="Yes",IF(IFERROR(INDEX(RS_Loc,MATCH(B41,RS_Lane,0)),"")="","Regional stock",IFERROR(INDEX(RS_Loc,MATCH(B41,RS_Lane,0)),"")),"Helmond"))</f>
        <v>Helmond</v>
      </c>
      <c r="V41" s="17"/>
      <c r="W41" s="38"/>
      <c r="X41" s="39"/>
      <c r="Y41" s="40" t="n">
        <f aca="false">IF(X41&lt;&gt;"",X41,IF(U41="Helmond",IF(COUNTIFS(RC_Lane,B41,RC_Band,E41,RC_CostPS,"&gt;0")=0,"",SUMIFS(RC_CostPS,RC_Lane,B41,RC_Band,E41)),IF(U41="Other","",IF(INDEX(RS_Rate,MATCH(B41,RS_Lane,0))="","",INDEX(RS_Rate,MATCH(B41,RS_Lane,0))))))</f>
        <v>76.3</v>
      </c>
    </row>
    <row r="42" customFormat="false" ht="15" hidden="false" customHeight="false" outlineLevel="0" collapsed="false">
      <c r="A42" s="3" t="s">
        <v>309</v>
      </c>
      <c r="B42" s="25" t="s">
        <v>117</v>
      </c>
      <c r="C42" s="8" t="s">
        <v>118</v>
      </c>
      <c r="D42" s="8" t="s">
        <v>154</v>
      </c>
      <c r="E42" s="8" t="s">
        <v>180</v>
      </c>
      <c r="F42" s="19" t="n">
        <v>45</v>
      </c>
      <c r="G42" s="33" t="n">
        <f aca="false">F42*0.006477</f>
        <v>0.291465</v>
      </c>
      <c r="H42" s="19" t="n">
        <f aca="false">F42*1.079436</f>
        <v>48.57462</v>
      </c>
      <c r="I42" s="18" t="n">
        <f aca="false">MAX(1,ROUNDUP(G42/0.096,0))</f>
        <v>4</v>
      </c>
      <c r="J42" s="31" t="n">
        <v>46483</v>
      </c>
      <c r="K42" s="34" t="n">
        <f aca="false">J42-WEEKDAY(J42,2)+1</f>
        <v>46482</v>
      </c>
      <c r="L42" s="31" t="n">
        <f aca="false">J42</f>
        <v>46483</v>
      </c>
      <c r="M42" s="26" t="n">
        <f aca="false">INDEX(LR_Target,MATCH(B42,LR_Lane,0))</f>
        <v>2</v>
      </c>
      <c r="N42" s="31" t="n">
        <f aca="false">WORKDAY.INTL(L42,M42,INDEX(LR_Code,MATCH(B42,LR_Lane,0)),INDEX(DH_Table,0,MATCH(B42&amp;"*",DH_Head,0)))</f>
        <v>46485</v>
      </c>
      <c r="O42" s="35" t="n">
        <f aca="false">IF(W42&lt;&gt;"",W42,IF(U42="Helmond",IF(COUNTIFS(RC_Lane,B42,RC_Band,E42,RC_Transit,"&lt;&gt;")=0,"",SUMIFS(RC_Transit,RC_Lane,B42,RC_Band,E42)),IF(U42="Other","",IF(INDEX(RS_Transit,MATCH(B42,RS_Lane,0))="","",INDEX(RS_Transit,MATCH(B42,RS_Lane,0))))))</f>
        <v>2</v>
      </c>
      <c r="P42" s="36"/>
      <c r="Q42" s="31" t="n">
        <f aca="false">IF(P42&lt;&gt;"",P42,IF(O42="","",WORKDAY.INTL(L42,ROUNDUP(O42,0),INDEX(LR_Code,MATCH(B42,LR_Lane,0)),INDEX(DH_Table,0,MATCH(B42&amp;"*",DH_Head,0)))))</f>
        <v>46485</v>
      </c>
      <c r="R42" s="37" t="str">
        <f aca="false">IF(Q42="","",IF(Q42&lt;=N42,"Yes","No"))</f>
        <v>Yes</v>
      </c>
      <c r="S42" s="26" t="n">
        <f aca="false">IF(Q42="","",IF(Q42&lt;=N42,0,NETWORKDAYS.INTL(N42,Q42,INDEX(LR_Code,MATCH(B42,LR_Lane,0)),INDEX(DH_Table,0,MATCH(B42&amp;"*",DH_Head,0)))-1))</f>
        <v>0</v>
      </c>
      <c r="T42" s="4"/>
      <c r="U42" s="25" t="str">
        <f aca="false">IF(V42&lt;&gt;"",V42,IF(IFERROR(INDEX(RS_Flag,MATCH(B42,RS_Lane,0)),"")="Yes",IF(IFERROR(INDEX(RS_Loc,MATCH(B42,RS_Lane,0)),"")="","Regional stock",IFERROR(INDEX(RS_Loc,MATCH(B42,RS_Lane,0)),"")),"Helmond"))</f>
        <v>Helmond</v>
      </c>
      <c r="V42" s="17"/>
      <c r="W42" s="38"/>
      <c r="X42" s="39"/>
      <c r="Y42" s="40" t="n">
        <f aca="false">IF(X42&lt;&gt;"",X42,IF(U42="Helmond",IF(COUNTIFS(RC_Lane,B42,RC_Band,E42,RC_CostPS,"&gt;0")=0,"",SUMIFS(RC_CostPS,RC_Lane,B42,RC_Band,E42)),IF(U42="Other","",IF(INDEX(RS_Rate,MATCH(B42,RS_Lane,0))="","",INDEX(RS_Rate,MATCH(B42,RS_Lane,0))))))</f>
        <v>162.5344</v>
      </c>
    </row>
    <row r="43" customFormat="false" ht="15" hidden="false" customHeight="false" outlineLevel="0" collapsed="false">
      <c r="A43" s="3" t="s">
        <v>310</v>
      </c>
      <c r="B43" s="25" t="s">
        <v>108</v>
      </c>
      <c r="C43" s="8" t="s">
        <v>109</v>
      </c>
      <c r="D43" s="8" t="s">
        <v>272</v>
      </c>
      <c r="E43" s="8" t="s">
        <v>182</v>
      </c>
      <c r="F43" s="19" t="n">
        <v>288.5</v>
      </c>
      <c r="G43" s="33" t="n">
        <f aca="false">F43*0.006477</f>
        <v>1.8686145</v>
      </c>
      <c r="H43" s="19" t="n">
        <f aca="false">F43*1.079436</f>
        <v>311.417286</v>
      </c>
      <c r="I43" s="18" t="n">
        <f aca="false">MAX(1,ROUNDUP(G43/0.096,0))</f>
        <v>20</v>
      </c>
      <c r="J43" s="31" t="n">
        <v>46491</v>
      </c>
      <c r="K43" s="34" t="n">
        <f aca="false">J43-WEEKDAY(J43,2)+1</f>
        <v>46489</v>
      </c>
      <c r="L43" s="31" t="n">
        <f aca="false">J43</f>
        <v>46491</v>
      </c>
      <c r="M43" s="26" t="n">
        <f aca="false">INDEX(LR_Target,MATCH(B43,LR_Lane,0))</f>
        <v>2</v>
      </c>
      <c r="N43" s="31" t="n">
        <f aca="false">WORKDAY.INTL(L43,M43,INDEX(LR_Code,MATCH(B43,LR_Lane,0)),INDEX(DH_Table,0,MATCH(B43&amp;"*",DH_Head,0)))</f>
        <v>46495</v>
      </c>
      <c r="O43" s="35" t="n">
        <f aca="false">IF(W43&lt;&gt;"",W43,IF(U43="Helmond",IF(COUNTIFS(RC_Lane,B43,RC_Band,E43,RC_Transit,"&lt;&gt;")=0,"",SUMIFS(RC_Transit,RC_Lane,B43,RC_Band,E43)),IF(U43="Other","",IF(INDEX(RS_Transit,MATCH(B43,RS_Lane,0))="","",INDEX(RS_Transit,MATCH(B43,RS_Lane,0))))))</f>
        <v>3</v>
      </c>
      <c r="P43" s="36"/>
      <c r="Q43" s="31" t="n">
        <f aca="false">IF(P43&lt;&gt;"",P43,IF(O43="","",WORKDAY.INTL(L43,ROUNDUP(O43,0),INDEX(LR_Code,MATCH(B43,LR_Lane,0)),INDEX(DH_Table,0,MATCH(B43&amp;"*",DH_Head,0)))))</f>
        <v>46496</v>
      </c>
      <c r="R43" s="37" t="str">
        <f aca="false">IF(Q43="","",IF(Q43&lt;=N43,"Yes","No"))</f>
        <v>No</v>
      </c>
      <c r="S43" s="26" t="n">
        <f aca="false">IF(Q43="","",IF(Q43&lt;=N43,0,NETWORKDAYS.INTL(N43,Q43,INDEX(LR_Code,MATCH(B43,LR_Lane,0)),INDEX(DH_Table,0,MATCH(B43&amp;"*",DH_Head,0)))-1))</f>
        <v>1</v>
      </c>
      <c r="T43" s="4"/>
      <c r="U43" s="25" t="str">
        <f aca="false">IF(V43&lt;&gt;"",V43,IF(IFERROR(INDEX(RS_Flag,MATCH(B43,RS_Lane,0)),"")="Yes",IF(IFERROR(INDEX(RS_Loc,MATCH(B43,RS_Lane,0)),"")="","Regional stock",IFERROR(INDEX(RS_Loc,MATCH(B43,RS_Lane,0)),"")),"Helmond"))</f>
        <v>Helmond</v>
      </c>
      <c r="V43" s="17"/>
      <c r="W43" s="38"/>
      <c r="X43" s="39"/>
      <c r="Y43" s="40" t="n">
        <f aca="false">IF(X43&lt;&gt;"",X43,IF(U43="Helmond",IF(COUNTIFS(RC_Lane,B43,RC_Band,E43,RC_CostPS,"&gt;0")=0,"",SUMIFS(RC_CostPS,RC_Lane,B43,RC_Band,E43)),IF(U43="Other","",IF(INDEX(RS_Rate,MATCH(B43,RS_Lane,0))="","",INDEX(RS_Rate,MATCH(B43,RS_Lane,0))))))</f>
        <v>1062.898</v>
      </c>
    </row>
    <row r="44" customFormat="false" ht="15" hidden="false" customHeight="false" outlineLevel="0" collapsed="false">
      <c r="A44" s="3" t="s">
        <v>311</v>
      </c>
      <c r="B44" s="25" t="s">
        <v>112</v>
      </c>
      <c r="C44" s="8" t="s">
        <v>113</v>
      </c>
      <c r="D44" s="8" t="s">
        <v>152</v>
      </c>
      <c r="E44" s="8" t="s">
        <v>178</v>
      </c>
      <c r="F44" s="19" t="n">
        <v>1.8</v>
      </c>
      <c r="G44" s="33" t="n">
        <f aca="false">F44*0.006477</f>
        <v>0.0116586</v>
      </c>
      <c r="H44" s="19" t="n">
        <f aca="false">F44*1.079436</f>
        <v>1.9429848</v>
      </c>
      <c r="I44" s="18" t="n">
        <f aca="false">MAX(1,ROUNDUP(G44/0.096,0))</f>
        <v>1</v>
      </c>
      <c r="J44" s="31" t="n">
        <v>46493</v>
      </c>
      <c r="K44" s="34" t="n">
        <f aca="false">J44-WEEKDAY(J44,2)+1</f>
        <v>46489</v>
      </c>
      <c r="L44" s="31" t="n">
        <f aca="false">J44</f>
        <v>46493</v>
      </c>
      <c r="M44" s="26" t="n">
        <f aca="false">INDEX(LR_Target,MATCH(B44,LR_Lane,0))</f>
        <v>2</v>
      </c>
      <c r="N44" s="31" t="n">
        <f aca="false">WORKDAY.INTL(L44,M44,INDEX(LR_Code,MATCH(B44,LR_Lane,0)),INDEX(DH_Table,0,MATCH(B44&amp;"*",DH_Head,0)))</f>
        <v>46497</v>
      </c>
      <c r="O44" s="35" t="n">
        <f aca="false">IF(W44&lt;&gt;"",W44,IF(U44="Helmond",IF(COUNTIFS(RC_Lane,B44,RC_Band,E44,RC_Transit,"&lt;&gt;")=0,"",SUMIFS(RC_Transit,RC_Lane,B44,RC_Band,E44)),IF(U44="Other","",IF(INDEX(RS_Transit,MATCH(B44,RS_Lane,0))="","",INDEX(RS_Transit,MATCH(B44,RS_Lane,0))))))</f>
        <v>1</v>
      </c>
      <c r="P44" s="36"/>
      <c r="Q44" s="31" t="n">
        <f aca="false">IF(P44&lt;&gt;"",P44,IF(O44="","",WORKDAY.INTL(L44,ROUNDUP(O44,0),INDEX(LR_Code,MATCH(B44,LR_Lane,0)),INDEX(DH_Table,0,MATCH(B44&amp;"*",DH_Head,0)))))</f>
        <v>46496</v>
      </c>
      <c r="R44" s="37" t="str">
        <f aca="false">IF(Q44="","",IF(Q44&lt;=N44,"Yes","No"))</f>
        <v>Yes</v>
      </c>
      <c r="S44" s="26" t="n">
        <f aca="false">IF(Q44="","",IF(Q44&lt;=N44,0,NETWORKDAYS.INTL(N44,Q44,INDEX(LR_Code,MATCH(B44,LR_Lane,0)),INDEX(DH_Table,0,MATCH(B44&amp;"*",DH_Head,0)))-1))</f>
        <v>0</v>
      </c>
      <c r="T44" s="4"/>
      <c r="U44" s="25" t="str">
        <f aca="false">IF(V44&lt;&gt;"",V44,IF(IFERROR(INDEX(RS_Flag,MATCH(B44,RS_Lane,0)),"")="Yes",IF(IFERROR(INDEX(RS_Loc,MATCH(B44,RS_Lane,0)),"")="","Regional stock",IFERROR(INDEX(RS_Loc,MATCH(B44,RS_Lane,0)),"")),"Helmond"))</f>
        <v>Helmond</v>
      </c>
      <c r="V44" s="17"/>
      <c r="W44" s="38"/>
      <c r="X44" s="39"/>
      <c r="Y44" s="40" t="n">
        <f aca="false">IF(X44&lt;&gt;"",X44,IF(U44="Helmond",IF(COUNTIFS(RC_Lane,B44,RC_Band,E44,RC_CostPS,"&gt;0")=0,"",SUMIFS(RC_CostPS,RC_Lane,B44,RC_Band,E44)),IF(U44="Other","",IF(INDEX(RS_Rate,MATCH(B44,RS_Lane,0))="","",INDEX(RS_Rate,MATCH(B44,RS_Lane,0))))))</f>
        <v>76.3</v>
      </c>
    </row>
    <row r="45" customFormat="false" ht="15" hidden="false" customHeight="false" outlineLevel="0" collapsed="false">
      <c r="A45" s="3" t="s">
        <v>312</v>
      </c>
      <c r="B45" s="25" t="s">
        <v>115</v>
      </c>
      <c r="C45" s="8" t="s">
        <v>116</v>
      </c>
      <c r="D45" s="8" t="s">
        <v>153</v>
      </c>
      <c r="E45" s="8" t="s">
        <v>182</v>
      </c>
      <c r="F45" s="19" t="n">
        <v>170</v>
      </c>
      <c r="G45" s="33" t="n">
        <f aca="false">F45*0.006477</f>
        <v>1.10109</v>
      </c>
      <c r="H45" s="19" t="n">
        <f aca="false">F45*1.079436</f>
        <v>183.50412</v>
      </c>
      <c r="I45" s="18" t="n">
        <f aca="false">MAX(1,ROUNDUP(G45/0.096,0))</f>
        <v>12</v>
      </c>
      <c r="J45" s="31" t="n">
        <v>46493</v>
      </c>
      <c r="K45" s="34" t="n">
        <f aca="false">J45-WEEKDAY(J45,2)+1</f>
        <v>46489</v>
      </c>
      <c r="L45" s="31" t="n">
        <f aca="false">J45</f>
        <v>46493</v>
      </c>
      <c r="M45" s="26" t="n">
        <f aca="false">INDEX(LR_Target,MATCH(B45,LR_Lane,0))</f>
        <v>2</v>
      </c>
      <c r="N45" s="31" t="n">
        <f aca="false">WORKDAY.INTL(L45,M45,INDEX(LR_Code,MATCH(B45,LR_Lane,0)),INDEX(DH_Table,0,MATCH(B45&amp;"*",DH_Head,0)))</f>
        <v>46496</v>
      </c>
      <c r="O45" s="35" t="n">
        <f aca="false">IF(W45&lt;&gt;"",W45,IF(U45="Helmond",IF(COUNTIFS(RC_Lane,B45,RC_Band,E45,RC_Transit,"&lt;&gt;")=0,"",SUMIFS(RC_Transit,RC_Lane,B45,RC_Band,E45)),IF(U45="Other","",IF(INDEX(RS_Transit,MATCH(B45,RS_Lane,0))="","",INDEX(RS_Transit,MATCH(B45,RS_Lane,0))))))</f>
        <v>3</v>
      </c>
      <c r="P45" s="36"/>
      <c r="Q45" s="31" t="n">
        <f aca="false">IF(P45&lt;&gt;"",P45,IF(O45="","",WORKDAY.INTL(L45,ROUNDUP(O45,0),INDEX(LR_Code,MATCH(B45,LR_Lane,0)),INDEX(DH_Table,0,MATCH(B45&amp;"*",DH_Head,0)))))</f>
        <v>46497</v>
      </c>
      <c r="R45" s="37" t="str">
        <f aca="false">IF(Q45="","",IF(Q45&lt;=N45,"Yes","No"))</f>
        <v>No</v>
      </c>
      <c r="S45" s="26" t="n">
        <f aca="false">IF(Q45="","",IF(Q45&lt;=N45,0,NETWORKDAYS.INTL(N45,Q45,INDEX(LR_Code,MATCH(B45,LR_Lane,0)),INDEX(DH_Table,0,MATCH(B45&amp;"*",DH_Head,0)))-1))</f>
        <v>1</v>
      </c>
      <c r="T45" s="4"/>
      <c r="U45" s="25" t="str">
        <f aca="false">IF(V45&lt;&gt;"",V45,IF(IFERROR(INDEX(RS_Flag,MATCH(B45,RS_Lane,0)),"")="Yes",IF(IFERROR(INDEX(RS_Loc,MATCH(B45,RS_Lane,0)),"")="","Regional stock",IFERROR(INDEX(RS_Loc,MATCH(B45,RS_Lane,0)),"")),"Helmond"))</f>
        <v>Helmond</v>
      </c>
      <c r="V45" s="17"/>
      <c r="W45" s="38"/>
      <c r="X45" s="39"/>
      <c r="Y45" s="40" t="n">
        <f aca="false">IF(X45&lt;&gt;"",X45,IF(U45="Helmond",IF(COUNTIFS(RC_Lane,B45,RC_Band,E45,RC_CostPS,"&gt;0")=0,"",SUMIFS(RC_CostPS,RC_Lane,B45,RC_Band,E45)),IF(U45="Other","",IF(INDEX(RS_Rate,MATCH(B45,RS_Lane,0))="","",INDEX(RS_Rate,MATCH(B45,RS_Lane,0))))))</f>
        <v>1338.1094</v>
      </c>
    </row>
    <row r="46" customFormat="false" ht="15" hidden="false" customHeight="false" outlineLevel="0" collapsed="false">
      <c r="A46" s="3" t="s">
        <v>313</v>
      </c>
      <c r="B46" s="25" t="s">
        <v>121</v>
      </c>
      <c r="C46" s="8" t="s">
        <v>122</v>
      </c>
      <c r="D46" s="8" t="s">
        <v>287</v>
      </c>
      <c r="E46" s="8" t="s">
        <v>178</v>
      </c>
      <c r="F46" s="19" t="n">
        <v>6.1</v>
      </c>
      <c r="G46" s="33" t="n">
        <f aca="false">F46*0.006477</f>
        <v>0.0395097</v>
      </c>
      <c r="H46" s="19" t="n">
        <f aca="false">F46*1.079436</f>
        <v>6.5845596</v>
      </c>
      <c r="I46" s="18" t="n">
        <f aca="false">MAX(1,ROUNDUP(G46/0.096,0))</f>
        <v>1</v>
      </c>
      <c r="J46" s="31" t="n">
        <v>46493</v>
      </c>
      <c r="K46" s="34" t="n">
        <f aca="false">J46-WEEKDAY(J46,2)+1</f>
        <v>46489</v>
      </c>
      <c r="L46" s="31" t="n">
        <f aca="false">J46</f>
        <v>46493</v>
      </c>
      <c r="M46" s="26" t="n">
        <f aca="false">INDEX(LR_Target,MATCH(B46,LR_Lane,0))</f>
        <v>3</v>
      </c>
      <c r="N46" s="31" t="n">
        <f aca="false">WORKDAY.INTL(L46,M46,INDEX(LR_Code,MATCH(B46,LR_Lane,0)),INDEX(DH_Table,0,MATCH(B46&amp;"*",DH_Head,0)))</f>
        <v>46498</v>
      </c>
      <c r="O46" s="35" t="n">
        <f aca="false">IF(W46&lt;&gt;"",W46,IF(U46="Helmond",IF(COUNTIFS(RC_Lane,B46,RC_Band,E46,RC_Transit,"&lt;&gt;")=0,"",SUMIFS(RC_Transit,RC_Lane,B46,RC_Band,E46)),IF(U46="Other","",IF(INDEX(RS_Transit,MATCH(B46,RS_Lane,0))="","",INDEX(RS_Transit,MATCH(B46,RS_Lane,0))))))</f>
        <v>1</v>
      </c>
      <c r="P46" s="36"/>
      <c r="Q46" s="31" t="n">
        <f aca="false">IF(P46&lt;&gt;"",P46,IF(O46="","",WORKDAY.INTL(L46,ROUNDUP(O46,0),INDEX(LR_Code,MATCH(B46,LR_Lane,0)),INDEX(DH_Table,0,MATCH(B46&amp;"*",DH_Head,0)))))</f>
        <v>46496</v>
      </c>
      <c r="R46" s="37" t="str">
        <f aca="false">IF(Q46="","",IF(Q46&lt;=N46,"Yes","No"))</f>
        <v>Yes</v>
      </c>
      <c r="S46" s="26" t="n">
        <f aca="false">IF(Q46="","",IF(Q46&lt;=N46,0,NETWORKDAYS.INTL(N46,Q46,INDEX(LR_Code,MATCH(B46,LR_Lane,0)),INDEX(DH_Table,0,MATCH(B46&amp;"*",DH_Head,0)))-1))</f>
        <v>0</v>
      </c>
      <c r="T46" s="4"/>
      <c r="U46" s="25" t="str">
        <f aca="false">IF(V46&lt;&gt;"",V46,IF(IFERROR(INDEX(RS_Flag,MATCH(B46,RS_Lane,0)),"")="Yes",IF(IFERROR(INDEX(RS_Loc,MATCH(B46,RS_Lane,0)),"")="","Regional stock",IFERROR(INDEX(RS_Loc,MATCH(B46,RS_Lane,0)),"")),"Helmond"))</f>
        <v>Helmond</v>
      </c>
      <c r="V46" s="17"/>
      <c r="W46" s="38"/>
      <c r="X46" s="39"/>
      <c r="Y46" s="40" t="n">
        <f aca="false">IF(X46&lt;&gt;"",X46,IF(U46="Helmond",IF(COUNTIFS(RC_Lane,B46,RC_Band,E46,RC_CostPS,"&gt;0")=0,"",SUMIFS(RC_CostPS,RC_Lane,B46,RC_Band,E46)),IF(U46="Other","",IF(INDEX(RS_Rate,MATCH(B46,RS_Lane,0))="","",INDEX(RS_Rate,MATCH(B46,RS_Lane,0))))))</f>
        <v>76.3</v>
      </c>
    </row>
    <row r="47" customFormat="false" ht="15" hidden="false" customHeight="false" outlineLevel="0" collapsed="false">
      <c r="A47" s="3" t="s">
        <v>314</v>
      </c>
      <c r="B47" s="25" t="s">
        <v>108</v>
      </c>
      <c r="C47" s="8" t="s">
        <v>109</v>
      </c>
      <c r="D47" s="8" t="s">
        <v>272</v>
      </c>
      <c r="E47" s="8" t="s">
        <v>183</v>
      </c>
      <c r="F47" s="19" t="n">
        <v>1181.4</v>
      </c>
      <c r="G47" s="33" t="n">
        <f aca="false">F47*0.006477</f>
        <v>7.6519278</v>
      </c>
      <c r="H47" s="19" t="n">
        <f aca="false">F47*1.079436</f>
        <v>1275.2456904</v>
      </c>
      <c r="I47" s="18" t="n">
        <f aca="false">MAX(1,ROUNDUP(G47/0.096,0))</f>
        <v>80</v>
      </c>
      <c r="J47" s="31" t="n">
        <v>46497</v>
      </c>
      <c r="K47" s="34" t="n">
        <f aca="false">J47-WEEKDAY(J47,2)+1</f>
        <v>46496</v>
      </c>
      <c r="L47" s="31" t="n">
        <f aca="false">J47</f>
        <v>46497</v>
      </c>
      <c r="M47" s="26" t="n">
        <f aca="false">INDEX(LR_Target,MATCH(B47,LR_Lane,0))</f>
        <v>2</v>
      </c>
      <c r="N47" s="31" t="n">
        <f aca="false">WORKDAY.INTL(L47,M47,INDEX(LR_Code,MATCH(B47,LR_Lane,0)),INDEX(DH_Table,0,MATCH(B47&amp;"*",DH_Head,0)))</f>
        <v>46499</v>
      </c>
      <c r="O47" s="35" t="n">
        <f aca="false">IF(W47&lt;&gt;"",W47,IF(U47="Helmond",IF(COUNTIFS(RC_Lane,B47,RC_Band,E47,RC_Transit,"&lt;&gt;")=0,"",SUMIFS(RC_Transit,RC_Lane,B47,RC_Band,E47)),IF(U47="Other","",IF(INDEX(RS_Transit,MATCH(B47,RS_Lane,0))="","",INDEX(RS_Transit,MATCH(B47,RS_Lane,0))))))</f>
        <v>4</v>
      </c>
      <c r="P47" s="36"/>
      <c r="Q47" s="31" t="n">
        <f aca="false">IF(P47&lt;&gt;"",P47,IF(O47="","",WORKDAY.INTL(L47,ROUNDUP(O47,0),INDEX(LR_Code,MATCH(B47,LR_Lane,0)),INDEX(DH_Table,0,MATCH(B47&amp;"*",DH_Head,0)))))</f>
        <v>46503</v>
      </c>
      <c r="R47" s="37" t="str">
        <f aca="false">IF(Q47="","",IF(Q47&lt;=N47,"Yes","No"))</f>
        <v>No</v>
      </c>
      <c r="S47" s="26" t="n">
        <f aca="false">IF(Q47="","",IF(Q47&lt;=N47,0,NETWORKDAYS.INTL(N47,Q47,INDEX(LR_Code,MATCH(B47,LR_Lane,0)),INDEX(DH_Table,0,MATCH(B47&amp;"*",DH_Head,0)))-1))</f>
        <v>2</v>
      </c>
      <c r="T47" s="4"/>
      <c r="U47" s="25" t="str">
        <f aca="false">IF(V47&lt;&gt;"",V47,IF(IFERROR(INDEX(RS_Flag,MATCH(B47,RS_Lane,0)),"")="Yes",IF(IFERROR(INDEX(RS_Loc,MATCH(B47,RS_Lane,0)),"")="","Regional stock",IFERROR(INDEX(RS_Loc,MATCH(B47,RS_Lane,0)),"")),"Helmond"))</f>
        <v>Helmond</v>
      </c>
      <c r="V47" s="17"/>
      <c r="W47" s="38"/>
      <c r="X47" s="39"/>
      <c r="Y47" s="40" t="n">
        <f aca="false">IF(X47&lt;&gt;"",X47,IF(U47="Helmond",IF(COUNTIFS(RC_Lane,B47,RC_Band,E47,RC_CostPS,"&gt;0")=0,"",SUMIFS(RC_CostPS,RC_Lane,B47,RC_Band,E47)),IF(U47="Other","",IF(INDEX(RS_Rate,MATCH(B47,RS_Lane,0))="","",INDEX(RS_Rate,MATCH(B47,RS_Lane,0))))))</f>
        <v>3212.032</v>
      </c>
    </row>
    <row r="48" customFormat="false" ht="15" hidden="false" customHeight="false" outlineLevel="0" collapsed="false">
      <c r="A48" s="3" t="s">
        <v>315</v>
      </c>
      <c r="B48" s="25" t="s">
        <v>119</v>
      </c>
      <c r="C48" s="8" t="s">
        <v>120</v>
      </c>
      <c r="D48" s="8" t="s">
        <v>155</v>
      </c>
      <c r="E48" s="8" t="s">
        <v>180</v>
      </c>
      <c r="F48" s="19" t="n">
        <v>60.7</v>
      </c>
      <c r="G48" s="33" t="n">
        <f aca="false">F48*0.006477</f>
        <v>0.3931539</v>
      </c>
      <c r="H48" s="19" t="n">
        <f aca="false">F48*1.079436</f>
        <v>65.5217652</v>
      </c>
      <c r="I48" s="18" t="n">
        <f aca="false">MAX(1,ROUNDUP(G48/0.096,0))</f>
        <v>5</v>
      </c>
      <c r="J48" s="31" t="n">
        <v>46497</v>
      </c>
      <c r="K48" s="34" t="n">
        <f aca="false">J48-WEEKDAY(J48,2)+1</f>
        <v>46496</v>
      </c>
      <c r="L48" s="31" t="n">
        <f aca="false">J48</f>
        <v>46497</v>
      </c>
      <c r="M48" s="26" t="n">
        <f aca="false">INDEX(LR_Target,MATCH(B48,LR_Lane,0))</f>
        <v>3</v>
      </c>
      <c r="N48" s="31" t="n">
        <f aca="false">WORKDAY.INTL(L48,M48,INDEX(LR_Code,MATCH(B48,LR_Lane,0)),INDEX(DH_Table,0,MATCH(B48&amp;"*",DH_Head,0)))</f>
        <v>46503</v>
      </c>
      <c r="O48" s="35" t="n">
        <f aca="false">IF(W48&lt;&gt;"",W48,IF(U48="Helmond",IF(COUNTIFS(RC_Lane,B48,RC_Band,E48,RC_Transit,"&lt;&gt;")=0,"",SUMIFS(RC_Transit,RC_Lane,B48,RC_Band,E48)),IF(U48="Other","",IF(INDEX(RS_Transit,MATCH(B48,RS_Lane,0))="","",INDEX(RS_Transit,MATCH(B48,RS_Lane,0))))))</f>
        <v>2</v>
      </c>
      <c r="P48" s="36"/>
      <c r="Q48" s="31" t="n">
        <f aca="false">IF(P48&lt;&gt;"",P48,IF(O48="","",WORKDAY.INTL(L48,ROUNDUP(O48,0),INDEX(LR_Code,MATCH(B48,LR_Lane,0)),INDEX(DH_Table,0,MATCH(B48&amp;"*",DH_Head,0)))))</f>
        <v>46499</v>
      </c>
      <c r="R48" s="37" t="str">
        <f aca="false">IF(Q48="","",IF(Q48&lt;=N48,"Yes","No"))</f>
        <v>Yes</v>
      </c>
      <c r="S48" s="26" t="n">
        <f aca="false">IF(Q48="","",IF(Q48&lt;=N48,0,NETWORKDAYS.INTL(N48,Q48,INDEX(LR_Code,MATCH(B48,LR_Lane,0)),INDEX(DH_Table,0,MATCH(B48&amp;"*",DH_Head,0)))-1))</f>
        <v>0</v>
      </c>
      <c r="T48" s="4"/>
      <c r="U48" s="25" t="str">
        <f aca="false">IF(V48&lt;&gt;"",V48,IF(IFERROR(INDEX(RS_Flag,MATCH(B48,RS_Lane,0)),"")="Yes",IF(IFERROR(INDEX(RS_Loc,MATCH(B48,RS_Lane,0)),"")="","Regional stock",IFERROR(INDEX(RS_Loc,MATCH(B48,RS_Lane,0)),"")),"Helmond"))</f>
        <v>Helmond</v>
      </c>
      <c r="V48" s="17"/>
      <c r="W48" s="38"/>
      <c r="X48" s="39"/>
      <c r="Y48" s="40" t="n">
        <f aca="false">IF(X48&lt;&gt;"",X48,IF(U48="Helmond",IF(COUNTIFS(RC_Lane,B48,RC_Band,E48,RC_CostPS,"&gt;0")=0,"",SUMIFS(RC_CostPS,RC_Lane,B48,RC_Band,E48)),IF(U48="Other","",IF(INDEX(RS_Rate,MATCH(B48,RS_Lane,0))="","",INDEX(RS_Rate,MATCH(B48,RS_Lane,0))))))</f>
        <v>319.8048</v>
      </c>
    </row>
    <row r="49" customFormat="false" ht="15" hidden="false" customHeight="false" outlineLevel="0" collapsed="false">
      <c r="A49" s="3" t="s">
        <v>316</v>
      </c>
      <c r="B49" s="25" t="s">
        <v>124</v>
      </c>
      <c r="C49" s="8" t="s">
        <v>125</v>
      </c>
      <c r="D49" s="8" t="s">
        <v>157</v>
      </c>
      <c r="E49" s="8" t="s">
        <v>182</v>
      </c>
      <c r="F49" s="19" t="n">
        <v>260.6</v>
      </c>
      <c r="G49" s="33" t="n">
        <f aca="false">F49*0.006477</f>
        <v>1.6879062</v>
      </c>
      <c r="H49" s="19" t="n">
        <f aca="false">F49*1.079436</f>
        <v>281.3010216</v>
      </c>
      <c r="I49" s="18" t="n">
        <f aca="false">MAX(1,ROUNDUP(G49/0.096,0))</f>
        <v>18</v>
      </c>
      <c r="J49" s="31" t="n">
        <v>46497</v>
      </c>
      <c r="K49" s="34" t="n">
        <f aca="false">J49-WEEKDAY(J49,2)+1</f>
        <v>46496</v>
      </c>
      <c r="L49" s="31" t="n">
        <f aca="false">J49</f>
        <v>46497</v>
      </c>
      <c r="M49" s="26" t="n">
        <f aca="false">INDEX(LR_Target,MATCH(B49,LR_Lane,0))</f>
        <v>5</v>
      </c>
      <c r="N49" s="31" t="n">
        <f aca="false">WORKDAY.INTL(L49,M49,INDEX(LR_Code,MATCH(B49,LR_Lane,0)),INDEX(DH_Table,0,MATCH(B49&amp;"*",DH_Head,0)))</f>
        <v>46504</v>
      </c>
      <c r="O49" s="35" t="n">
        <f aca="false">IF(W49&lt;&gt;"",W49,IF(U49="Helmond",IF(COUNTIFS(RC_Lane,B49,RC_Band,E49,RC_Transit,"&lt;&gt;")=0,"",SUMIFS(RC_Transit,RC_Lane,B49,RC_Band,E49)),IF(U49="Other","",IF(INDEX(RS_Transit,MATCH(B49,RS_Lane,0))="","",INDEX(RS_Transit,MATCH(B49,RS_Lane,0))))))</f>
        <v>3</v>
      </c>
      <c r="P49" s="36"/>
      <c r="Q49" s="31" t="n">
        <f aca="false">IF(P49&lt;&gt;"",P49,IF(O49="","",WORKDAY.INTL(L49,ROUNDUP(O49,0),INDEX(LR_Code,MATCH(B49,LR_Lane,0)),INDEX(DH_Table,0,MATCH(B49&amp;"*",DH_Head,0)))))</f>
        <v>46502</v>
      </c>
      <c r="R49" s="37" t="str">
        <f aca="false">IF(Q49="","",IF(Q49&lt;=N49,"Yes","No"))</f>
        <v>Yes</v>
      </c>
      <c r="S49" s="26" t="n">
        <f aca="false">IF(Q49="","",IF(Q49&lt;=N49,0,NETWORKDAYS.INTL(N49,Q49,INDEX(LR_Code,MATCH(B49,LR_Lane,0)),INDEX(DH_Table,0,MATCH(B49&amp;"*",DH_Head,0)))-1))</f>
        <v>0</v>
      </c>
      <c r="T49" s="4"/>
      <c r="U49" s="25" t="str">
        <f aca="false">IF(V49&lt;&gt;"",V49,IF(IFERROR(INDEX(RS_Flag,MATCH(B49,RS_Lane,0)),"")="Yes",IF(IFERROR(INDEX(RS_Loc,MATCH(B49,RS_Lane,0)),"")="","Regional stock",IFERROR(INDEX(RS_Loc,MATCH(B49,RS_Lane,0)),"")),"Helmond"))</f>
        <v>Helmond</v>
      </c>
      <c r="V49" s="17"/>
      <c r="W49" s="38"/>
      <c r="X49" s="39"/>
      <c r="Y49" s="40" t="n">
        <f aca="false">IF(X49&lt;&gt;"",X49,IF(U49="Helmond",IF(COUNTIFS(RC_Lane,B49,RC_Band,E49,RC_CostPS,"&gt;0")=0,"",SUMIFS(RC_CostPS,RC_Lane,B49,RC_Band,E49)),IF(U49="Other","",IF(INDEX(RS_Rate,MATCH(B49,RS_Lane,0))="","",INDEX(RS_Rate,MATCH(B49,RS_Lane,0))))))</f>
        <v>1477.373</v>
      </c>
    </row>
    <row r="50" customFormat="false" ht="15" hidden="false" customHeight="false" outlineLevel="0" collapsed="false">
      <c r="A50" s="3" t="s">
        <v>317</v>
      </c>
      <c r="B50" s="25" t="s">
        <v>112</v>
      </c>
      <c r="C50" s="8" t="s">
        <v>113</v>
      </c>
      <c r="D50" s="8" t="s">
        <v>152</v>
      </c>
      <c r="E50" s="8" t="s">
        <v>178</v>
      </c>
      <c r="F50" s="19" t="n">
        <v>10.5</v>
      </c>
      <c r="G50" s="33" t="n">
        <f aca="false">F50*0.006477</f>
        <v>0.0680085</v>
      </c>
      <c r="H50" s="19" t="n">
        <f aca="false">F50*1.079436</f>
        <v>11.334078</v>
      </c>
      <c r="I50" s="18" t="n">
        <f aca="false">MAX(1,ROUNDUP(G50/0.096,0))</f>
        <v>1</v>
      </c>
      <c r="J50" s="31" t="n">
        <v>46500</v>
      </c>
      <c r="K50" s="34" t="n">
        <f aca="false">J50-WEEKDAY(J50,2)+1</f>
        <v>46496</v>
      </c>
      <c r="L50" s="31" t="n">
        <f aca="false">J50</f>
        <v>46500</v>
      </c>
      <c r="M50" s="26" t="n">
        <f aca="false">INDEX(LR_Target,MATCH(B50,LR_Lane,0))</f>
        <v>2</v>
      </c>
      <c r="N50" s="31" t="n">
        <f aca="false">WORKDAY.INTL(L50,M50,INDEX(LR_Code,MATCH(B50,LR_Lane,0)),INDEX(DH_Table,0,MATCH(B50&amp;"*",DH_Head,0)))</f>
        <v>46504</v>
      </c>
      <c r="O50" s="35" t="n">
        <f aca="false">IF(W50&lt;&gt;"",W50,IF(U50="Helmond",IF(COUNTIFS(RC_Lane,B50,RC_Band,E50,RC_Transit,"&lt;&gt;")=0,"",SUMIFS(RC_Transit,RC_Lane,B50,RC_Band,E50)),IF(U50="Other","",IF(INDEX(RS_Transit,MATCH(B50,RS_Lane,0))="","",INDEX(RS_Transit,MATCH(B50,RS_Lane,0))))))</f>
        <v>1</v>
      </c>
      <c r="P50" s="36"/>
      <c r="Q50" s="31" t="n">
        <f aca="false">IF(P50&lt;&gt;"",P50,IF(O50="","",WORKDAY.INTL(L50,ROUNDUP(O50,0),INDEX(LR_Code,MATCH(B50,LR_Lane,0)),INDEX(DH_Table,0,MATCH(B50&amp;"*",DH_Head,0)))))</f>
        <v>46503</v>
      </c>
      <c r="R50" s="37" t="str">
        <f aca="false">IF(Q50="","",IF(Q50&lt;=N50,"Yes","No"))</f>
        <v>Yes</v>
      </c>
      <c r="S50" s="26" t="n">
        <f aca="false">IF(Q50="","",IF(Q50&lt;=N50,0,NETWORKDAYS.INTL(N50,Q50,INDEX(LR_Code,MATCH(B50,LR_Lane,0)),INDEX(DH_Table,0,MATCH(B50&amp;"*",DH_Head,0)))-1))</f>
        <v>0</v>
      </c>
      <c r="T50" s="4"/>
      <c r="U50" s="25" t="str">
        <f aca="false">IF(V50&lt;&gt;"",V50,IF(IFERROR(INDEX(RS_Flag,MATCH(B50,RS_Lane,0)),"")="Yes",IF(IFERROR(INDEX(RS_Loc,MATCH(B50,RS_Lane,0)),"")="","Regional stock",IFERROR(INDEX(RS_Loc,MATCH(B50,RS_Lane,0)),"")),"Helmond"))</f>
        <v>Helmond</v>
      </c>
      <c r="V50" s="17"/>
      <c r="W50" s="38"/>
      <c r="X50" s="39"/>
      <c r="Y50" s="40" t="n">
        <f aca="false">IF(X50&lt;&gt;"",X50,IF(U50="Helmond",IF(COUNTIFS(RC_Lane,B50,RC_Band,E50,RC_CostPS,"&gt;0")=0,"",SUMIFS(RC_CostPS,RC_Lane,B50,RC_Band,E50)),IF(U50="Other","",IF(INDEX(RS_Rate,MATCH(B50,RS_Lane,0))="","",INDEX(RS_Rate,MATCH(B50,RS_Lane,0))))))</f>
        <v>76.3</v>
      </c>
    </row>
    <row r="51" customFormat="false" ht="15" hidden="false" customHeight="false" outlineLevel="0" collapsed="false">
      <c r="A51" s="3" t="s">
        <v>318</v>
      </c>
      <c r="B51" s="25" t="s">
        <v>108</v>
      </c>
      <c r="C51" s="8" t="s">
        <v>109</v>
      </c>
      <c r="D51" s="8" t="s">
        <v>270</v>
      </c>
      <c r="E51" s="8" t="s">
        <v>182</v>
      </c>
      <c r="F51" s="19" t="n">
        <v>129.6</v>
      </c>
      <c r="G51" s="33" t="n">
        <f aca="false">F51*0.006477</f>
        <v>0.8394192</v>
      </c>
      <c r="H51" s="19" t="n">
        <f aca="false">F51*1.079436</f>
        <v>139.8949056</v>
      </c>
      <c r="I51" s="18" t="n">
        <f aca="false">MAX(1,ROUNDUP(G51/0.096,0))</f>
        <v>9</v>
      </c>
      <c r="J51" s="31" t="n">
        <v>46505</v>
      </c>
      <c r="K51" s="34" t="n">
        <f aca="false">J51-WEEKDAY(J51,2)+1</f>
        <v>46503</v>
      </c>
      <c r="L51" s="31" t="n">
        <f aca="false">J51</f>
        <v>46505</v>
      </c>
      <c r="M51" s="26" t="n">
        <f aca="false">INDEX(LR_Target,MATCH(B51,LR_Lane,0))</f>
        <v>2</v>
      </c>
      <c r="N51" s="31" t="n">
        <f aca="false">WORKDAY.INTL(L51,M51,INDEX(LR_Code,MATCH(B51,LR_Lane,0)),INDEX(DH_Table,0,MATCH(B51&amp;"*",DH_Head,0)))</f>
        <v>46509</v>
      </c>
      <c r="O51" s="35" t="n">
        <f aca="false">IF(W51&lt;&gt;"",W51,IF(U51="Helmond",IF(COUNTIFS(RC_Lane,B51,RC_Band,E51,RC_Transit,"&lt;&gt;")=0,"",SUMIFS(RC_Transit,RC_Lane,B51,RC_Band,E51)),IF(U51="Other","",IF(INDEX(RS_Transit,MATCH(B51,RS_Lane,0))="","",INDEX(RS_Transit,MATCH(B51,RS_Lane,0))))))</f>
        <v>3</v>
      </c>
      <c r="P51" s="36"/>
      <c r="Q51" s="31" t="n">
        <f aca="false">IF(P51&lt;&gt;"",P51,IF(O51="","",WORKDAY.INTL(L51,ROUNDUP(O51,0),INDEX(LR_Code,MATCH(B51,LR_Lane,0)),INDEX(DH_Table,0,MATCH(B51&amp;"*",DH_Head,0)))))</f>
        <v>46510</v>
      </c>
      <c r="R51" s="37" t="str">
        <f aca="false">IF(Q51="","",IF(Q51&lt;=N51,"Yes","No"))</f>
        <v>No</v>
      </c>
      <c r="S51" s="26" t="n">
        <f aca="false">IF(Q51="","",IF(Q51&lt;=N51,0,NETWORKDAYS.INTL(N51,Q51,INDEX(LR_Code,MATCH(B51,LR_Lane,0)),INDEX(DH_Table,0,MATCH(B51&amp;"*",DH_Head,0)))-1))</f>
        <v>1</v>
      </c>
      <c r="T51" s="4"/>
      <c r="U51" s="25" t="str">
        <f aca="false">IF(V51&lt;&gt;"",V51,IF(IFERROR(INDEX(RS_Flag,MATCH(B51,RS_Lane,0)),"")="Yes",IF(IFERROR(INDEX(RS_Loc,MATCH(B51,RS_Lane,0)),"")="","Regional stock",IFERROR(INDEX(RS_Loc,MATCH(B51,RS_Lane,0)),"")),"Helmond"))</f>
        <v>Helmond</v>
      </c>
      <c r="V51" s="17"/>
      <c r="W51" s="38"/>
      <c r="X51" s="39"/>
      <c r="Y51" s="40" t="n">
        <f aca="false">IF(X51&lt;&gt;"",X51,IF(U51="Helmond",IF(COUNTIFS(RC_Lane,B51,RC_Band,E51,RC_CostPS,"&gt;0")=0,"",SUMIFS(RC_CostPS,RC_Lane,B51,RC_Band,E51)),IF(U51="Other","",IF(INDEX(RS_Rate,MATCH(B51,RS_Lane,0))="","",INDEX(RS_Rate,MATCH(B51,RS_Lane,0))))))</f>
        <v>1062.898</v>
      </c>
    </row>
    <row r="52" customFormat="false" ht="15" hidden="false" customHeight="false" outlineLevel="0" collapsed="false">
      <c r="A52" s="3" t="s">
        <v>319</v>
      </c>
      <c r="B52" s="25" t="s">
        <v>112</v>
      </c>
      <c r="C52" s="8" t="s">
        <v>113</v>
      </c>
      <c r="D52" s="8" t="s">
        <v>152</v>
      </c>
      <c r="E52" s="8" t="s">
        <v>178</v>
      </c>
      <c r="F52" s="19" t="n">
        <v>9.6</v>
      </c>
      <c r="G52" s="33" t="n">
        <f aca="false">F52*0.006477</f>
        <v>0.0621792</v>
      </c>
      <c r="H52" s="19" t="n">
        <f aca="false">F52*1.079436</f>
        <v>10.3625856</v>
      </c>
      <c r="I52" s="18" t="n">
        <f aca="false">MAX(1,ROUNDUP(G52/0.096,0))</f>
        <v>1</v>
      </c>
      <c r="J52" s="31" t="n">
        <v>46505</v>
      </c>
      <c r="K52" s="34" t="n">
        <f aca="false">J52-WEEKDAY(J52,2)+1</f>
        <v>46503</v>
      </c>
      <c r="L52" s="31" t="n">
        <f aca="false">J52</f>
        <v>46505</v>
      </c>
      <c r="M52" s="26" t="n">
        <f aca="false">INDEX(LR_Target,MATCH(B52,LR_Lane,0))</f>
        <v>2</v>
      </c>
      <c r="N52" s="31" t="n">
        <f aca="false">WORKDAY.INTL(L52,M52,INDEX(LR_Code,MATCH(B52,LR_Lane,0)),INDEX(DH_Table,0,MATCH(B52&amp;"*",DH_Head,0)))</f>
        <v>46507</v>
      </c>
      <c r="O52" s="35" t="n">
        <f aca="false">IF(W52&lt;&gt;"",W52,IF(U52="Helmond",IF(COUNTIFS(RC_Lane,B52,RC_Band,E52,RC_Transit,"&lt;&gt;")=0,"",SUMIFS(RC_Transit,RC_Lane,B52,RC_Band,E52)),IF(U52="Other","",IF(INDEX(RS_Transit,MATCH(B52,RS_Lane,0))="","",INDEX(RS_Transit,MATCH(B52,RS_Lane,0))))))</f>
        <v>1</v>
      </c>
      <c r="P52" s="36"/>
      <c r="Q52" s="31" t="n">
        <f aca="false">IF(P52&lt;&gt;"",P52,IF(O52="","",WORKDAY.INTL(L52,ROUNDUP(O52,0),INDEX(LR_Code,MATCH(B52,LR_Lane,0)),INDEX(DH_Table,0,MATCH(B52&amp;"*",DH_Head,0)))))</f>
        <v>46506</v>
      </c>
      <c r="R52" s="37" t="str">
        <f aca="false">IF(Q52="","",IF(Q52&lt;=N52,"Yes","No"))</f>
        <v>Yes</v>
      </c>
      <c r="S52" s="26" t="n">
        <f aca="false">IF(Q52="","",IF(Q52&lt;=N52,0,NETWORKDAYS.INTL(N52,Q52,INDEX(LR_Code,MATCH(B52,LR_Lane,0)),INDEX(DH_Table,0,MATCH(B52&amp;"*",DH_Head,0)))-1))</f>
        <v>0</v>
      </c>
      <c r="T52" s="4"/>
      <c r="U52" s="25" t="str">
        <f aca="false">IF(V52&lt;&gt;"",V52,IF(IFERROR(INDEX(RS_Flag,MATCH(B52,RS_Lane,0)),"")="Yes",IF(IFERROR(INDEX(RS_Loc,MATCH(B52,RS_Lane,0)),"")="","Regional stock",IFERROR(INDEX(RS_Loc,MATCH(B52,RS_Lane,0)),"")),"Helmond"))</f>
        <v>Helmond</v>
      </c>
      <c r="V52" s="17"/>
      <c r="W52" s="38"/>
      <c r="X52" s="39"/>
      <c r="Y52" s="40" t="n">
        <f aca="false">IF(X52&lt;&gt;"",X52,IF(U52="Helmond",IF(COUNTIFS(RC_Lane,B52,RC_Band,E52,RC_CostPS,"&gt;0")=0,"",SUMIFS(RC_CostPS,RC_Lane,B52,RC_Band,E52)),IF(U52="Other","",IF(INDEX(RS_Rate,MATCH(B52,RS_Lane,0))="","",INDEX(RS_Rate,MATCH(B52,RS_Lane,0))))))</f>
        <v>76.3</v>
      </c>
    </row>
    <row r="53" customFormat="false" ht="15" hidden="false" customHeight="false" outlineLevel="0" collapsed="false">
      <c r="A53" s="3" t="s">
        <v>320</v>
      </c>
      <c r="B53" s="25" t="s">
        <v>119</v>
      </c>
      <c r="C53" s="8" t="s">
        <v>120</v>
      </c>
      <c r="D53" s="8" t="s">
        <v>155</v>
      </c>
      <c r="E53" s="8" t="s">
        <v>182</v>
      </c>
      <c r="F53" s="19" t="n">
        <v>121.1</v>
      </c>
      <c r="G53" s="33" t="n">
        <f aca="false">F53*0.006477</f>
        <v>0.7843647</v>
      </c>
      <c r="H53" s="19" t="n">
        <f aca="false">F53*1.079436</f>
        <v>130.7196996</v>
      </c>
      <c r="I53" s="18" t="n">
        <f aca="false">MAX(1,ROUNDUP(G53/0.096,0))</f>
        <v>9</v>
      </c>
      <c r="J53" s="31" t="n">
        <v>46506</v>
      </c>
      <c r="K53" s="34" t="n">
        <f aca="false">J53-WEEKDAY(J53,2)+1</f>
        <v>46503</v>
      </c>
      <c r="L53" s="31" t="n">
        <f aca="false">J53</f>
        <v>46506</v>
      </c>
      <c r="M53" s="26" t="n">
        <f aca="false">INDEX(LR_Target,MATCH(B53,LR_Lane,0))</f>
        <v>3</v>
      </c>
      <c r="N53" s="31" t="n">
        <f aca="false">WORKDAY.INTL(L53,M53,INDEX(LR_Code,MATCH(B53,LR_Lane,0)),INDEX(DH_Table,0,MATCH(B53&amp;"*",DH_Head,0)))</f>
        <v>46511</v>
      </c>
      <c r="O53" s="35" t="n">
        <f aca="false">IF(W53&lt;&gt;"",W53,IF(U53="Helmond",IF(COUNTIFS(RC_Lane,B53,RC_Band,E53,RC_Transit,"&lt;&gt;")=0,"",SUMIFS(RC_Transit,RC_Lane,B53,RC_Band,E53)),IF(U53="Other","",IF(INDEX(RS_Transit,MATCH(B53,RS_Lane,0))="","",INDEX(RS_Transit,MATCH(B53,RS_Lane,0))))))</f>
        <v>3</v>
      </c>
      <c r="P53" s="36"/>
      <c r="Q53" s="31" t="n">
        <f aca="false">IF(P53&lt;&gt;"",P53,IF(O53="","",WORKDAY.INTL(L53,ROUNDUP(O53,0),INDEX(LR_Code,MATCH(B53,LR_Lane,0)),INDEX(DH_Table,0,MATCH(B53&amp;"*",DH_Head,0)))))</f>
        <v>46511</v>
      </c>
      <c r="R53" s="37" t="str">
        <f aca="false">IF(Q53="","",IF(Q53&lt;=N53,"Yes","No"))</f>
        <v>Yes</v>
      </c>
      <c r="S53" s="26" t="n">
        <f aca="false">IF(Q53="","",IF(Q53&lt;=N53,0,NETWORKDAYS.INTL(N53,Q53,INDEX(LR_Code,MATCH(B53,LR_Lane,0)),INDEX(DH_Table,0,MATCH(B53&amp;"*",DH_Head,0)))-1))</f>
        <v>0</v>
      </c>
      <c r="T53" s="4"/>
      <c r="U53" s="25" t="str">
        <f aca="false">IF(V53&lt;&gt;"",V53,IF(IFERROR(INDEX(RS_Flag,MATCH(B53,RS_Lane,0)),"")="Yes",IF(IFERROR(INDEX(RS_Loc,MATCH(B53,RS_Lane,0)),"")="","Regional stock",IFERROR(INDEX(RS_Loc,MATCH(B53,RS_Lane,0)),"")),"Helmond"))</f>
        <v>Helmond</v>
      </c>
      <c r="V53" s="17"/>
      <c r="W53" s="38"/>
      <c r="X53" s="39"/>
      <c r="Y53" s="40" t="n">
        <f aca="false">IF(X53&lt;&gt;"",X53,IF(U53="Helmond",IF(COUNTIFS(RC_Lane,B53,RC_Band,E53,RC_CostPS,"&gt;0")=0,"",SUMIFS(RC_CostPS,RC_Lane,B53,RC_Band,E53)),IF(U53="Other","",IF(INDEX(RS_Rate,MATCH(B53,RS_Lane,0))="","",INDEX(RS_Rate,MATCH(B53,RS_Lane,0))))))</f>
        <v>1474.0572</v>
      </c>
    </row>
    <row r="54" customFormat="false" ht="15" hidden="false" customHeight="false" outlineLevel="0" collapsed="false">
      <c r="A54" s="3" t="s">
        <v>321</v>
      </c>
      <c r="B54" s="25" t="s">
        <v>108</v>
      </c>
      <c r="C54" s="8" t="s">
        <v>109</v>
      </c>
      <c r="D54" s="8" t="s">
        <v>272</v>
      </c>
      <c r="E54" s="8" t="s">
        <v>180</v>
      </c>
      <c r="F54" s="19" t="n">
        <v>58.7</v>
      </c>
      <c r="G54" s="33" t="n">
        <f aca="false">F54*0.006477</f>
        <v>0.3801999</v>
      </c>
      <c r="H54" s="19" t="n">
        <f aca="false">F54*1.079436</f>
        <v>63.3628932</v>
      </c>
      <c r="I54" s="18" t="n">
        <f aca="false">MAX(1,ROUNDUP(G54/0.096,0))</f>
        <v>4</v>
      </c>
      <c r="J54" s="31" t="n">
        <v>46507</v>
      </c>
      <c r="K54" s="34" t="n">
        <f aca="false">J54-WEEKDAY(J54,2)+1</f>
        <v>46503</v>
      </c>
      <c r="L54" s="31" t="n">
        <f aca="false">J54</f>
        <v>46507</v>
      </c>
      <c r="M54" s="26" t="n">
        <f aca="false">INDEX(LR_Target,MATCH(B54,LR_Lane,0))</f>
        <v>2</v>
      </c>
      <c r="N54" s="31" t="n">
        <f aca="false">WORKDAY.INTL(L54,M54,INDEX(LR_Code,MATCH(B54,LR_Lane,0)),INDEX(DH_Table,0,MATCH(B54&amp;"*",DH_Head,0)))</f>
        <v>46510</v>
      </c>
      <c r="O54" s="35" t="n">
        <f aca="false">IF(W54&lt;&gt;"",W54,IF(U54="Helmond",IF(COUNTIFS(RC_Lane,B54,RC_Band,E54,RC_Transit,"&lt;&gt;")=0,"",SUMIFS(RC_Transit,RC_Lane,B54,RC_Band,E54)),IF(U54="Other","",IF(INDEX(RS_Transit,MATCH(B54,RS_Lane,0))="","",INDEX(RS_Transit,MATCH(B54,RS_Lane,0))))))</f>
        <v>2</v>
      </c>
      <c r="P54" s="36"/>
      <c r="Q54" s="31" t="n">
        <f aca="false">IF(P54&lt;&gt;"",P54,IF(O54="","",WORKDAY.INTL(L54,ROUNDUP(O54,0),INDEX(LR_Code,MATCH(B54,LR_Lane,0)),INDEX(DH_Table,0,MATCH(B54&amp;"*",DH_Head,0)))))</f>
        <v>46510</v>
      </c>
      <c r="R54" s="37" t="str">
        <f aca="false">IF(Q54="","",IF(Q54&lt;=N54,"Yes","No"))</f>
        <v>Yes</v>
      </c>
      <c r="S54" s="26" t="n">
        <f aca="false">IF(Q54="","",IF(Q54&lt;=N54,0,NETWORKDAYS.INTL(N54,Q54,INDEX(LR_Code,MATCH(B54,LR_Lane,0)),INDEX(DH_Table,0,MATCH(B54&amp;"*",DH_Head,0)))-1))</f>
        <v>0</v>
      </c>
      <c r="T54" s="4"/>
      <c r="U54" s="25" t="str">
        <f aca="false">IF(V54&lt;&gt;"",V54,IF(IFERROR(INDEX(RS_Flag,MATCH(B54,RS_Lane,0)),"")="Yes",IF(IFERROR(INDEX(RS_Loc,MATCH(B54,RS_Lane,0)),"")="","Regional stock",IFERROR(INDEX(RS_Loc,MATCH(B54,RS_Lane,0)),"")),"Helmond"))</f>
        <v>Helmond</v>
      </c>
      <c r="V54" s="17"/>
      <c r="W54" s="38"/>
      <c r="X54" s="39"/>
      <c r="Y54" s="40" t="n">
        <f aca="false">IF(X54&lt;&gt;"",X54,IF(U54="Helmond",IF(COUNTIFS(RC_Lane,B54,RC_Band,E54,RC_CostPS,"&gt;0")=0,"",SUMIFS(RC_CostPS,RC_Lane,B54,RC_Band,E54)),IF(U54="Other","",IF(INDEX(RS_Rate,MATCH(B54,RS_Lane,0))="","",INDEX(RS_Rate,MATCH(B54,RS_Lane,0))))))</f>
        <v>299.9808</v>
      </c>
    </row>
    <row r="55" customFormat="false" ht="15" hidden="false" customHeight="false" outlineLevel="0" collapsed="false">
      <c r="A55" s="3" t="s">
        <v>322</v>
      </c>
      <c r="B55" s="25" t="s">
        <v>108</v>
      </c>
      <c r="C55" s="8" t="s">
        <v>109</v>
      </c>
      <c r="D55" s="8" t="s">
        <v>272</v>
      </c>
      <c r="E55" s="8" t="s">
        <v>183</v>
      </c>
      <c r="F55" s="19" t="n">
        <v>653</v>
      </c>
      <c r="G55" s="33" t="n">
        <f aca="false">F55*0.006477</f>
        <v>4.229481</v>
      </c>
      <c r="H55" s="19" t="n">
        <f aca="false">F55*1.079436</f>
        <v>704.871708</v>
      </c>
      <c r="I55" s="18" t="n">
        <f aca="false">MAX(1,ROUNDUP(G55/0.096,0))</f>
        <v>45</v>
      </c>
      <c r="J55" s="31" t="n">
        <v>46511</v>
      </c>
      <c r="K55" s="34" t="n">
        <f aca="false">J55-WEEKDAY(J55,2)+1</f>
        <v>46510</v>
      </c>
      <c r="L55" s="31" t="n">
        <f aca="false">J55</f>
        <v>46511</v>
      </c>
      <c r="M55" s="26" t="n">
        <f aca="false">INDEX(LR_Target,MATCH(B55,LR_Lane,0))</f>
        <v>2</v>
      </c>
      <c r="N55" s="31" t="n">
        <f aca="false">WORKDAY.INTL(L55,M55,INDEX(LR_Code,MATCH(B55,LR_Lane,0)),INDEX(DH_Table,0,MATCH(B55&amp;"*",DH_Head,0)))</f>
        <v>46513</v>
      </c>
      <c r="O55" s="35" t="n">
        <f aca="false">IF(W55&lt;&gt;"",W55,IF(U55="Helmond",IF(COUNTIFS(RC_Lane,B55,RC_Band,E55,RC_Transit,"&lt;&gt;")=0,"",SUMIFS(RC_Transit,RC_Lane,B55,RC_Band,E55)),IF(U55="Other","",IF(INDEX(RS_Transit,MATCH(B55,RS_Lane,0))="","",INDEX(RS_Transit,MATCH(B55,RS_Lane,0))))))</f>
        <v>4</v>
      </c>
      <c r="P55" s="36"/>
      <c r="Q55" s="31" t="n">
        <f aca="false">IF(P55&lt;&gt;"",P55,IF(O55="","",WORKDAY.INTL(L55,ROUNDUP(O55,0),INDEX(LR_Code,MATCH(B55,LR_Lane,0)),INDEX(DH_Table,0,MATCH(B55&amp;"*",DH_Head,0)))))</f>
        <v>46517</v>
      </c>
      <c r="R55" s="37" t="str">
        <f aca="false">IF(Q55="","",IF(Q55&lt;=N55,"Yes","No"))</f>
        <v>No</v>
      </c>
      <c r="S55" s="26" t="n">
        <f aca="false">IF(Q55="","",IF(Q55&lt;=N55,0,NETWORKDAYS.INTL(N55,Q55,INDEX(LR_Code,MATCH(B55,LR_Lane,0)),INDEX(DH_Table,0,MATCH(B55&amp;"*",DH_Head,0)))-1))</f>
        <v>2</v>
      </c>
      <c r="T55" s="4"/>
      <c r="U55" s="25" t="str">
        <f aca="false">IF(V55&lt;&gt;"",V55,IF(IFERROR(INDEX(RS_Flag,MATCH(B55,RS_Lane,0)),"")="Yes",IF(IFERROR(INDEX(RS_Loc,MATCH(B55,RS_Lane,0)),"")="","Regional stock",IFERROR(INDEX(RS_Loc,MATCH(B55,RS_Lane,0)),"")),"Helmond"))</f>
        <v>Helmond</v>
      </c>
      <c r="V55" s="17"/>
      <c r="W55" s="38"/>
      <c r="X55" s="39"/>
      <c r="Y55" s="40" t="n">
        <f aca="false">IF(X55&lt;&gt;"",X55,IF(U55="Helmond",IF(COUNTIFS(RC_Lane,B55,RC_Band,E55,RC_CostPS,"&gt;0")=0,"",SUMIFS(RC_CostPS,RC_Lane,B55,RC_Band,E55)),IF(U55="Other","",IF(INDEX(RS_Rate,MATCH(B55,RS_Lane,0))="","",INDEX(RS_Rate,MATCH(B55,RS_Lane,0))))))</f>
        <v>3212.032</v>
      </c>
    </row>
    <row r="56" customFormat="false" ht="15" hidden="false" customHeight="false" outlineLevel="0" collapsed="false">
      <c r="A56" s="3" t="s">
        <v>323</v>
      </c>
      <c r="B56" s="25" t="s">
        <v>108</v>
      </c>
      <c r="C56" s="8" t="s">
        <v>109</v>
      </c>
      <c r="D56" s="8" t="s">
        <v>272</v>
      </c>
      <c r="E56" s="8" t="s">
        <v>183</v>
      </c>
      <c r="F56" s="19" t="n">
        <v>883.9</v>
      </c>
      <c r="G56" s="33" t="n">
        <f aca="false">F56*0.006477</f>
        <v>5.7250203</v>
      </c>
      <c r="H56" s="19" t="n">
        <f aca="false">F56*1.079436</f>
        <v>954.1134804</v>
      </c>
      <c r="I56" s="18" t="n">
        <f aca="false">MAX(1,ROUNDUP(G56/0.096,0))</f>
        <v>60</v>
      </c>
      <c r="J56" s="31" t="n">
        <v>46514</v>
      </c>
      <c r="K56" s="34" t="n">
        <f aca="false">J56-WEEKDAY(J56,2)+1</f>
        <v>46510</v>
      </c>
      <c r="L56" s="31" t="n">
        <f aca="false">J56</f>
        <v>46514</v>
      </c>
      <c r="M56" s="26" t="n">
        <f aca="false">INDEX(LR_Target,MATCH(B56,LR_Lane,0))</f>
        <v>2</v>
      </c>
      <c r="N56" s="31" t="n">
        <f aca="false">WORKDAY.INTL(L56,M56,INDEX(LR_Code,MATCH(B56,LR_Lane,0)),INDEX(DH_Table,0,MATCH(B56&amp;"*",DH_Head,0)))</f>
        <v>46517</v>
      </c>
      <c r="O56" s="35" t="n">
        <f aca="false">IF(W56&lt;&gt;"",W56,IF(U56="Helmond",IF(COUNTIFS(RC_Lane,B56,RC_Band,E56,RC_Transit,"&lt;&gt;")=0,"",SUMIFS(RC_Transit,RC_Lane,B56,RC_Band,E56)),IF(U56="Other","",IF(INDEX(RS_Transit,MATCH(B56,RS_Lane,0))="","",INDEX(RS_Transit,MATCH(B56,RS_Lane,0))))))</f>
        <v>4</v>
      </c>
      <c r="P56" s="36"/>
      <c r="Q56" s="31" t="n">
        <f aca="false">IF(P56&lt;&gt;"",P56,IF(O56="","",WORKDAY.INTL(L56,ROUNDUP(O56,0),INDEX(LR_Code,MATCH(B56,LR_Lane,0)),INDEX(DH_Table,0,MATCH(B56&amp;"*",DH_Head,0)))))</f>
        <v>46519</v>
      </c>
      <c r="R56" s="37" t="str">
        <f aca="false">IF(Q56="","",IF(Q56&lt;=N56,"Yes","No"))</f>
        <v>No</v>
      </c>
      <c r="S56" s="26" t="n">
        <f aca="false">IF(Q56="","",IF(Q56&lt;=N56,0,NETWORKDAYS.INTL(N56,Q56,INDEX(LR_Code,MATCH(B56,LR_Lane,0)),INDEX(DH_Table,0,MATCH(B56&amp;"*",DH_Head,0)))-1))</f>
        <v>2</v>
      </c>
      <c r="T56" s="4"/>
      <c r="U56" s="25" t="str">
        <f aca="false">IF(V56&lt;&gt;"",V56,IF(IFERROR(INDEX(RS_Flag,MATCH(B56,RS_Lane,0)),"")="Yes",IF(IFERROR(INDEX(RS_Loc,MATCH(B56,RS_Lane,0)),"")="","Regional stock",IFERROR(INDEX(RS_Loc,MATCH(B56,RS_Lane,0)),"")),"Helmond"))</f>
        <v>Helmond</v>
      </c>
      <c r="V56" s="17"/>
      <c r="W56" s="38"/>
      <c r="X56" s="39"/>
      <c r="Y56" s="40" t="n">
        <f aca="false">IF(X56&lt;&gt;"",X56,IF(U56="Helmond",IF(COUNTIFS(RC_Lane,B56,RC_Band,E56,RC_CostPS,"&gt;0")=0,"",SUMIFS(RC_CostPS,RC_Lane,B56,RC_Band,E56)),IF(U56="Other","",IF(INDEX(RS_Rate,MATCH(B56,RS_Lane,0))="","",INDEX(RS_Rate,MATCH(B56,RS_Lane,0))))))</f>
        <v>3212.032</v>
      </c>
    </row>
    <row r="57" customFormat="false" ht="15" hidden="false" customHeight="false" outlineLevel="0" collapsed="false">
      <c r="A57" s="3" t="s">
        <v>324</v>
      </c>
      <c r="B57" s="25" t="s">
        <v>112</v>
      </c>
      <c r="C57" s="8" t="s">
        <v>113</v>
      </c>
      <c r="D57" s="8" t="s">
        <v>152</v>
      </c>
      <c r="E57" s="8" t="s">
        <v>178</v>
      </c>
      <c r="F57" s="19" t="n">
        <v>6.8</v>
      </c>
      <c r="G57" s="33" t="n">
        <f aca="false">F57*0.006477</f>
        <v>0.0440436</v>
      </c>
      <c r="H57" s="19" t="n">
        <f aca="false">F57*1.079436</f>
        <v>7.3401648</v>
      </c>
      <c r="I57" s="18" t="n">
        <f aca="false">MAX(1,ROUNDUP(G57/0.096,0))</f>
        <v>1</v>
      </c>
      <c r="J57" s="31" t="n">
        <v>46514</v>
      </c>
      <c r="K57" s="34" t="n">
        <f aca="false">J57-WEEKDAY(J57,2)+1</f>
        <v>46510</v>
      </c>
      <c r="L57" s="31" t="n">
        <f aca="false">J57</f>
        <v>46514</v>
      </c>
      <c r="M57" s="26" t="n">
        <f aca="false">INDEX(LR_Target,MATCH(B57,LR_Lane,0))</f>
        <v>2</v>
      </c>
      <c r="N57" s="31" t="n">
        <f aca="false">WORKDAY.INTL(L57,M57,INDEX(LR_Code,MATCH(B57,LR_Lane,0)),INDEX(DH_Table,0,MATCH(B57&amp;"*",DH_Head,0)))</f>
        <v>46518</v>
      </c>
      <c r="O57" s="35" t="n">
        <f aca="false">IF(W57&lt;&gt;"",W57,IF(U57="Helmond",IF(COUNTIFS(RC_Lane,B57,RC_Band,E57,RC_Transit,"&lt;&gt;")=0,"",SUMIFS(RC_Transit,RC_Lane,B57,RC_Band,E57)),IF(U57="Other","",IF(INDEX(RS_Transit,MATCH(B57,RS_Lane,0))="","",INDEX(RS_Transit,MATCH(B57,RS_Lane,0))))))</f>
        <v>1</v>
      </c>
      <c r="P57" s="36"/>
      <c r="Q57" s="31" t="n">
        <f aca="false">IF(P57&lt;&gt;"",P57,IF(O57="","",WORKDAY.INTL(L57,ROUNDUP(O57,0),INDEX(LR_Code,MATCH(B57,LR_Lane,0)),INDEX(DH_Table,0,MATCH(B57&amp;"*",DH_Head,0)))))</f>
        <v>46517</v>
      </c>
      <c r="R57" s="37" t="str">
        <f aca="false">IF(Q57="","",IF(Q57&lt;=N57,"Yes","No"))</f>
        <v>Yes</v>
      </c>
      <c r="S57" s="26" t="n">
        <f aca="false">IF(Q57="","",IF(Q57&lt;=N57,0,NETWORKDAYS.INTL(N57,Q57,INDEX(LR_Code,MATCH(B57,LR_Lane,0)),INDEX(DH_Table,0,MATCH(B57&amp;"*",DH_Head,0)))-1))</f>
        <v>0</v>
      </c>
      <c r="T57" s="4"/>
      <c r="U57" s="25" t="str">
        <f aca="false">IF(V57&lt;&gt;"",V57,IF(IFERROR(INDEX(RS_Flag,MATCH(B57,RS_Lane,0)),"")="Yes",IF(IFERROR(INDEX(RS_Loc,MATCH(B57,RS_Lane,0)),"")="","Regional stock",IFERROR(INDEX(RS_Loc,MATCH(B57,RS_Lane,0)),"")),"Helmond"))</f>
        <v>Helmond</v>
      </c>
      <c r="V57" s="17"/>
      <c r="W57" s="38"/>
      <c r="X57" s="39"/>
      <c r="Y57" s="40" t="n">
        <f aca="false">IF(X57&lt;&gt;"",X57,IF(U57="Helmond",IF(COUNTIFS(RC_Lane,B57,RC_Band,E57,RC_CostPS,"&gt;0")=0,"",SUMIFS(RC_CostPS,RC_Lane,B57,RC_Band,E57)),IF(U57="Other","",IF(INDEX(RS_Rate,MATCH(B57,RS_Lane,0))="","",INDEX(RS_Rate,MATCH(B57,RS_Lane,0))))))</f>
        <v>76.3</v>
      </c>
    </row>
    <row r="58" customFormat="false" ht="15" hidden="false" customHeight="false" outlineLevel="0" collapsed="false">
      <c r="A58" s="3" t="s">
        <v>325</v>
      </c>
      <c r="B58" s="25" t="s">
        <v>117</v>
      </c>
      <c r="C58" s="8" t="s">
        <v>118</v>
      </c>
      <c r="D58" s="8" t="s">
        <v>154</v>
      </c>
      <c r="E58" s="8" t="s">
        <v>178</v>
      </c>
      <c r="F58" s="19" t="n">
        <v>6</v>
      </c>
      <c r="G58" s="33" t="n">
        <f aca="false">F58*0.006477</f>
        <v>0.038862</v>
      </c>
      <c r="H58" s="19" t="n">
        <f aca="false">F58*1.079436</f>
        <v>6.476616</v>
      </c>
      <c r="I58" s="18" t="n">
        <f aca="false">MAX(1,ROUNDUP(G58/0.096,0))</f>
        <v>1</v>
      </c>
      <c r="J58" s="31" t="n">
        <v>46517</v>
      </c>
      <c r="K58" s="34" t="n">
        <f aca="false">J58-WEEKDAY(J58,2)+1</f>
        <v>46517</v>
      </c>
      <c r="L58" s="31" t="n">
        <f aca="false">J58</f>
        <v>46517</v>
      </c>
      <c r="M58" s="26" t="n">
        <f aca="false">INDEX(LR_Target,MATCH(B58,LR_Lane,0))</f>
        <v>2</v>
      </c>
      <c r="N58" s="31" t="n">
        <f aca="false">WORKDAY.INTL(L58,M58,INDEX(LR_Code,MATCH(B58,LR_Lane,0)),INDEX(DH_Table,0,MATCH(B58&amp;"*",DH_Head,0)))</f>
        <v>46519</v>
      </c>
      <c r="O58" s="35" t="n">
        <f aca="false">IF(W58&lt;&gt;"",W58,IF(U58="Helmond",IF(COUNTIFS(RC_Lane,B58,RC_Band,E58,RC_Transit,"&lt;&gt;")=0,"",SUMIFS(RC_Transit,RC_Lane,B58,RC_Band,E58)),IF(U58="Other","",IF(INDEX(RS_Transit,MATCH(B58,RS_Lane,0))="","",INDEX(RS_Transit,MATCH(B58,RS_Lane,0))))))</f>
        <v>1</v>
      </c>
      <c r="P58" s="36"/>
      <c r="Q58" s="31" t="n">
        <f aca="false">IF(P58&lt;&gt;"",P58,IF(O58="","",WORKDAY.INTL(L58,ROUNDUP(O58,0),INDEX(LR_Code,MATCH(B58,LR_Lane,0)),INDEX(DH_Table,0,MATCH(B58&amp;"*",DH_Head,0)))))</f>
        <v>46518</v>
      </c>
      <c r="R58" s="37" t="str">
        <f aca="false">IF(Q58="","",IF(Q58&lt;=N58,"Yes","No"))</f>
        <v>Yes</v>
      </c>
      <c r="S58" s="26" t="n">
        <f aca="false">IF(Q58="","",IF(Q58&lt;=N58,0,NETWORKDAYS.INTL(N58,Q58,INDEX(LR_Code,MATCH(B58,LR_Lane,0)),INDEX(DH_Table,0,MATCH(B58&amp;"*",DH_Head,0)))-1))</f>
        <v>0</v>
      </c>
      <c r="T58" s="4"/>
      <c r="U58" s="25" t="str">
        <f aca="false">IF(V58&lt;&gt;"",V58,IF(IFERROR(INDEX(RS_Flag,MATCH(B58,RS_Lane,0)),"")="Yes",IF(IFERROR(INDEX(RS_Loc,MATCH(B58,RS_Lane,0)),"")="","Regional stock",IFERROR(INDEX(RS_Loc,MATCH(B58,RS_Lane,0)),"")),"Helmond"))</f>
        <v>Helmond</v>
      </c>
      <c r="V58" s="17"/>
      <c r="W58" s="38"/>
      <c r="X58" s="39"/>
      <c r="Y58" s="40" t="n">
        <f aca="false">IF(X58&lt;&gt;"",X58,IF(U58="Helmond",IF(COUNTIFS(RC_Lane,B58,RC_Band,E58,RC_CostPS,"&gt;0")=0,"",SUMIFS(RC_CostPS,RC_Lane,B58,RC_Band,E58)),IF(U58="Other","",IF(INDEX(RS_Rate,MATCH(B58,RS_Lane,0))="","",INDEX(RS_Rate,MATCH(B58,RS_Lane,0))))))</f>
        <v>76.3</v>
      </c>
    </row>
    <row r="59" customFormat="false" ht="15" hidden="false" customHeight="false" outlineLevel="0" collapsed="false">
      <c r="A59" s="3" t="s">
        <v>326</v>
      </c>
      <c r="B59" s="25" t="s">
        <v>108</v>
      </c>
      <c r="C59" s="8" t="s">
        <v>109</v>
      </c>
      <c r="D59" s="8" t="s">
        <v>272</v>
      </c>
      <c r="E59" s="8" t="s">
        <v>182</v>
      </c>
      <c r="F59" s="19" t="n">
        <v>205.5</v>
      </c>
      <c r="G59" s="33" t="n">
        <f aca="false">F59*0.006477</f>
        <v>1.3310235</v>
      </c>
      <c r="H59" s="19" t="n">
        <f aca="false">F59*1.079436</f>
        <v>221.824098</v>
      </c>
      <c r="I59" s="18" t="n">
        <f aca="false">MAX(1,ROUNDUP(G59/0.096,0))</f>
        <v>14</v>
      </c>
      <c r="J59" s="31" t="n">
        <v>46519</v>
      </c>
      <c r="K59" s="34" t="n">
        <f aca="false">J59-WEEKDAY(J59,2)+1</f>
        <v>46517</v>
      </c>
      <c r="L59" s="31" t="n">
        <f aca="false">J59</f>
        <v>46519</v>
      </c>
      <c r="M59" s="26" t="n">
        <f aca="false">INDEX(LR_Target,MATCH(B59,LR_Lane,0))</f>
        <v>2</v>
      </c>
      <c r="N59" s="31" t="n">
        <f aca="false">WORKDAY.INTL(L59,M59,INDEX(LR_Code,MATCH(B59,LR_Lane,0)),INDEX(DH_Table,0,MATCH(B59&amp;"*",DH_Head,0)))</f>
        <v>46526</v>
      </c>
      <c r="O59" s="35" t="n">
        <f aca="false">IF(W59&lt;&gt;"",W59,IF(U59="Helmond",IF(COUNTIFS(RC_Lane,B59,RC_Band,E59,RC_Transit,"&lt;&gt;")=0,"",SUMIFS(RC_Transit,RC_Lane,B59,RC_Band,E59)),IF(U59="Other","",IF(INDEX(RS_Transit,MATCH(B59,RS_Lane,0))="","",INDEX(RS_Transit,MATCH(B59,RS_Lane,0))))))</f>
        <v>3</v>
      </c>
      <c r="P59" s="36"/>
      <c r="Q59" s="31" t="n">
        <f aca="false">IF(P59&lt;&gt;"",P59,IF(O59="","",WORKDAY.INTL(L59,ROUNDUP(O59,0),INDEX(LR_Code,MATCH(B59,LR_Lane,0)),INDEX(DH_Table,0,MATCH(B59&amp;"*",DH_Head,0)))))</f>
        <v>46527</v>
      </c>
      <c r="R59" s="37" t="str">
        <f aca="false">IF(Q59="","",IF(Q59&lt;=N59,"Yes","No"))</f>
        <v>No</v>
      </c>
      <c r="S59" s="26" t="n">
        <f aca="false">IF(Q59="","",IF(Q59&lt;=N59,0,NETWORKDAYS.INTL(N59,Q59,INDEX(LR_Code,MATCH(B59,LR_Lane,0)),INDEX(DH_Table,0,MATCH(B59&amp;"*",DH_Head,0)))-1))</f>
        <v>1</v>
      </c>
      <c r="T59" s="4"/>
      <c r="U59" s="25" t="str">
        <f aca="false">IF(V59&lt;&gt;"",V59,IF(IFERROR(INDEX(RS_Flag,MATCH(B59,RS_Lane,0)),"")="Yes",IF(IFERROR(INDEX(RS_Loc,MATCH(B59,RS_Lane,0)),"")="","Regional stock",IFERROR(INDEX(RS_Loc,MATCH(B59,RS_Lane,0)),"")),"Helmond"))</f>
        <v>Helmond</v>
      </c>
      <c r="V59" s="17"/>
      <c r="W59" s="38"/>
      <c r="X59" s="39"/>
      <c r="Y59" s="40" t="n">
        <f aca="false">IF(X59&lt;&gt;"",X59,IF(U59="Helmond",IF(COUNTIFS(RC_Lane,B59,RC_Band,E59,RC_CostPS,"&gt;0")=0,"",SUMIFS(RC_CostPS,RC_Lane,B59,RC_Band,E59)),IF(U59="Other","",IF(INDEX(RS_Rate,MATCH(B59,RS_Lane,0))="","",INDEX(RS_Rate,MATCH(B59,RS_Lane,0))))))</f>
        <v>1062.898</v>
      </c>
    </row>
    <row r="60" customFormat="false" ht="15" hidden="false" customHeight="false" outlineLevel="0" collapsed="false">
      <c r="A60" s="3" t="s">
        <v>327</v>
      </c>
      <c r="B60" s="25" t="s">
        <v>112</v>
      </c>
      <c r="C60" s="8" t="s">
        <v>113</v>
      </c>
      <c r="D60" s="8" t="s">
        <v>152</v>
      </c>
      <c r="E60" s="8" t="s">
        <v>178</v>
      </c>
      <c r="F60" s="19" t="n">
        <v>3.5</v>
      </c>
      <c r="G60" s="33" t="n">
        <f aca="false">F60*0.006477</f>
        <v>0.0226695</v>
      </c>
      <c r="H60" s="19" t="n">
        <f aca="false">F60*1.079436</f>
        <v>3.778026</v>
      </c>
      <c r="I60" s="18" t="n">
        <f aca="false">MAX(1,ROUNDUP(G60/0.096,0))</f>
        <v>1</v>
      </c>
      <c r="J60" s="31" t="n">
        <v>46519</v>
      </c>
      <c r="K60" s="34" t="n">
        <f aca="false">J60-WEEKDAY(J60,2)+1</f>
        <v>46517</v>
      </c>
      <c r="L60" s="31" t="n">
        <f aca="false">J60</f>
        <v>46519</v>
      </c>
      <c r="M60" s="26" t="n">
        <f aca="false">INDEX(LR_Target,MATCH(B60,LR_Lane,0))</f>
        <v>2</v>
      </c>
      <c r="N60" s="31" t="n">
        <f aca="false">WORKDAY.INTL(L60,M60,INDEX(LR_Code,MATCH(B60,LR_Lane,0)),INDEX(DH_Table,0,MATCH(B60&amp;"*",DH_Head,0)))</f>
        <v>46521</v>
      </c>
      <c r="O60" s="35" t="n">
        <f aca="false">IF(W60&lt;&gt;"",W60,IF(U60="Helmond",IF(COUNTIFS(RC_Lane,B60,RC_Band,E60,RC_Transit,"&lt;&gt;")=0,"",SUMIFS(RC_Transit,RC_Lane,B60,RC_Band,E60)),IF(U60="Other","",IF(INDEX(RS_Transit,MATCH(B60,RS_Lane,0))="","",INDEX(RS_Transit,MATCH(B60,RS_Lane,0))))))</f>
        <v>1</v>
      </c>
      <c r="P60" s="36"/>
      <c r="Q60" s="31" t="n">
        <f aca="false">IF(P60&lt;&gt;"",P60,IF(O60="","",WORKDAY.INTL(L60,ROUNDUP(O60,0),INDEX(LR_Code,MATCH(B60,LR_Lane,0)),INDEX(DH_Table,0,MATCH(B60&amp;"*",DH_Head,0)))))</f>
        <v>46520</v>
      </c>
      <c r="R60" s="37" t="str">
        <f aca="false">IF(Q60="","",IF(Q60&lt;=N60,"Yes","No"))</f>
        <v>Yes</v>
      </c>
      <c r="S60" s="26" t="n">
        <f aca="false">IF(Q60="","",IF(Q60&lt;=N60,0,NETWORKDAYS.INTL(N60,Q60,INDEX(LR_Code,MATCH(B60,LR_Lane,0)),INDEX(DH_Table,0,MATCH(B60&amp;"*",DH_Head,0)))-1))</f>
        <v>0</v>
      </c>
      <c r="T60" s="4"/>
      <c r="U60" s="25" t="str">
        <f aca="false">IF(V60&lt;&gt;"",V60,IF(IFERROR(INDEX(RS_Flag,MATCH(B60,RS_Lane,0)),"")="Yes",IF(IFERROR(INDEX(RS_Loc,MATCH(B60,RS_Lane,0)),"")="","Regional stock",IFERROR(INDEX(RS_Loc,MATCH(B60,RS_Lane,0)),"")),"Helmond"))</f>
        <v>Helmond</v>
      </c>
      <c r="V60" s="17"/>
      <c r="W60" s="38"/>
      <c r="X60" s="39"/>
      <c r="Y60" s="40" t="n">
        <f aca="false">IF(X60&lt;&gt;"",X60,IF(U60="Helmond",IF(COUNTIFS(RC_Lane,B60,RC_Band,E60,RC_CostPS,"&gt;0")=0,"",SUMIFS(RC_CostPS,RC_Lane,B60,RC_Band,E60)),IF(U60="Other","",IF(INDEX(RS_Rate,MATCH(B60,RS_Lane,0))="","",INDEX(RS_Rate,MATCH(B60,RS_Lane,0))))))</f>
        <v>76.3</v>
      </c>
    </row>
    <row r="61" customFormat="false" ht="15" hidden="false" customHeight="false" outlineLevel="0" collapsed="false">
      <c r="A61" s="3" t="s">
        <v>328</v>
      </c>
      <c r="B61" s="25" t="s">
        <v>115</v>
      </c>
      <c r="C61" s="8" t="s">
        <v>116</v>
      </c>
      <c r="D61" s="8" t="s">
        <v>153</v>
      </c>
      <c r="E61" s="8" t="s">
        <v>178</v>
      </c>
      <c r="F61" s="19" t="n">
        <v>11.9</v>
      </c>
      <c r="G61" s="33" t="n">
        <f aca="false">F61*0.006477</f>
        <v>0.0770763</v>
      </c>
      <c r="H61" s="19" t="n">
        <f aca="false">F61*1.079436</f>
        <v>12.8452884</v>
      </c>
      <c r="I61" s="18" t="n">
        <f aca="false">MAX(1,ROUNDUP(G61/0.096,0))</f>
        <v>1</v>
      </c>
      <c r="J61" s="31" t="n">
        <v>46532</v>
      </c>
      <c r="K61" s="34" t="n">
        <f aca="false">J61-WEEKDAY(J61,2)+1</f>
        <v>46531</v>
      </c>
      <c r="L61" s="31" t="n">
        <f aca="false">J61</f>
        <v>46532</v>
      </c>
      <c r="M61" s="26" t="n">
        <f aca="false">INDEX(LR_Target,MATCH(B61,LR_Lane,0))</f>
        <v>2</v>
      </c>
      <c r="N61" s="31" t="n">
        <f aca="false">WORKDAY.INTL(L61,M61,INDEX(LR_Code,MATCH(B61,LR_Lane,0)),INDEX(DH_Table,0,MATCH(B61&amp;"*",DH_Head,0)))</f>
        <v>46534</v>
      </c>
      <c r="O61" s="35" t="n">
        <f aca="false">IF(W61&lt;&gt;"",W61,IF(U61="Helmond",IF(COUNTIFS(RC_Lane,B61,RC_Band,E61,RC_Transit,"&lt;&gt;")=0,"",SUMIFS(RC_Transit,RC_Lane,B61,RC_Band,E61)),IF(U61="Other","",IF(INDEX(RS_Transit,MATCH(B61,RS_Lane,0))="","",INDEX(RS_Transit,MATCH(B61,RS_Lane,0))))))</f>
        <v>1</v>
      </c>
      <c r="P61" s="36"/>
      <c r="Q61" s="31" t="n">
        <f aca="false">IF(P61&lt;&gt;"",P61,IF(O61="","",WORKDAY.INTL(L61,ROUNDUP(O61,0),INDEX(LR_Code,MATCH(B61,LR_Lane,0)),INDEX(DH_Table,0,MATCH(B61&amp;"*",DH_Head,0)))))</f>
        <v>46533</v>
      </c>
      <c r="R61" s="37" t="str">
        <f aca="false">IF(Q61="","",IF(Q61&lt;=N61,"Yes","No"))</f>
        <v>Yes</v>
      </c>
      <c r="S61" s="26" t="n">
        <f aca="false">IF(Q61="","",IF(Q61&lt;=N61,0,NETWORKDAYS.INTL(N61,Q61,INDEX(LR_Code,MATCH(B61,LR_Lane,0)),INDEX(DH_Table,0,MATCH(B61&amp;"*",DH_Head,0)))-1))</f>
        <v>0</v>
      </c>
      <c r="T61" s="4"/>
      <c r="U61" s="25" t="str">
        <f aca="false">IF(V61&lt;&gt;"",V61,IF(IFERROR(INDEX(RS_Flag,MATCH(B61,RS_Lane,0)),"")="Yes",IF(IFERROR(INDEX(RS_Loc,MATCH(B61,RS_Lane,0)),"")="","Regional stock",IFERROR(INDEX(RS_Loc,MATCH(B61,RS_Lane,0)),"")),"Helmond"))</f>
        <v>Helmond</v>
      </c>
      <c r="V61" s="17"/>
      <c r="W61" s="38"/>
      <c r="X61" s="39"/>
      <c r="Y61" s="40" t="n">
        <f aca="false">IF(X61&lt;&gt;"",X61,IF(U61="Helmond",IF(COUNTIFS(RC_Lane,B61,RC_Band,E61,RC_CostPS,"&gt;0")=0,"",SUMIFS(RC_CostPS,RC_Lane,B61,RC_Band,E61)),IF(U61="Other","",IF(INDEX(RS_Rate,MATCH(B61,RS_Lane,0))="","",INDEX(RS_Rate,MATCH(B61,RS_Lane,0))))))</f>
        <v>76.3</v>
      </c>
    </row>
    <row r="62" customFormat="false" ht="15" hidden="false" customHeight="false" outlineLevel="0" collapsed="false">
      <c r="A62" s="3" t="s">
        <v>329</v>
      </c>
      <c r="B62" s="25" t="s">
        <v>119</v>
      </c>
      <c r="C62" s="8" t="s">
        <v>120</v>
      </c>
      <c r="D62" s="8" t="s">
        <v>155</v>
      </c>
      <c r="E62" s="8" t="s">
        <v>178</v>
      </c>
      <c r="F62" s="19" t="n">
        <v>5.1</v>
      </c>
      <c r="G62" s="33" t="n">
        <f aca="false">F62*0.006477</f>
        <v>0.0330327</v>
      </c>
      <c r="H62" s="19" t="n">
        <f aca="false">F62*1.079436</f>
        <v>5.5051236</v>
      </c>
      <c r="I62" s="18" t="n">
        <f aca="false">MAX(1,ROUNDUP(G62/0.096,0))</f>
        <v>1</v>
      </c>
      <c r="J62" s="31" t="n">
        <v>46532</v>
      </c>
      <c r="K62" s="34" t="n">
        <f aca="false">J62-WEEKDAY(J62,2)+1</f>
        <v>46531</v>
      </c>
      <c r="L62" s="31" t="n">
        <f aca="false">J62</f>
        <v>46532</v>
      </c>
      <c r="M62" s="26" t="n">
        <f aca="false">INDEX(LR_Target,MATCH(B62,LR_Lane,0))</f>
        <v>3</v>
      </c>
      <c r="N62" s="31" t="n">
        <f aca="false">WORKDAY.INTL(L62,M62,INDEX(LR_Code,MATCH(B62,LR_Lane,0)),INDEX(DH_Table,0,MATCH(B62&amp;"*",DH_Head,0)))</f>
        <v>46535</v>
      </c>
      <c r="O62" s="35" t="n">
        <f aca="false">IF(W62&lt;&gt;"",W62,IF(U62="Helmond",IF(COUNTIFS(RC_Lane,B62,RC_Band,E62,RC_Transit,"&lt;&gt;")=0,"",SUMIFS(RC_Transit,RC_Lane,B62,RC_Band,E62)),IF(U62="Other","",IF(INDEX(RS_Transit,MATCH(B62,RS_Lane,0))="","",INDEX(RS_Transit,MATCH(B62,RS_Lane,0))))))</f>
        <v>1</v>
      </c>
      <c r="P62" s="36"/>
      <c r="Q62" s="31" t="n">
        <f aca="false">IF(P62&lt;&gt;"",P62,IF(O62="","",WORKDAY.INTL(L62,ROUNDUP(O62,0),INDEX(LR_Code,MATCH(B62,LR_Lane,0)),INDEX(DH_Table,0,MATCH(B62&amp;"*",DH_Head,0)))))</f>
        <v>46533</v>
      </c>
      <c r="R62" s="37" t="str">
        <f aca="false">IF(Q62="","",IF(Q62&lt;=N62,"Yes","No"))</f>
        <v>Yes</v>
      </c>
      <c r="S62" s="26" t="n">
        <f aca="false">IF(Q62="","",IF(Q62&lt;=N62,0,NETWORKDAYS.INTL(N62,Q62,INDEX(LR_Code,MATCH(B62,LR_Lane,0)),INDEX(DH_Table,0,MATCH(B62&amp;"*",DH_Head,0)))-1))</f>
        <v>0</v>
      </c>
      <c r="T62" s="4"/>
      <c r="U62" s="25" t="str">
        <f aca="false">IF(V62&lt;&gt;"",V62,IF(IFERROR(INDEX(RS_Flag,MATCH(B62,RS_Lane,0)),"")="Yes",IF(IFERROR(INDEX(RS_Loc,MATCH(B62,RS_Lane,0)),"")="","Regional stock",IFERROR(INDEX(RS_Loc,MATCH(B62,RS_Lane,0)),"")),"Helmond"))</f>
        <v>Helmond</v>
      </c>
      <c r="V62" s="17"/>
      <c r="W62" s="38"/>
      <c r="X62" s="39"/>
      <c r="Y62" s="40" t="n">
        <f aca="false">IF(X62&lt;&gt;"",X62,IF(U62="Helmond",IF(COUNTIFS(RC_Lane,B62,RC_Band,E62,RC_CostPS,"&gt;0")=0,"",SUMIFS(RC_CostPS,RC_Lane,B62,RC_Band,E62)),IF(U62="Other","",IF(INDEX(RS_Rate,MATCH(B62,RS_Lane,0))="","",INDEX(RS_Rate,MATCH(B62,RS_Lane,0))))))</f>
        <v>76.3</v>
      </c>
    </row>
    <row r="63" customFormat="false" ht="15" hidden="false" customHeight="false" outlineLevel="0" collapsed="false">
      <c r="A63" s="3" t="s">
        <v>330</v>
      </c>
      <c r="B63" s="25" t="s">
        <v>112</v>
      </c>
      <c r="C63" s="8" t="s">
        <v>113</v>
      </c>
      <c r="D63" s="8" t="s">
        <v>152</v>
      </c>
      <c r="E63" s="8" t="s">
        <v>178</v>
      </c>
      <c r="F63" s="19" t="n">
        <v>8.3</v>
      </c>
      <c r="G63" s="33" t="n">
        <f aca="false">F63*0.006477</f>
        <v>0.0537591</v>
      </c>
      <c r="H63" s="19" t="n">
        <f aca="false">F63*1.079436</f>
        <v>8.9593188</v>
      </c>
      <c r="I63" s="18" t="n">
        <f aca="false">MAX(1,ROUNDUP(G63/0.096,0))</f>
        <v>1</v>
      </c>
      <c r="J63" s="31" t="n">
        <v>46534</v>
      </c>
      <c r="K63" s="34" t="n">
        <f aca="false">J63-WEEKDAY(J63,2)+1</f>
        <v>46531</v>
      </c>
      <c r="L63" s="31" t="n">
        <f aca="false">J63</f>
        <v>46534</v>
      </c>
      <c r="M63" s="26" t="n">
        <f aca="false">INDEX(LR_Target,MATCH(B63,LR_Lane,0))</f>
        <v>2</v>
      </c>
      <c r="N63" s="31" t="n">
        <f aca="false">WORKDAY.INTL(L63,M63,INDEX(LR_Code,MATCH(B63,LR_Lane,0)),INDEX(DH_Table,0,MATCH(B63&amp;"*",DH_Head,0)))</f>
        <v>46538</v>
      </c>
      <c r="O63" s="35" t="n">
        <f aca="false">IF(W63&lt;&gt;"",W63,IF(U63="Helmond",IF(COUNTIFS(RC_Lane,B63,RC_Band,E63,RC_Transit,"&lt;&gt;")=0,"",SUMIFS(RC_Transit,RC_Lane,B63,RC_Band,E63)),IF(U63="Other","",IF(INDEX(RS_Transit,MATCH(B63,RS_Lane,0))="","",INDEX(RS_Transit,MATCH(B63,RS_Lane,0))))))</f>
        <v>1</v>
      </c>
      <c r="P63" s="36"/>
      <c r="Q63" s="31" t="n">
        <f aca="false">IF(P63&lt;&gt;"",P63,IF(O63="","",WORKDAY.INTL(L63,ROUNDUP(O63,0),INDEX(LR_Code,MATCH(B63,LR_Lane,0)),INDEX(DH_Table,0,MATCH(B63&amp;"*",DH_Head,0)))))</f>
        <v>46535</v>
      </c>
      <c r="R63" s="37" t="str">
        <f aca="false">IF(Q63="","",IF(Q63&lt;=N63,"Yes","No"))</f>
        <v>Yes</v>
      </c>
      <c r="S63" s="26" t="n">
        <f aca="false">IF(Q63="","",IF(Q63&lt;=N63,0,NETWORKDAYS.INTL(N63,Q63,INDEX(LR_Code,MATCH(B63,LR_Lane,0)),INDEX(DH_Table,0,MATCH(B63&amp;"*",DH_Head,0)))-1))</f>
        <v>0</v>
      </c>
      <c r="T63" s="4"/>
      <c r="U63" s="25" t="str">
        <f aca="false">IF(V63&lt;&gt;"",V63,IF(IFERROR(INDEX(RS_Flag,MATCH(B63,RS_Lane,0)),"")="Yes",IF(IFERROR(INDEX(RS_Loc,MATCH(B63,RS_Lane,0)),"")="","Regional stock",IFERROR(INDEX(RS_Loc,MATCH(B63,RS_Lane,0)),"")),"Helmond"))</f>
        <v>Helmond</v>
      </c>
      <c r="V63" s="17"/>
      <c r="W63" s="38"/>
      <c r="X63" s="39"/>
      <c r="Y63" s="40" t="n">
        <f aca="false">IF(X63&lt;&gt;"",X63,IF(U63="Helmond",IF(COUNTIFS(RC_Lane,B63,RC_Band,E63,RC_CostPS,"&gt;0")=0,"",SUMIFS(RC_CostPS,RC_Lane,B63,RC_Band,E63)),IF(U63="Other","",IF(INDEX(RS_Rate,MATCH(B63,RS_Lane,0))="","",INDEX(RS_Rate,MATCH(B63,RS_Lane,0))))))</f>
        <v>76.3</v>
      </c>
    </row>
    <row r="64" customFormat="false" ht="15" hidden="false" customHeight="false" outlineLevel="0" collapsed="false">
      <c r="A64" s="3" t="s">
        <v>331</v>
      </c>
      <c r="B64" s="25" t="s">
        <v>108</v>
      </c>
      <c r="C64" s="8" t="s">
        <v>109</v>
      </c>
      <c r="D64" s="8" t="s">
        <v>272</v>
      </c>
      <c r="E64" s="8" t="s">
        <v>183</v>
      </c>
      <c r="F64" s="19" t="n">
        <v>1078.4</v>
      </c>
      <c r="G64" s="33" t="n">
        <f aca="false">F64*0.006477</f>
        <v>6.9847968</v>
      </c>
      <c r="H64" s="19" t="n">
        <f aca="false">F64*1.079436</f>
        <v>1164.0637824</v>
      </c>
      <c r="I64" s="18" t="n">
        <f aca="false">MAX(1,ROUNDUP(G64/0.096,0))</f>
        <v>73</v>
      </c>
      <c r="J64" s="31" t="n">
        <v>46535</v>
      </c>
      <c r="K64" s="34" t="n">
        <f aca="false">J64-WEEKDAY(J64,2)+1</f>
        <v>46531</v>
      </c>
      <c r="L64" s="31" t="n">
        <f aca="false">J64</f>
        <v>46535</v>
      </c>
      <c r="M64" s="26" t="n">
        <f aca="false">INDEX(LR_Target,MATCH(B64,LR_Lane,0))</f>
        <v>2</v>
      </c>
      <c r="N64" s="31" t="n">
        <f aca="false">WORKDAY.INTL(L64,M64,INDEX(LR_Code,MATCH(B64,LR_Lane,0)),INDEX(DH_Table,0,MATCH(B64&amp;"*",DH_Head,0)))</f>
        <v>46538</v>
      </c>
      <c r="O64" s="35" t="n">
        <f aca="false">IF(W64&lt;&gt;"",W64,IF(U64="Helmond",IF(COUNTIFS(RC_Lane,B64,RC_Band,E64,RC_Transit,"&lt;&gt;")=0,"",SUMIFS(RC_Transit,RC_Lane,B64,RC_Band,E64)),IF(U64="Other","",IF(INDEX(RS_Transit,MATCH(B64,RS_Lane,0))="","",INDEX(RS_Transit,MATCH(B64,RS_Lane,0))))))</f>
        <v>4</v>
      </c>
      <c r="P64" s="36"/>
      <c r="Q64" s="31" t="n">
        <f aca="false">IF(P64&lt;&gt;"",P64,IF(O64="","",WORKDAY.INTL(L64,ROUNDUP(O64,0),INDEX(LR_Code,MATCH(B64,LR_Lane,0)),INDEX(DH_Table,0,MATCH(B64&amp;"*",DH_Head,0)))))</f>
        <v>46540</v>
      </c>
      <c r="R64" s="37" t="str">
        <f aca="false">IF(Q64="","",IF(Q64&lt;=N64,"Yes","No"))</f>
        <v>No</v>
      </c>
      <c r="S64" s="26" t="n">
        <f aca="false">IF(Q64="","",IF(Q64&lt;=N64,0,NETWORKDAYS.INTL(N64,Q64,INDEX(LR_Code,MATCH(B64,LR_Lane,0)),INDEX(DH_Table,0,MATCH(B64&amp;"*",DH_Head,0)))-1))</f>
        <v>2</v>
      </c>
      <c r="T64" s="4"/>
      <c r="U64" s="25" t="str">
        <f aca="false">IF(V64&lt;&gt;"",V64,IF(IFERROR(INDEX(RS_Flag,MATCH(B64,RS_Lane,0)),"")="Yes",IF(IFERROR(INDEX(RS_Loc,MATCH(B64,RS_Lane,0)),"")="","Regional stock",IFERROR(INDEX(RS_Loc,MATCH(B64,RS_Lane,0)),"")),"Helmond"))</f>
        <v>Helmond</v>
      </c>
      <c r="V64" s="17"/>
      <c r="W64" s="38"/>
      <c r="X64" s="39"/>
      <c r="Y64" s="40" t="n">
        <f aca="false">IF(X64&lt;&gt;"",X64,IF(U64="Helmond",IF(COUNTIFS(RC_Lane,B64,RC_Band,E64,RC_CostPS,"&gt;0")=0,"",SUMIFS(RC_CostPS,RC_Lane,B64,RC_Band,E64)),IF(U64="Other","",IF(INDEX(RS_Rate,MATCH(B64,RS_Lane,0))="","",INDEX(RS_Rate,MATCH(B64,RS_Lane,0))))))</f>
        <v>3212.032</v>
      </c>
    </row>
    <row r="65" customFormat="false" ht="15" hidden="false" customHeight="false" outlineLevel="0" collapsed="false">
      <c r="A65" s="3" t="s">
        <v>332</v>
      </c>
      <c r="B65" s="25" t="s">
        <v>112</v>
      </c>
      <c r="C65" s="8" t="s">
        <v>113</v>
      </c>
      <c r="D65" s="8" t="s">
        <v>152</v>
      </c>
      <c r="E65" s="8" t="s">
        <v>178</v>
      </c>
      <c r="F65" s="19" t="n">
        <v>6.4</v>
      </c>
      <c r="G65" s="33" t="n">
        <f aca="false">F65*0.006477</f>
        <v>0.0414528</v>
      </c>
      <c r="H65" s="19" t="n">
        <f aca="false">F65*1.079436</f>
        <v>6.9083904</v>
      </c>
      <c r="I65" s="18" t="n">
        <f aca="false">MAX(1,ROUNDUP(G65/0.096,0))</f>
        <v>1</v>
      </c>
      <c r="J65" s="31" t="n">
        <v>46541</v>
      </c>
      <c r="K65" s="34" t="n">
        <f aca="false">J65-WEEKDAY(J65,2)+1</f>
        <v>46538</v>
      </c>
      <c r="L65" s="31" t="n">
        <f aca="false">J65</f>
        <v>46541</v>
      </c>
      <c r="M65" s="26" t="n">
        <f aca="false">INDEX(LR_Target,MATCH(B65,LR_Lane,0))</f>
        <v>2</v>
      </c>
      <c r="N65" s="31" t="n">
        <f aca="false">WORKDAY.INTL(L65,M65,INDEX(LR_Code,MATCH(B65,LR_Lane,0)),INDEX(DH_Table,0,MATCH(B65&amp;"*",DH_Head,0)))</f>
        <v>46545</v>
      </c>
      <c r="O65" s="35" t="n">
        <f aca="false">IF(W65&lt;&gt;"",W65,IF(U65="Helmond",IF(COUNTIFS(RC_Lane,B65,RC_Band,E65,RC_Transit,"&lt;&gt;")=0,"",SUMIFS(RC_Transit,RC_Lane,B65,RC_Band,E65)),IF(U65="Other","",IF(INDEX(RS_Transit,MATCH(B65,RS_Lane,0))="","",INDEX(RS_Transit,MATCH(B65,RS_Lane,0))))))</f>
        <v>1</v>
      </c>
      <c r="P65" s="36"/>
      <c r="Q65" s="31" t="n">
        <f aca="false">IF(P65&lt;&gt;"",P65,IF(O65="","",WORKDAY.INTL(L65,ROUNDUP(O65,0),INDEX(LR_Code,MATCH(B65,LR_Lane,0)),INDEX(DH_Table,0,MATCH(B65&amp;"*",DH_Head,0)))))</f>
        <v>46542</v>
      </c>
      <c r="R65" s="37" t="str">
        <f aca="false">IF(Q65="","",IF(Q65&lt;=N65,"Yes","No"))</f>
        <v>Yes</v>
      </c>
      <c r="S65" s="26" t="n">
        <f aca="false">IF(Q65="","",IF(Q65&lt;=N65,0,NETWORKDAYS.INTL(N65,Q65,INDEX(LR_Code,MATCH(B65,LR_Lane,0)),INDEX(DH_Table,0,MATCH(B65&amp;"*",DH_Head,0)))-1))</f>
        <v>0</v>
      </c>
      <c r="T65" s="4"/>
      <c r="U65" s="25" t="str">
        <f aca="false">IF(V65&lt;&gt;"",V65,IF(IFERROR(INDEX(RS_Flag,MATCH(B65,RS_Lane,0)),"")="Yes",IF(IFERROR(INDEX(RS_Loc,MATCH(B65,RS_Lane,0)),"")="","Regional stock",IFERROR(INDEX(RS_Loc,MATCH(B65,RS_Lane,0)),"")),"Helmond"))</f>
        <v>Helmond</v>
      </c>
      <c r="V65" s="17"/>
      <c r="W65" s="38"/>
      <c r="X65" s="39"/>
      <c r="Y65" s="40" t="n">
        <f aca="false">IF(X65&lt;&gt;"",X65,IF(U65="Helmond",IF(COUNTIFS(RC_Lane,B65,RC_Band,E65,RC_CostPS,"&gt;0")=0,"",SUMIFS(RC_CostPS,RC_Lane,B65,RC_Band,E65)),IF(U65="Other","",IF(INDEX(RS_Rate,MATCH(B65,RS_Lane,0))="","",INDEX(RS_Rate,MATCH(B65,RS_Lane,0))))))</f>
        <v>76.3</v>
      </c>
    </row>
    <row r="66" customFormat="false" ht="15" hidden="false" customHeight="false" outlineLevel="0" collapsed="false">
      <c r="A66" s="3" t="s">
        <v>333</v>
      </c>
      <c r="B66" s="25" t="s">
        <v>115</v>
      </c>
      <c r="C66" s="8" t="s">
        <v>116</v>
      </c>
      <c r="D66" s="8" t="s">
        <v>153</v>
      </c>
      <c r="E66" s="8" t="s">
        <v>182</v>
      </c>
      <c r="F66" s="19" t="n">
        <v>272.7</v>
      </c>
      <c r="G66" s="33" t="n">
        <f aca="false">F66*0.006477</f>
        <v>1.7662779</v>
      </c>
      <c r="H66" s="19" t="n">
        <f aca="false">F66*1.079436</f>
        <v>294.3621972</v>
      </c>
      <c r="I66" s="18" t="n">
        <f aca="false">MAX(1,ROUNDUP(G66/0.096,0))</f>
        <v>19</v>
      </c>
      <c r="J66" s="31" t="n">
        <v>46542</v>
      </c>
      <c r="K66" s="34" t="n">
        <f aca="false">J66-WEEKDAY(J66,2)+1</f>
        <v>46538</v>
      </c>
      <c r="L66" s="31" t="n">
        <f aca="false">J66</f>
        <v>46542</v>
      </c>
      <c r="M66" s="26" t="n">
        <f aca="false">INDEX(LR_Target,MATCH(B66,LR_Lane,0))</f>
        <v>2</v>
      </c>
      <c r="N66" s="31" t="n">
        <f aca="false">WORKDAY.INTL(L66,M66,INDEX(LR_Code,MATCH(B66,LR_Lane,0)),INDEX(DH_Table,0,MATCH(B66&amp;"*",DH_Head,0)))</f>
        <v>46546</v>
      </c>
      <c r="O66" s="35" t="n">
        <f aca="false">IF(W66&lt;&gt;"",W66,IF(U66="Helmond",IF(COUNTIFS(RC_Lane,B66,RC_Band,E66,RC_Transit,"&lt;&gt;")=0,"",SUMIFS(RC_Transit,RC_Lane,B66,RC_Band,E66)),IF(U66="Other","",IF(INDEX(RS_Transit,MATCH(B66,RS_Lane,0))="","",INDEX(RS_Transit,MATCH(B66,RS_Lane,0))))))</f>
        <v>3</v>
      </c>
      <c r="P66" s="36"/>
      <c r="Q66" s="31" t="n">
        <f aca="false">IF(P66&lt;&gt;"",P66,IF(O66="","",WORKDAY.INTL(L66,ROUNDUP(O66,0),INDEX(LR_Code,MATCH(B66,LR_Lane,0)),INDEX(DH_Table,0,MATCH(B66&amp;"*",DH_Head,0)))))</f>
        <v>46547</v>
      </c>
      <c r="R66" s="37" t="str">
        <f aca="false">IF(Q66="","",IF(Q66&lt;=N66,"Yes","No"))</f>
        <v>No</v>
      </c>
      <c r="S66" s="26" t="n">
        <f aca="false">IF(Q66="","",IF(Q66&lt;=N66,0,NETWORKDAYS.INTL(N66,Q66,INDEX(LR_Code,MATCH(B66,LR_Lane,0)),INDEX(DH_Table,0,MATCH(B66&amp;"*",DH_Head,0)))-1))</f>
        <v>1</v>
      </c>
      <c r="T66" s="4"/>
      <c r="U66" s="25" t="str">
        <f aca="false">IF(V66&lt;&gt;"",V66,IF(IFERROR(INDEX(RS_Flag,MATCH(B66,RS_Lane,0)),"")="Yes",IF(IFERROR(INDEX(RS_Loc,MATCH(B66,RS_Lane,0)),"")="","Regional stock",IFERROR(INDEX(RS_Loc,MATCH(B66,RS_Lane,0)),"")),"Helmond"))</f>
        <v>Helmond</v>
      </c>
      <c r="V66" s="17"/>
      <c r="W66" s="38"/>
      <c r="X66" s="39"/>
      <c r="Y66" s="40" t="n">
        <f aca="false">IF(X66&lt;&gt;"",X66,IF(U66="Helmond",IF(COUNTIFS(RC_Lane,B66,RC_Band,E66,RC_CostPS,"&gt;0")=0,"",SUMIFS(RC_CostPS,RC_Lane,B66,RC_Band,E66)),IF(U66="Other","",IF(INDEX(RS_Rate,MATCH(B66,RS_Lane,0))="","",INDEX(RS_Rate,MATCH(B66,RS_Lane,0))))))</f>
        <v>1338.1094</v>
      </c>
    </row>
    <row r="67" customFormat="false" ht="15" hidden="false" customHeight="false" outlineLevel="0" collapsed="false">
      <c r="A67" s="3" t="s">
        <v>334</v>
      </c>
      <c r="B67" s="25" t="s">
        <v>108</v>
      </c>
      <c r="C67" s="8" t="s">
        <v>109</v>
      </c>
      <c r="D67" s="8" t="s">
        <v>272</v>
      </c>
      <c r="E67" s="8" t="s">
        <v>180</v>
      </c>
      <c r="F67" s="19" t="n">
        <v>40.6</v>
      </c>
      <c r="G67" s="33" t="n">
        <f aca="false">F67*0.006477</f>
        <v>0.2629662</v>
      </c>
      <c r="H67" s="19" t="n">
        <f aca="false">F67*1.079436</f>
        <v>43.8251016</v>
      </c>
      <c r="I67" s="18" t="n">
        <f aca="false">MAX(1,ROUNDUP(G67/0.096,0))</f>
        <v>3</v>
      </c>
      <c r="J67" s="31" t="n">
        <v>46548</v>
      </c>
      <c r="K67" s="34" t="n">
        <f aca="false">J67-WEEKDAY(J67,2)+1</f>
        <v>46545</v>
      </c>
      <c r="L67" s="31" t="n">
        <f aca="false">J67</f>
        <v>46548</v>
      </c>
      <c r="M67" s="26" t="n">
        <f aca="false">INDEX(LR_Target,MATCH(B67,LR_Lane,0))</f>
        <v>2</v>
      </c>
      <c r="N67" s="31" t="n">
        <f aca="false">WORKDAY.INTL(L67,M67,INDEX(LR_Code,MATCH(B67,LR_Lane,0)),INDEX(DH_Table,0,MATCH(B67&amp;"*",DH_Head,0)))</f>
        <v>46552</v>
      </c>
      <c r="O67" s="35" t="n">
        <f aca="false">IF(W67&lt;&gt;"",W67,IF(U67="Helmond",IF(COUNTIFS(RC_Lane,B67,RC_Band,E67,RC_Transit,"&lt;&gt;")=0,"",SUMIFS(RC_Transit,RC_Lane,B67,RC_Band,E67)),IF(U67="Other","",IF(INDEX(RS_Transit,MATCH(B67,RS_Lane,0))="","",INDEX(RS_Transit,MATCH(B67,RS_Lane,0))))))</f>
        <v>2</v>
      </c>
      <c r="P67" s="36"/>
      <c r="Q67" s="31" t="n">
        <f aca="false">IF(P67&lt;&gt;"",P67,IF(O67="","",WORKDAY.INTL(L67,ROUNDUP(O67,0),INDEX(LR_Code,MATCH(B67,LR_Lane,0)),INDEX(DH_Table,0,MATCH(B67&amp;"*",DH_Head,0)))))</f>
        <v>46552</v>
      </c>
      <c r="R67" s="37" t="str">
        <f aca="false">IF(Q67="","",IF(Q67&lt;=N67,"Yes","No"))</f>
        <v>Yes</v>
      </c>
      <c r="S67" s="26" t="n">
        <f aca="false">IF(Q67="","",IF(Q67&lt;=N67,0,NETWORKDAYS.INTL(N67,Q67,INDEX(LR_Code,MATCH(B67,LR_Lane,0)),INDEX(DH_Table,0,MATCH(B67&amp;"*",DH_Head,0)))-1))</f>
        <v>0</v>
      </c>
      <c r="T67" s="4"/>
      <c r="U67" s="25" t="str">
        <f aca="false">IF(V67&lt;&gt;"",V67,IF(IFERROR(INDEX(RS_Flag,MATCH(B67,RS_Lane,0)),"")="Yes",IF(IFERROR(INDEX(RS_Loc,MATCH(B67,RS_Lane,0)),"")="","Regional stock",IFERROR(INDEX(RS_Loc,MATCH(B67,RS_Lane,0)),"")),"Helmond"))</f>
        <v>Helmond</v>
      </c>
      <c r="V67" s="17"/>
      <c r="W67" s="38"/>
      <c r="X67" s="39"/>
      <c r="Y67" s="40" t="n">
        <f aca="false">IF(X67&lt;&gt;"",X67,IF(U67="Helmond",IF(COUNTIFS(RC_Lane,B67,RC_Band,E67,RC_CostPS,"&gt;0")=0,"",SUMIFS(RC_CostPS,RC_Lane,B67,RC_Band,E67)),IF(U67="Other","",IF(INDEX(RS_Rate,MATCH(B67,RS_Lane,0))="","",INDEX(RS_Rate,MATCH(B67,RS_Lane,0))))))</f>
        <v>299.9808</v>
      </c>
    </row>
    <row r="68" customFormat="false" ht="15" hidden="false" customHeight="false" outlineLevel="0" collapsed="false">
      <c r="A68" s="3" t="s">
        <v>335</v>
      </c>
      <c r="B68" s="25" t="s">
        <v>112</v>
      </c>
      <c r="C68" s="8" t="s">
        <v>113</v>
      </c>
      <c r="D68" s="8" t="s">
        <v>152</v>
      </c>
      <c r="E68" s="8" t="s">
        <v>182</v>
      </c>
      <c r="F68" s="19" t="n">
        <v>190.2</v>
      </c>
      <c r="G68" s="33" t="n">
        <f aca="false">F68*0.006477</f>
        <v>1.2319254</v>
      </c>
      <c r="H68" s="19" t="n">
        <f aca="false">F68*1.079436</f>
        <v>205.3087272</v>
      </c>
      <c r="I68" s="18" t="n">
        <f aca="false">MAX(1,ROUNDUP(G68/0.096,0))</f>
        <v>13</v>
      </c>
      <c r="J68" s="31" t="n">
        <v>46552</v>
      </c>
      <c r="K68" s="34" t="n">
        <f aca="false">J68-WEEKDAY(J68,2)+1</f>
        <v>46552</v>
      </c>
      <c r="L68" s="31" t="n">
        <f aca="false">J68</f>
        <v>46552</v>
      </c>
      <c r="M68" s="26" t="n">
        <f aca="false">INDEX(LR_Target,MATCH(B68,LR_Lane,0))</f>
        <v>2</v>
      </c>
      <c r="N68" s="31" t="n">
        <f aca="false">WORKDAY.INTL(L68,M68,INDEX(LR_Code,MATCH(B68,LR_Lane,0)),INDEX(DH_Table,0,MATCH(B68&amp;"*",DH_Head,0)))</f>
        <v>46554</v>
      </c>
      <c r="O68" s="35" t="n">
        <f aca="false">IF(W68&lt;&gt;"",W68,IF(U68="Helmond",IF(COUNTIFS(RC_Lane,B68,RC_Band,E68,RC_Transit,"&lt;&gt;")=0,"",SUMIFS(RC_Transit,RC_Lane,B68,RC_Band,E68)),IF(U68="Other","",IF(INDEX(RS_Transit,MATCH(B68,RS_Lane,0))="","",INDEX(RS_Transit,MATCH(B68,RS_Lane,0))))))</f>
        <v>3</v>
      </c>
      <c r="P68" s="36"/>
      <c r="Q68" s="31" t="n">
        <f aca="false">IF(P68&lt;&gt;"",P68,IF(O68="","",WORKDAY.INTL(L68,ROUNDUP(O68,0),INDEX(LR_Code,MATCH(B68,LR_Lane,0)),INDEX(DH_Table,0,MATCH(B68&amp;"*",DH_Head,0)))))</f>
        <v>46555</v>
      </c>
      <c r="R68" s="37" t="str">
        <f aca="false">IF(Q68="","",IF(Q68&lt;=N68,"Yes","No"))</f>
        <v>No</v>
      </c>
      <c r="S68" s="26" t="n">
        <f aca="false">IF(Q68="","",IF(Q68&lt;=N68,0,NETWORKDAYS.INTL(N68,Q68,INDEX(LR_Code,MATCH(B68,LR_Lane,0)),INDEX(DH_Table,0,MATCH(B68&amp;"*",DH_Head,0)))-1))</f>
        <v>1</v>
      </c>
      <c r="T68" s="4"/>
      <c r="U68" s="25" t="str">
        <f aca="false">IF(V68&lt;&gt;"",V68,IF(IFERROR(INDEX(RS_Flag,MATCH(B68,RS_Lane,0)),"")="Yes",IF(IFERROR(INDEX(RS_Loc,MATCH(B68,RS_Lane,0)),"")="","Regional stock",IFERROR(INDEX(RS_Loc,MATCH(B68,RS_Lane,0)),"")),"Helmond"))</f>
        <v>Helmond</v>
      </c>
      <c r="V68" s="17"/>
      <c r="W68" s="38"/>
      <c r="X68" s="39"/>
      <c r="Y68" s="40" t="n">
        <f aca="false">IF(X68&lt;&gt;"",X68,IF(U68="Helmond",IF(COUNTIFS(RC_Lane,B68,RC_Band,E68,RC_CostPS,"&gt;0")=0,"",SUMIFS(RC_CostPS,RC_Lane,B68,RC_Band,E68)),IF(U68="Other","",IF(INDEX(RS_Rate,MATCH(B68,RS_Lane,0))="","",INDEX(RS_Rate,MATCH(B68,RS_Lane,0))))))</f>
        <v>1503.8994</v>
      </c>
    </row>
    <row r="69" customFormat="false" ht="15" hidden="false" customHeight="false" outlineLevel="0" collapsed="false">
      <c r="A69" s="3" t="s">
        <v>336</v>
      </c>
      <c r="B69" s="25" t="s">
        <v>119</v>
      </c>
      <c r="C69" s="8" t="s">
        <v>120</v>
      </c>
      <c r="D69" s="8" t="s">
        <v>155</v>
      </c>
      <c r="E69" s="8" t="s">
        <v>182</v>
      </c>
      <c r="F69" s="19" t="n">
        <v>160.6</v>
      </c>
      <c r="G69" s="33" t="n">
        <f aca="false">F69*0.006477</f>
        <v>1.0402062</v>
      </c>
      <c r="H69" s="19" t="n">
        <f aca="false">F69*1.079436</f>
        <v>173.3574216</v>
      </c>
      <c r="I69" s="18" t="n">
        <f aca="false">MAX(1,ROUNDUP(G69/0.096,0))</f>
        <v>11</v>
      </c>
      <c r="J69" s="31" t="n">
        <v>46553</v>
      </c>
      <c r="K69" s="34" t="n">
        <f aca="false">J69-WEEKDAY(J69,2)+1</f>
        <v>46552</v>
      </c>
      <c r="L69" s="31" t="n">
        <f aca="false">J69</f>
        <v>46553</v>
      </c>
      <c r="M69" s="26" t="n">
        <f aca="false">INDEX(LR_Target,MATCH(B69,LR_Lane,0))</f>
        <v>3</v>
      </c>
      <c r="N69" s="31" t="n">
        <f aca="false">WORKDAY.INTL(L69,M69,INDEX(LR_Code,MATCH(B69,LR_Lane,0)),INDEX(DH_Table,0,MATCH(B69&amp;"*",DH_Head,0)))</f>
        <v>46556</v>
      </c>
      <c r="O69" s="35" t="n">
        <f aca="false">IF(W69&lt;&gt;"",W69,IF(U69="Helmond",IF(COUNTIFS(RC_Lane,B69,RC_Band,E69,RC_Transit,"&lt;&gt;")=0,"",SUMIFS(RC_Transit,RC_Lane,B69,RC_Band,E69)),IF(U69="Other","",IF(INDEX(RS_Transit,MATCH(B69,RS_Lane,0))="","",INDEX(RS_Transit,MATCH(B69,RS_Lane,0))))))</f>
        <v>3</v>
      </c>
      <c r="P69" s="36"/>
      <c r="Q69" s="31" t="n">
        <f aca="false">IF(P69&lt;&gt;"",P69,IF(O69="","",WORKDAY.INTL(L69,ROUNDUP(O69,0),INDEX(LR_Code,MATCH(B69,LR_Lane,0)),INDEX(DH_Table,0,MATCH(B69&amp;"*",DH_Head,0)))))</f>
        <v>46556</v>
      </c>
      <c r="R69" s="37" t="str">
        <f aca="false">IF(Q69="","",IF(Q69&lt;=N69,"Yes","No"))</f>
        <v>Yes</v>
      </c>
      <c r="S69" s="26" t="n">
        <f aca="false">IF(Q69="","",IF(Q69&lt;=N69,0,NETWORKDAYS.INTL(N69,Q69,INDEX(LR_Code,MATCH(B69,LR_Lane,0)),INDEX(DH_Table,0,MATCH(B69&amp;"*",DH_Head,0)))-1))</f>
        <v>0</v>
      </c>
      <c r="T69" s="4"/>
      <c r="U69" s="25" t="str">
        <f aca="false">IF(V69&lt;&gt;"",V69,IF(IFERROR(INDEX(RS_Flag,MATCH(B69,RS_Lane,0)),"")="Yes",IF(IFERROR(INDEX(RS_Loc,MATCH(B69,RS_Lane,0)),"")="","Regional stock",IFERROR(INDEX(RS_Loc,MATCH(B69,RS_Lane,0)),"")),"Helmond"))</f>
        <v>Helmond</v>
      </c>
      <c r="V69" s="17"/>
      <c r="W69" s="38"/>
      <c r="X69" s="39"/>
      <c r="Y69" s="40" t="n">
        <f aca="false">IF(X69&lt;&gt;"",X69,IF(U69="Helmond",IF(COUNTIFS(RC_Lane,B69,RC_Band,E69,RC_CostPS,"&gt;0")=0,"",SUMIFS(RC_CostPS,RC_Lane,B69,RC_Band,E69)),IF(U69="Other","",IF(INDEX(RS_Rate,MATCH(B69,RS_Lane,0))="","",INDEX(RS_Rate,MATCH(B69,RS_Lane,0))))))</f>
        <v>1474.0572</v>
      </c>
    </row>
    <row r="70" customFormat="false" ht="15" hidden="false" customHeight="false" outlineLevel="0" collapsed="false">
      <c r="A70" s="3" t="s">
        <v>337</v>
      </c>
      <c r="B70" s="25" t="s">
        <v>108</v>
      </c>
      <c r="C70" s="8" t="s">
        <v>109</v>
      </c>
      <c r="D70" s="8" t="s">
        <v>272</v>
      </c>
      <c r="E70" s="8" t="s">
        <v>178</v>
      </c>
      <c r="F70" s="19" t="n">
        <v>7</v>
      </c>
      <c r="G70" s="33" t="n">
        <f aca="false">F70*0.006477</f>
        <v>0.045339</v>
      </c>
      <c r="H70" s="19" t="n">
        <f aca="false">F70*1.079436</f>
        <v>7.556052</v>
      </c>
      <c r="I70" s="18" t="n">
        <f aca="false">MAX(1,ROUNDUP(G70/0.096,0))</f>
        <v>1</v>
      </c>
      <c r="J70" s="31" t="n">
        <v>46554</v>
      </c>
      <c r="K70" s="34" t="n">
        <f aca="false">J70-WEEKDAY(J70,2)+1</f>
        <v>46552</v>
      </c>
      <c r="L70" s="31" t="n">
        <f aca="false">J70</f>
        <v>46554</v>
      </c>
      <c r="M70" s="26" t="n">
        <f aca="false">INDEX(LR_Target,MATCH(B70,LR_Lane,0))</f>
        <v>2</v>
      </c>
      <c r="N70" s="31" t="n">
        <f aca="false">WORKDAY.INTL(L70,M70,INDEX(LR_Code,MATCH(B70,LR_Lane,0)),INDEX(DH_Table,0,MATCH(B70&amp;"*",DH_Head,0)))</f>
        <v>46558</v>
      </c>
      <c r="O70" s="35" t="n">
        <f aca="false">IF(W70&lt;&gt;"",W70,IF(U70="Helmond",IF(COUNTIFS(RC_Lane,B70,RC_Band,E70,RC_Transit,"&lt;&gt;")=0,"",SUMIFS(RC_Transit,RC_Lane,B70,RC_Band,E70)),IF(U70="Other","",IF(INDEX(RS_Transit,MATCH(B70,RS_Lane,0))="","",INDEX(RS_Transit,MATCH(B70,RS_Lane,0))))))</f>
        <v>1</v>
      </c>
      <c r="P70" s="36"/>
      <c r="Q70" s="31" t="n">
        <f aca="false">IF(P70&lt;&gt;"",P70,IF(O70="","",WORKDAY.INTL(L70,ROUNDUP(O70,0),INDEX(LR_Code,MATCH(B70,LR_Lane,0)),INDEX(DH_Table,0,MATCH(B70&amp;"*",DH_Head,0)))))</f>
        <v>46555</v>
      </c>
      <c r="R70" s="37" t="str">
        <f aca="false">IF(Q70="","",IF(Q70&lt;=N70,"Yes","No"))</f>
        <v>Yes</v>
      </c>
      <c r="S70" s="26" t="n">
        <f aca="false">IF(Q70="","",IF(Q70&lt;=N70,0,NETWORKDAYS.INTL(N70,Q70,INDEX(LR_Code,MATCH(B70,LR_Lane,0)),INDEX(DH_Table,0,MATCH(B70&amp;"*",DH_Head,0)))-1))</f>
        <v>0</v>
      </c>
      <c r="T70" s="4"/>
      <c r="U70" s="25" t="str">
        <f aca="false">IF(V70&lt;&gt;"",V70,IF(IFERROR(INDEX(RS_Flag,MATCH(B70,RS_Lane,0)),"")="Yes",IF(IFERROR(INDEX(RS_Loc,MATCH(B70,RS_Lane,0)),"")="","Regional stock",IFERROR(INDEX(RS_Loc,MATCH(B70,RS_Lane,0)),"")),"Helmond"))</f>
        <v>Helmond</v>
      </c>
      <c r="V70" s="17"/>
      <c r="W70" s="38"/>
      <c r="X70" s="39"/>
      <c r="Y70" s="40" t="n">
        <f aca="false">IF(X70&lt;&gt;"",X70,IF(U70="Helmond",IF(COUNTIFS(RC_Lane,B70,RC_Band,E70,RC_CostPS,"&gt;0")=0,"",SUMIFS(RC_CostPS,RC_Lane,B70,RC_Band,E70)),IF(U70="Other","",IF(INDEX(RS_Rate,MATCH(B70,RS_Lane,0))="","",INDEX(RS_Rate,MATCH(B70,RS_Lane,0))))))</f>
        <v>76.3</v>
      </c>
    </row>
    <row r="71" customFormat="false" ht="15" hidden="false" customHeight="false" outlineLevel="0" collapsed="false">
      <c r="A71" s="3" t="s">
        <v>338</v>
      </c>
      <c r="B71" s="25" t="s">
        <v>117</v>
      </c>
      <c r="C71" s="8" t="s">
        <v>118</v>
      </c>
      <c r="D71" s="8" t="s">
        <v>154</v>
      </c>
      <c r="E71" s="8" t="s">
        <v>180</v>
      </c>
      <c r="F71" s="19" t="n">
        <v>55.6</v>
      </c>
      <c r="G71" s="33" t="n">
        <f aca="false">F71*0.006477</f>
        <v>0.3601212</v>
      </c>
      <c r="H71" s="19" t="n">
        <f aca="false">F71*1.079436</f>
        <v>60.0166416</v>
      </c>
      <c r="I71" s="18" t="n">
        <f aca="false">MAX(1,ROUNDUP(G71/0.096,0))</f>
        <v>4</v>
      </c>
      <c r="J71" s="31" t="n">
        <v>46556</v>
      </c>
      <c r="K71" s="34" t="n">
        <f aca="false">J71-WEEKDAY(J71,2)+1</f>
        <v>46552</v>
      </c>
      <c r="L71" s="31" t="n">
        <f aca="false">J71</f>
        <v>46556</v>
      </c>
      <c r="M71" s="26" t="n">
        <f aca="false">INDEX(LR_Target,MATCH(B71,LR_Lane,0))</f>
        <v>2</v>
      </c>
      <c r="N71" s="31" t="n">
        <f aca="false">WORKDAY.INTL(L71,M71,INDEX(LR_Code,MATCH(B71,LR_Lane,0)),INDEX(DH_Table,0,MATCH(B71&amp;"*",DH_Head,0)))</f>
        <v>46559</v>
      </c>
      <c r="O71" s="35" t="n">
        <f aca="false">IF(W71&lt;&gt;"",W71,IF(U71="Helmond",IF(COUNTIFS(RC_Lane,B71,RC_Band,E71,RC_Transit,"&lt;&gt;")=0,"",SUMIFS(RC_Transit,RC_Lane,B71,RC_Band,E71)),IF(U71="Other","",IF(INDEX(RS_Transit,MATCH(B71,RS_Lane,0))="","",INDEX(RS_Transit,MATCH(B71,RS_Lane,0))))))</f>
        <v>2</v>
      </c>
      <c r="P71" s="36"/>
      <c r="Q71" s="31" t="n">
        <f aca="false">IF(P71&lt;&gt;"",P71,IF(O71="","",WORKDAY.INTL(L71,ROUNDUP(O71,0),INDEX(LR_Code,MATCH(B71,LR_Lane,0)),INDEX(DH_Table,0,MATCH(B71&amp;"*",DH_Head,0)))))</f>
        <v>46559</v>
      </c>
      <c r="R71" s="37" t="str">
        <f aca="false">IF(Q71="","",IF(Q71&lt;=N71,"Yes","No"))</f>
        <v>Yes</v>
      </c>
      <c r="S71" s="26" t="n">
        <f aca="false">IF(Q71="","",IF(Q71&lt;=N71,0,NETWORKDAYS.INTL(N71,Q71,INDEX(LR_Code,MATCH(B71,LR_Lane,0)),INDEX(DH_Table,0,MATCH(B71&amp;"*",DH_Head,0)))-1))</f>
        <v>0</v>
      </c>
      <c r="T71" s="4"/>
      <c r="U71" s="25" t="str">
        <f aca="false">IF(V71&lt;&gt;"",V71,IF(IFERROR(INDEX(RS_Flag,MATCH(B71,RS_Lane,0)),"")="Yes",IF(IFERROR(INDEX(RS_Loc,MATCH(B71,RS_Lane,0)),"")="","Regional stock",IFERROR(INDEX(RS_Loc,MATCH(B71,RS_Lane,0)),"")),"Helmond"))</f>
        <v>Helmond</v>
      </c>
      <c r="V71" s="17"/>
      <c r="W71" s="38"/>
      <c r="X71" s="39"/>
      <c r="Y71" s="40" t="n">
        <f aca="false">IF(X71&lt;&gt;"",X71,IF(U71="Helmond",IF(COUNTIFS(RC_Lane,B71,RC_Band,E71,RC_CostPS,"&gt;0")=0,"",SUMIFS(RC_CostPS,RC_Lane,B71,RC_Band,E71)),IF(U71="Other","",IF(INDEX(RS_Rate,MATCH(B71,RS_Lane,0))="","",INDEX(RS_Rate,MATCH(B71,RS_Lane,0))))))</f>
        <v>162.5344</v>
      </c>
    </row>
    <row r="72" customFormat="false" ht="15" hidden="false" customHeight="false" outlineLevel="0" collapsed="false">
      <c r="A72" s="3" t="s">
        <v>339</v>
      </c>
      <c r="B72" s="25" t="s">
        <v>126</v>
      </c>
      <c r="C72" s="8" t="s">
        <v>127</v>
      </c>
      <c r="D72" s="8" t="s">
        <v>158</v>
      </c>
      <c r="E72" s="8" t="s">
        <v>178</v>
      </c>
      <c r="F72" s="19" t="n">
        <v>6</v>
      </c>
      <c r="G72" s="33" t="n">
        <f aca="false">F72*0.006477</f>
        <v>0.038862</v>
      </c>
      <c r="H72" s="19" t="n">
        <f aca="false">F72*1.079436</f>
        <v>6.476616</v>
      </c>
      <c r="I72" s="18" t="n">
        <f aca="false">MAX(1,ROUNDUP(G72/0.096,0))</f>
        <v>1</v>
      </c>
      <c r="J72" s="31" t="n">
        <v>46556</v>
      </c>
      <c r="K72" s="34" t="n">
        <f aca="false">J72-WEEKDAY(J72,2)+1</f>
        <v>46552</v>
      </c>
      <c r="L72" s="31" t="n">
        <f aca="false">J72</f>
        <v>46556</v>
      </c>
      <c r="M72" s="26" t="n">
        <f aca="false">INDEX(LR_Target,MATCH(B72,LR_Lane,0))</f>
        <v>4</v>
      </c>
      <c r="N72" s="31" t="n">
        <f aca="false">WORKDAY.INTL(L72,M72,INDEX(LR_Code,MATCH(B72,LR_Lane,0)),INDEX(DH_Table,0,MATCH(B72&amp;"*",DH_Head,0)))</f>
        <v>46561</v>
      </c>
      <c r="O72" s="35" t="n">
        <f aca="false">IF(W72&lt;&gt;"",W72,IF(U72="Helmond",IF(COUNTIFS(RC_Lane,B72,RC_Band,E72,RC_Transit,"&lt;&gt;")=0,"",SUMIFS(RC_Transit,RC_Lane,B72,RC_Band,E72)),IF(U72="Other","",IF(INDEX(RS_Transit,MATCH(B72,RS_Lane,0))="","",INDEX(RS_Transit,MATCH(B72,RS_Lane,0))))))</f>
        <v>1</v>
      </c>
      <c r="P72" s="36"/>
      <c r="Q72" s="31" t="n">
        <f aca="false">IF(P72&lt;&gt;"",P72,IF(O72="","",WORKDAY.INTL(L72,ROUNDUP(O72,0),INDEX(LR_Code,MATCH(B72,LR_Lane,0)),INDEX(DH_Table,0,MATCH(B72&amp;"*",DH_Head,0)))))</f>
        <v>46558</v>
      </c>
      <c r="R72" s="37" t="str">
        <f aca="false">IF(Q72="","",IF(Q72&lt;=N72,"Yes","No"))</f>
        <v>Yes</v>
      </c>
      <c r="S72" s="26" t="n">
        <f aca="false">IF(Q72="","",IF(Q72&lt;=N72,0,NETWORKDAYS.INTL(N72,Q72,INDEX(LR_Code,MATCH(B72,LR_Lane,0)),INDEX(DH_Table,0,MATCH(B72&amp;"*",DH_Head,0)))-1))</f>
        <v>0</v>
      </c>
      <c r="T72" s="4"/>
      <c r="U72" s="25" t="str">
        <f aca="false">IF(V72&lt;&gt;"",V72,IF(IFERROR(INDEX(RS_Flag,MATCH(B72,RS_Lane,0)),"")="Yes",IF(IFERROR(INDEX(RS_Loc,MATCH(B72,RS_Lane,0)),"")="","Regional stock",IFERROR(INDEX(RS_Loc,MATCH(B72,RS_Lane,0)),"")),"Helmond"))</f>
        <v>Helmond</v>
      </c>
      <c r="V72" s="17"/>
      <c r="W72" s="38"/>
      <c r="X72" s="39"/>
      <c r="Y72" s="40" t="n">
        <f aca="false">IF(X72&lt;&gt;"",X72,IF(U72="Helmond",IF(COUNTIFS(RC_Lane,B72,RC_Band,E72,RC_CostPS,"&gt;0")=0,"",SUMIFS(RC_CostPS,RC_Lane,B72,RC_Band,E72)),IF(U72="Other","",IF(INDEX(RS_Rate,MATCH(B72,RS_Lane,0))="","",INDEX(RS_Rate,MATCH(B72,RS_Lane,0))))))</f>
        <v>76.3</v>
      </c>
    </row>
    <row r="73" customFormat="false" ht="15" hidden="false" customHeight="false" outlineLevel="0" collapsed="false">
      <c r="A73" s="3" t="s">
        <v>340</v>
      </c>
      <c r="B73" s="25" t="s">
        <v>108</v>
      </c>
      <c r="C73" s="8" t="s">
        <v>109</v>
      </c>
      <c r="D73" s="8" t="s">
        <v>272</v>
      </c>
      <c r="E73" s="8" t="s">
        <v>178</v>
      </c>
      <c r="F73" s="19" t="n">
        <v>8.5</v>
      </c>
      <c r="G73" s="33" t="n">
        <f aca="false">F73*0.006477</f>
        <v>0.0550545</v>
      </c>
      <c r="H73" s="19" t="n">
        <f aca="false">F73*1.079436</f>
        <v>9.175206</v>
      </c>
      <c r="I73" s="18" t="n">
        <f aca="false">MAX(1,ROUNDUP(G73/0.096,0))</f>
        <v>1</v>
      </c>
      <c r="J73" s="31" t="n">
        <v>46566</v>
      </c>
      <c r="K73" s="34" t="n">
        <f aca="false">J73-WEEKDAY(J73,2)+1</f>
        <v>46566</v>
      </c>
      <c r="L73" s="31" t="n">
        <f aca="false">J73</f>
        <v>46566</v>
      </c>
      <c r="M73" s="26" t="n">
        <f aca="false">INDEX(LR_Target,MATCH(B73,LR_Lane,0))</f>
        <v>2</v>
      </c>
      <c r="N73" s="31" t="n">
        <f aca="false">WORKDAY.INTL(L73,M73,INDEX(LR_Code,MATCH(B73,LR_Lane,0)),INDEX(DH_Table,0,MATCH(B73&amp;"*",DH_Head,0)))</f>
        <v>46568</v>
      </c>
      <c r="O73" s="35" t="n">
        <f aca="false">IF(W73&lt;&gt;"",W73,IF(U73="Helmond",IF(COUNTIFS(RC_Lane,B73,RC_Band,E73,RC_Transit,"&lt;&gt;")=0,"",SUMIFS(RC_Transit,RC_Lane,B73,RC_Band,E73)),IF(U73="Other","",IF(INDEX(RS_Transit,MATCH(B73,RS_Lane,0))="","",INDEX(RS_Transit,MATCH(B73,RS_Lane,0))))))</f>
        <v>1</v>
      </c>
      <c r="P73" s="36"/>
      <c r="Q73" s="31" t="n">
        <f aca="false">IF(P73&lt;&gt;"",P73,IF(O73="","",WORKDAY.INTL(L73,ROUNDUP(O73,0),INDEX(LR_Code,MATCH(B73,LR_Lane,0)),INDEX(DH_Table,0,MATCH(B73&amp;"*",DH_Head,0)))))</f>
        <v>46567</v>
      </c>
      <c r="R73" s="37" t="str">
        <f aca="false">IF(Q73="","",IF(Q73&lt;=N73,"Yes","No"))</f>
        <v>Yes</v>
      </c>
      <c r="S73" s="26" t="n">
        <f aca="false">IF(Q73="","",IF(Q73&lt;=N73,0,NETWORKDAYS.INTL(N73,Q73,INDEX(LR_Code,MATCH(B73,LR_Lane,0)),INDEX(DH_Table,0,MATCH(B73&amp;"*",DH_Head,0)))-1))</f>
        <v>0</v>
      </c>
      <c r="T73" s="4"/>
      <c r="U73" s="25" t="str">
        <f aca="false">IF(V73&lt;&gt;"",V73,IF(IFERROR(INDEX(RS_Flag,MATCH(B73,RS_Lane,0)),"")="Yes",IF(IFERROR(INDEX(RS_Loc,MATCH(B73,RS_Lane,0)),"")="","Regional stock",IFERROR(INDEX(RS_Loc,MATCH(B73,RS_Lane,0)),"")),"Helmond"))</f>
        <v>Helmond</v>
      </c>
      <c r="V73" s="17"/>
      <c r="W73" s="38"/>
      <c r="X73" s="39"/>
      <c r="Y73" s="40" t="n">
        <f aca="false">IF(X73&lt;&gt;"",X73,IF(U73="Helmond",IF(COUNTIFS(RC_Lane,B73,RC_Band,E73,RC_CostPS,"&gt;0")=0,"",SUMIFS(RC_CostPS,RC_Lane,B73,RC_Band,E73)),IF(U73="Other","",IF(INDEX(RS_Rate,MATCH(B73,RS_Lane,0))="","",INDEX(RS_Rate,MATCH(B73,RS_Lane,0))))))</f>
        <v>76.3</v>
      </c>
    </row>
    <row r="74" customFormat="false" ht="15" hidden="false" customHeight="false" outlineLevel="0" collapsed="false">
      <c r="A74" s="3" t="s">
        <v>341</v>
      </c>
      <c r="B74" s="25" t="s">
        <v>108</v>
      </c>
      <c r="C74" s="8" t="s">
        <v>109</v>
      </c>
      <c r="D74" s="8" t="s">
        <v>272</v>
      </c>
      <c r="E74" s="8" t="s">
        <v>183</v>
      </c>
      <c r="F74" s="19" t="n">
        <v>933.3</v>
      </c>
      <c r="G74" s="33" t="n">
        <f aca="false">F74*0.006477</f>
        <v>6.0449841</v>
      </c>
      <c r="H74" s="19" t="n">
        <f aca="false">F74*1.079436</f>
        <v>1007.4376188</v>
      </c>
      <c r="I74" s="18" t="n">
        <f aca="false">MAX(1,ROUNDUP(G74/0.096,0))</f>
        <v>63</v>
      </c>
      <c r="J74" s="31" t="n">
        <v>46567</v>
      </c>
      <c r="K74" s="34" t="n">
        <f aca="false">J74-WEEKDAY(J74,2)+1</f>
        <v>46566</v>
      </c>
      <c r="L74" s="31" t="n">
        <f aca="false">J74</f>
        <v>46567</v>
      </c>
      <c r="M74" s="26" t="n">
        <f aca="false">INDEX(LR_Target,MATCH(B74,LR_Lane,0))</f>
        <v>2</v>
      </c>
      <c r="N74" s="31" t="n">
        <f aca="false">WORKDAY.INTL(L74,M74,INDEX(LR_Code,MATCH(B74,LR_Lane,0)),INDEX(DH_Table,0,MATCH(B74&amp;"*",DH_Head,0)))</f>
        <v>46569</v>
      </c>
      <c r="O74" s="35" t="n">
        <f aca="false">IF(W74&lt;&gt;"",W74,IF(U74="Helmond",IF(COUNTIFS(RC_Lane,B74,RC_Band,E74,RC_Transit,"&lt;&gt;")=0,"",SUMIFS(RC_Transit,RC_Lane,B74,RC_Band,E74)),IF(U74="Other","",IF(INDEX(RS_Transit,MATCH(B74,RS_Lane,0))="","",INDEX(RS_Transit,MATCH(B74,RS_Lane,0))))))</f>
        <v>4</v>
      </c>
      <c r="P74" s="36"/>
      <c r="Q74" s="31" t="n">
        <f aca="false">IF(P74&lt;&gt;"",P74,IF(O74="","",WORKDAY.INTL(L74,ROUNDUP(O74,0),INDEX(LR_Code,MATCH(B74,LR_Lane,0)),INDEX(DH_Table,0,MATCH(B74&amp;"*",DH_Head,0)))))</f>
        <v>46573</v>
      </c>
      <c r="R74" s="37" t="str">
        <f aca="false">IF(Q74="","",IF(Q74&lt;=N74,"Yes","No"))</f>
        <v>No</v>
      </c>
      <c r="S74" s="26" t="n">
        <f aca="false">IF(Q74="","",IF(Q74&lt;=N74,0,NETWORKDAYS.INTL(N74,Q74,INDEX(LR_Code,MATCH(B74,LR_Lane,0)),INDEX(DH_Table,0,MATCH(B74&amp;"*",DH_Head,0)))-1))</f>
        <v>2</v>
      </c>
      <c r="T74" s="4"/>
      <c r="U74" s="25" t="str">
        <f aca="false">IF(V74&lt;&gt;"",V74,IF(IFERROR(INDEX(RS_Flag,MATCH(B74,RS_Lane,0)),"")="Yes",IF(IFERROR(INDEX(RS_Loc,MATCH(B74,RS_Lane,0)),"")="","Regional stock",IFERROR(INDEX(RS_Loc,MATCH(B74,RS_Lane,0)),"")),"Helmond"))</f>
        <v>Helmond</v>
      </c>
      <c r="V74" s="17"/>
      <c r="W74" s="38"/>
      <c r="X74" s="39"/>
      <c r="Y74" s="40" t="n">
        <f aca="false">IF(X74&lt;&gt;"",X74,IF(U74="Helmond",IF(COUNTIFS(RC_Lane,B74,RC_Band,E74,RC_CostPS,"&gt;0")=0,"",SUMIFS(RC_CostPS,RC_Lane,B74,RC_Band,E74)),IF(U74="Other","",IF(INDEX(RS_Rate,MATCH(B74,RS_Lane,0))="","",INDEX(RS_Rate,MATCH(B74,RS_Lane,0))))))</f>
        <v>3212.032</v>
      </c>
    </row>
    <row r="75" customFormat="false" ht="15" hidden="false" customHeight="false" outlineLevel="0" collapsed="false">
      <c r="A75" s="3" t="s">
        <v>342</v>
      </c>
      <c r="B75" s="25" t="s">
        <v>112</v>
      </c>
      <c r="C75" s="8" t="s">
        <v>113</v>
      </c>
      <c r="D75" s="8" t="s">
        <v>152</v>
      </c>
      <c r="E75" s="8" t="s">
        <v>178</v>
      </c>
      <c r="F75" s="19" t="n">
        <v>10.5</v>
      </c>
      <c r="G75" s="33" t="n">
        <f aca="false">F75*0.006477</f>
        <v>0.0680085</v>
      </c>
      <c r="H75" s="19" t="n">
        <f aca="false">F75*1.079436</f>
        <v>11.334078</v>
      </c>
      <c r="I75" s="18" t="n">
        <f aca="false">MAX(1,ROUNDUP(G75/0.096,0))</f>
        <v>1</v>
      </c>
      <c r="J75" s="31" t="n">
        <v>46568</v>
      </c>
      <c r="K75" s="34" t="n">
        <f aca="false">J75-WEEKDAY(J75,2)+1</f>
        <v>46566</v>
      </c>
      <c r="L75" s="31" t="n">
        <f aca="false">J75</f>
        <v>46568</v>
      </c>
      <c r="M75" s="26" t="n">
        <f aca="false">INDEX(LR_Target,MATCH(B75,LR_Lane,0))</f>
        <v>2</v>
      </c>
      <c r="N75" s="31" t="n">
        <f aca="false">WORKDAY.INTL(L75,M75,INDEX(LR_Code,MATCH(B75,LR_Lane,0)),INDEX(DH_Table,0,MATCH(B75&amp;"*",DH_Head,0)))</f>
        <v>46570</v>
      </c>
      <c r="O75" s="35" t="n">
        <f aca="false">IF(W75&lt;&gt;"",W75,IF(U75="Helmond",IF(COUNTIFS(RC_Lane,B75,RC_Band,E75,RC_Transit,"&lt;&gt;")=0,"",SUMIFS(RC_Transit,RC_Lane,B75,RC_Band,E75)),IF(U75="Other","",IF(INDEX(RS_Transit,MATCH(B75,RS_Lane,0))="","",INDEX(RS_Transit,MATCH(B75,RS_Lane,0))))))</f>
        <v>1</v>
      </c>
      <c r="P75" s="36"/>
      <c r="Q75" s="31" t="n">
        <f aca="false">IF(P75&lt;&gt;"",P75,IF(O75="","",WORKDAY.INTL(L75,ROUNDUP(O75,0),INDEX(LR_Code,MATCH(B75,LR_Lane,0)),INDEX(DH_Table,0,MATCH(B75&amp;"*",DH_Head,0)))))</f>
        <v>46569</v>
      </c>
      <c r="R75" s="37" t="str">
        <f aca="false">IF(Q75="","",IF(Q75&lt;=N75,"Yes","No"))</f>
        <v>Yes</v>
      </c>
      <c r="S75" s="26" t="n">
        <f aca="false">IF(Q75="","",IF(Q75&lt;=N75,0,NETWORKDAYS.INTL(N75,Q75,INDEX(LR_Code,MATCH(B75,LR_Lane,0)),INDEX(DH_Table,0,MATCH(B75&amp;"*",DH_Head,0)))-1))</f>
        <v>0</v>
      </c>
      <c r="T75" s="4"/>
      <c r="U75" s="25" t="str">
        <f aca="false">IF(V75&lt;&gt;"",V75,IF(IFERROR(INDEX(RS_Flag,MATCH(B75,RS_Lane,0)),"")="Yes",IF(IFERROR(INDEX(RS_Loc,MATCH(B75,RS_Lane,0)),"")="","Regional stock",IFERROR(INDEX(RS_Loc,MATCH(B75,RS_Lane,0)),"")),"Helmond"))</f>
        <v>Helmond</v>
      </c>
      <c r="V75" s="17"/>
      <c r="W75" s="38"/>
      <c r="X75" s="39"/>
      <c r="Y75" s="40" t="n">
        <f aca="false">IF(X75&lt;&gt;"",X75,IF(U75="Helmond",IF(COUNTIFS(RC_Lane,B75,RC_Band,E75,RC_CostPS,"&gt;0")=0,"",SUMIFS(RC_CostPS,RC_Lane,B75,RC_Band,E75)),IF(U75="Other","",IF(INDEX(RS_Rate,MATCH(B75,RS_Lane,0))="","",INDEX(RS_Rate,MATCH(B75,RS_Lane,0))))))</f>
        <v>76.3</v>
      </c>
    </row>
    <row r="76" customFormat="false" ht="15" hidden="false" customHeight="false" outlineLevel="0" collapsed="false">
      <c r="A76" s="3" t="s">
        <v>343</v>
      </c>
      <c r="B76" s="25" t="s">
        <v>112</v>
      </c>
      <c r="C76" s="8" t="s">
        <v>113</v>
      </c>
      <c r="D76" s="8" t="s">
        <v>152</v>
      </c>
      <c r="E76" s="8" t="s">
        <v>178</v>
      </c>
      <c r="F76" s="19" t="n">
        <v>3.6</v>
      </c>
      <c r="G76" s="33" t="n">
        <f aca="false">F76*0.006477</f>
        <v>0.0233172</v>
      </c>
      <c r="H76" s="19" t="n">
        <f aca="false">F76*1.079436</f>
        <v>3.8859696</v>
      </c>
      <c r="I76" s="18" t="n">
        <f aca="false">MAX(1,ROUNDUP(G76/0.096,0))</f>
        <v>1</v>
      </c>
      <c r="J76" s="31" t="n">
        <v>46574</v>
      </c>
      <c r="K76" s="34" t="n">
        <f aca="false">J76-WEEKDAY(J76,2)+1</f>
        <v>46573</v>
      </c>
      <c r="L76" s="31" t="n">
        <f aca="false">J76</f>
        <v>46574</v>
      </c>
      <c r="M76" s="26" t="n">
        <f aca="false">INDEX(LR_Target,MATCH(B76,LR_Lane,0))</f>
        <v>2</v>
      </c>
      <c r="N76" s="31" t="n">
        <f aca="false">WORKDAY.INTL(L76,M76,INDEX(LR_Code,MATCH(B76,LR_Lane,0)),INDEX(DH_Table,0,MATCH(B76&amp;"*",DH_Head,0)))</f>
        <v>46576</v>
      </c>
      <c r="O76" s="35" t="n">
        <f aca="false">IF(W76&lt;&gt;"",W76,IF(U76="Helmond",IF(COUNTIFS(RC_Lane,B76,RC_Band,E76,RC_Transit,"&lt;&gt;")=0,"",SUMIFS(RC_Transit,RC_Lane,B76,RC_Band,E76)),IF(U76="Other","",IF(INDEX(RS_Transit,MATCH(B76,RS_Lane,0))="","",INDEX(RS_Transit,MATCH(B76,RS_Lane,0))))))</f>
        <v>1</v>
      </c>
      <c r="P76" s="36"/>
      <c r="Q76" s="31" t="n">
        <f aca="false">IF(P76&lt;&gt;"",P76,IF(O76="","",WORKDAY.INTL(L76,ROUNDUP(O76,0),INDEX(LR_Code,MATCH(B76,LR_Lane,0)),INDEX(DH_Table,0,MATCH(B76&amp;"*",DH_Head,0)))))</f>
        <v>46575</v>
      </c>
      <c r="R76" s="37" t="str">
        <f aca="false">IF(Q76="","",IF(Q76&lt;=N76,"Yes","No"))</f>
        <v>Yes</v>
      </c>
      <c r="S76" s="26" t="n">
        <f aca="false">IF(Q76="","",IF(Q76&lt;=N76,0,NETWORKDAYS.INTL(N76,Q76,INDEX(LR_Code,MATCH(B76,LR_Lane,0)),INDEX(DH_Table,0,MATCH(B76&amp;"*",DH_Head,0)))-1))</f>
        <v>0</v>
      </c>
      <c r="T76" s="4"/>
      <c r="U76" s="25" t="str">
        <f aca="false">IF(V76&lt;&gt;"",V76,IF(IFERROR(INDEX(RS_Flag,MATCH(B76,RS_Lane,0)),"")="Yes",IF(IFERROR(INDEX(RS_Loc,MATCH(B76,RS_Lane,0)),"")="","Regional stock",IFERROR(INDEX(RS_Loc,MATCH(B76,RS_Lane,0)),"")),"Helmond"))</f>
        <v>Helmond</v>
      </c>
      <c r="V76" s="17"/>
      <c r="W76" s="38"/>
      <c r="X76" s="39"/>
      <c r="Y76" s="40" t="n">
        <f aca="false">IF(X76&lt;&gt;"",X76,IF(U76="Helmond",IF(COUNTIFS(RC_Lane,B76,RC_Band,E76,RC_CostPS,"&gt;0")=0,"",SUMIFS(RC_CostPS,RC_Lane,B76,RC_Band,E76)),IF(U76="Other","",IF(INDEX(RS_Rate,MATCH(B76,RS_Lane,0))="","",INDEX(RS_Rate,MATCH(B76,RS_Lane,0))))))</f>
        <v>76.3</v>
      </c>
    </row>
    <row r="77" customFormat="false" ht="15" hidden="false" customHeight="false" outlineLevel="0" collapsed="false">
      <c r="A77" s="3" t="s">
        <v>344</v>
      </c>
      <c r="B77" s="25" t="s">
        <v>115</v>
      </c>
      <c r="C77" s="8" t="s">
        <v>116</v>
      </c>
      <c r="D77" s="8" t="s">
        <v>153</v>
      </c>
      <c r="E77" s="8" t="s">
        <v>182</v>
      </c>
      <c r="F77" s="19" t="n">
        <v>339.9</v>
      </c>
      <c r="G77" s="33" t="n">
        <f aca="false">F77*0.006477</f>
        <v>2.2015323</v>
      </c>
      <c r="H77" s="19" t="n">
        <f aca="false">F77*1.079436</f>
        <v>366.9002964</v>
      </c>
      <c r="I77" s="18" t="n">
        <f aca="false">MAX(1,ROUNDUP(G77/0.096,0))</f>
        <v>23</v>
      </c>
      <c r="J77" s="31" t="n">
        <v>46575</v>
      </c>
      <c r="K77" s="34" t="n">
        <f aca="false">J77-WEEKDAY(J77,2)+1</f>
        <v>46573</v>
      </c>
      <c r="L77" s="31" t="n">
        <f aca="false">J77</f>
        <v>46575</v>
      </c>
      <c r="M77" s="26" t="n">
        <f aca="false">INDEX(LR_Target,MATCH(B77,LR_Lane,0))</f>
        <v>2</v>
      </c>
      <c r="N77" s="31" t="n">
        <f aca="false">WORKDAY.INTL(L77,M77,INDEX(LR_Code,MATCH(B77,LR_Lane,0)),INDEX(DH_Table,0,MATCH(B77&amp;"*",DH_Head,0)))</f>
        <v>46579</v>
      </c>
      <c r="O77" s="35" t="n">
        <f aca="false">IF(W77&lt;&gt;"",W77,IF(U77="Helmond",IF(COUNTIFS(RC_Lane,B77,RC_Band,E77,RC_Transit,"&lt;&gt;")=0,"",SUMIFS(RC_Transit,RC_Lane,B77,RC_Band,E77)),IF(U77="Other","",IF(INDEX(RS_Transit,MATCH(B77,RS_Lane,0))="","",INDEX(RS_Transit,MATCH(B77,RS_Lane,0))))))</f>
        <v>3</v>
      </c>
      <c r="P77" s="36"/>
      <c r="Q77" s="31" t="n">
        <f aca="false">IF(P77&lt;&gt;"",P77,IF(O77="","",WORKDAY.INTL(L77,ROUNDUP(O77,0),INDEX(LR_Code,MATCH(B77,LR_Lane,0)),INDEX(DH_Table,0,MATCH(B77&amp;"*",DH_Head,0)))))</f>
        <v>46580</v>
      </c>
      <c r="R77" s="37" t="str">
        <f aca="false">IF(Q77="","",IF(Q77&lt;=N77,"Yes","No"))</f>
        <v>No</v>
      </c>
      <c r="S77" s="26" t="n">
        <f aca="false">IF(Q77="","",IF(Q77&lt;=N77,0,NETWORKDAYS.INTL(N77,Q77,INDEX(LR_Code,MATCH(B77,LR_Lane,0)),INDEX(DH_Table,0,MATCH(B77&amp;"*",DH_Head,0)))-1))</f>
        <v>1</v>
      </c>
      <c r="T77" s="4"/>
      <c r="U77" s="25" t="str">
        <f aca="false">IF(V77&lt;&gt;"",V77,IF(IFERROR(INDEX(RS_Flag,MATCH(B77,RS_Lane,0)),"")="Yes",IF(IFERROR(INDEX(RS_Loc,MATCH(B77,RS_Lane,0)),"")="","Regional stock",IFERROR(INDEX(RS_Loc,MATCH(B77,RS_Lane,0)),"")),"Helmond"))</f>
        <v>Helmond</v>
      </c>
      <c r="V77" s="17"/>
      <c r="W77" s="38"/>
      <c r="X77" s="39"/>
      <c r="Y77" s="40" t="n">
        <f aca="false">IF(X77&lt;&gt;"",X77,IF(U77="Helmond",IF(COUNTIFS(RC_Lane,B77,RC_Band,E77,RC_CostPS,"&gt;0")=0,"",SUMIFS(RC_CostPS,RC_Lane,B77,RC_Band,E77)),IF(U77="Other","",IF(INDEX(RS_Rate,MATCH(B77,RS_Lane,0))="","",INDEX(RS_Rate,MATCH(B77,RS_Lane,0))))))</f>
        <v>1338.1094</v>
      </c>
    </row>
    <row r="78" customFormat="false" ht="15" hidden="false" customHeight="false" outlineLevel="0" collapsed="false">
      <c r="A78" s="3" t="s">
        <v>345</v>
      </c>
      <c r="B78" s="25" t="s">
        <v>117</v>
      </c>
      <c r="C78" s="8" t="s">
        <v>118</v>
      </c>
      <c r="D78" s="8" t="s">
        <v>154</v>
      </c>
      <c r="E78" s="8" t="s">
        <v>180</v>
      </c>
      <c r="F78" s="19" t="n">
        <v>57.5</v>
      </c>
      <c r="G78" s="33" t="n">
        <f aca="false">F78*0.006477</f>
        <v>0.3724275</v>
      </c>
      <c r="H78" s="19" t="n">
        <f aca="false">F78*1.079436</f>
        <v>62.06757</v>
      </c>
      <c r="I78" s="18" t="n">
        <f aca="false">MAX(1,ROUNDUP(G78/0.096,0))</f>
        <v>4</v>
      </c>
      <c r="J78" s="31" t="n">
        <v>46576</v>
      </c>
      <c r="K78" s="34" t="n">
        <f aca="false">J78-WEEKDAY(J78,2)+1</f>
        <v>46573</v>
      </c>
      <c r="L78" s="31" t="n">
        <f aca="false">J78</f>
        <v>46576</v>
      </c>
      <c r="M78" s="26" t="n">
        <f aca="false">INDEX(LR_Target,MATCH(B78,LR_Lane,0))</f>
        <v>2</v>
      </c>
      <c r="N78" s="31" t="n">
        <f aca="false">WORKDAY.INTL(L78,M78,INDEX(LR_Code,MATCH(B78,LR_Lane,0)),INDEX(DH_Table,0,MATCH(B78&amp;"*",DH_Head,0)))</f>
        <v>46580</v>
      </c>
      <c r="O78" s="35" t="n">
        <f aca="false">IF(W78&lt;&gt;"",W78,IF(U78="Helmond",IF(COUNTIFS(RC_Lane,B78,RC_Band,E78,RC_Transit,"&lt;&gt;")=0,"",SUMIFS(RC_Transit,RC_Lane,B78,RC_Band,E78)),IF(U78="Other","",IF(INDEX(RS_Transit,MATCH(B78,RS_Lane,0))="","",INDEX(RS_Transit,MATCH(B78,RS_Lane,0))))))</f>
        <v>2</v>
      </c>
      <c r="P78" s="36"/>
      <c r="Q78" s="31" t="n">
        <f aca="false">IF(P78&lt;&gt;"",P78,IF(O78="","",WORKDAY.INTL(L78,ROUNDUP(O78,0),INDEX(LR_Code,MATCH(B78,LR_Lane,0)),INDEX(DH_Table,0,MATCH(B78&amp;"*",DH_Head,0)))))</f>
        <v>46580</v>
      </c>
      <c r="R78" s="37" t="str">
        <f aca="false">IF(Q78="","",IF(Q78&lt;=N78,"Yes","No"))</f>
        <v>Yes</v>
      </c>
      <c r="S78" s="26" t="n">
        <f aca="false">IF(Q78="","",IF(Q78&lt;=N78,0,NETWORKDAYS.INTL(N78,Q78,INDEX(LR_Code,MATCH(B78,LR_Lane,0)),INDEX(DH_Table,0,MATCH(B78&amp;"*",DH_Head,0)))-1))</f>
        <v>0</v>
      </c>
      <c r="T78" s="4"/>
      <c r="U78" s="25" t="str">
        <f aca="false">IF(V78&lt;&gt;"",V78,IF(IFERROR(INDEX(RS_Flag,MATCH(B78,RS_Lane,0)),"")="Yes",IF(IFERROR(INDEX(RS_Loc,MATCH(B78,RS_Lane,0)),"")="","Regional stock",IFERROR(INDEX(RS_Loc,MATCH(B78,RS_Lane,0)),"")),"Helmond"))</f>
        <v>Helmond</v>
      </c>
      <c r="V78" s="17"/>
      <c r="W78" s="38"/>
      <c r="X78" s="39"/>
      <c r="Y78" s="40" t="n">
        <f aca="false">IF(X78&lt;&gt;"",X78,IF(U78="Helmond",IF(COUNTIFS(RC_Lane,B78,RC_Band,E78,RC_CostPS,"&gt;0")=0,"",SUMIFS(RC_CostPS,RC_Lane,B78,RC_Band,E78)),IF(U78="Other","",IF(INDEX(RS_Rate,MATCH(B78,RS_Lane,0))="","",INDEX(RS_Rate,MATCH(B78,RS_Lane,0))))))</f>
        <v>162.5344</v>
      </c>
    </row>
    <row r="79" customFormat="false" ht="15" hidden="false" customHeight="false" outlineLevel="0" collapsed="false">
      <c r="A79" s="3" t="s">
        <v>346</v>
      </c>
      <c r="B79" s="25" t="s">
        <v>108</v>
      </c>
      <c r="C79" s="8" t="s">
        <v>109</v>
      </c>
      <c r="D79" s="8" t="s">
        <v>272</v>
      </c>
      <c r="E79" s="8" t="s">
        <v>178</v>
      </c>
      <c r="F79" s="19" t="n">
        <v>10.6</v>
      </c>
      <c r="G79" s="33" t="n">
        <f aca="false">F79*0.006477</f>
        <v>0.0686562</v>
      </c>
      <c r="H79" s="19" t="n">
        <f aca="false">F79*1.079436</f>
        <v>11.4420216</v>
      </c>
      <c r="I79" s="18" t="n">
        <f aca="false">MAX(1,ROUNDUP(G79/0.096,0))</f>
        <v>1</v>
      </c>
      <c r="J79" s="31" t="n">
        <v>46577</v>
      </c>
      <c r="K79" s="34" t="n">
        <f aca="false">J79-WEEKDAY(J79,2)+1</f>
        <v>46573</v>
      </c>
      <c r="L79" s="31" t="n">
        <f aca="false">J79</f>
        <v>46577</v>
      </c>
      <c r="M79" s="26" t="n">
        <f aca="false">INDEX(LR_Target,MATCH(B79,LR_Lane,0))</f>
        <v>2</v>
      </c>
      <c r="N79" s="31" t="n">
        <f aca="false">WORKDAY.INTL(L79,M79,INDEX(LR_Code,MATCH(B79,LR_Lane,0)),INDEX(DH_Table,0,MATCH(B79&amp;"*",DH_Head,0)))</f>
        <v>46580</v>
      </c>
      <c r="O79" s="35" t="n">
        <f aca="false">IF(W79&lt;&gt;"",W79,IF(U79="Helmond",IF(COUNTIFS(RC_Lane,B79,RC_Band,E79,RC_Transit,"&lt;&gt;")=0,"",SUMIFS(RC_Transit,RC_Lane,B79,RC_Band,E79)),IF(U79="Other","",IF(INDEX(RS_Transit,MATCH(B79,RS_Lane,0))="","",INDEX(RS_Transit,MATCH(B79,RS_Lane,0))))))</f>
        <v>1</v>
      </c>
      <c r="P79" s="36"/>
      <c r="Q79" s="31" t="n">
        <f aca="false">IF(P79&lt;&gt;"",P79,IF(O79="","",WORKDAY.INTL(L79,ROUNDUP(O79,0),INDEX(LR_Code,MATCH(B79,LR_Lane,0)),INDEX(DH_Table,0,MATCH(B79&amp;"*",DH_Head,0)))))</f>
        <v>46579</v>
      </c>
      <c r="R79" s="37" t="str">
        <f aca="false">IF(Q79="","",IF(Q79&lt;=N79,"Yes","No"))</f>
        <v>Yes</v>
      </c>
      <c r="S79" s="26" t="n">
        <f aca="false">IF(Q79="","",IF(Q79&lt;=N79,0,NETWORKDAYS.INTL(N79,Q79,INDEX(LR_Code,MATCH(B79,LR_Lane,0)),INDEX(DH_Table,0,MATCH(B79&amp;"*",DH_Head,0)))-1))</f>
        <v>0</v>
      </c>
      <c r="T79" s="4"/>
      <c r="U79" s="25" t="str">
        <f aca="false">IF(V79&lt;&gt;"",V79,IF(IFERROR(INDEX(RS_Flag,MATCH(B79,RS_Lane,0)),"")="Yes",IF(IFERROR(INDEX(RS_Loc,MATCH(B79,RS_Lane,0)),"")="","Regional stock",IFERROR(INDEX(RS_Loc,MATCH(B79,RS_Lane,0)),"")),"Helmond"))</f>
        <v>Helmond</v>
      </c>
      <c r="V79" s="17"/>
      <c r="W79" s="38"/>
      <c r="X79" s="39"/>
      <c r="Y79" s="40" t="n">
        <f aca="false">IF(X79&lt;&gt;"",X79,IF(U79="Helmond",IF(COUNTIFS(RC_Lane,B79,RC_Band,E79,RC_CostPS,"&gt;0")=0,"",SUMIFS(RC_CostPS,RC_Lane,B79,RC_Band,E79)),IF(U79="Other","",IF(INDEX(RS_Rate,MATCH(B79,RS_Lane,0))="","",INDEX(RS_Rate,MATCH(B79,RS_Lane,0))))))</f>
        <v>76.3</v>
      </c>
    </row>
    <row r="80" customFormat="false" ht="15" hidden="false" customHeight="false" outlineLevel="0" collapsed="false">
      <c r="A80" s="3" t="s">
        <v>347</v>
      </c>
      <c r="B80" s="25" t="s">
        <v>108</v>
      </c>
      <c r="C80" s="8" t="s">
        <v>109</v>
      </c>
      <c r="D80" s="8" t="s">
        <v>270</v>
      </c>
      <c r="E80" s="8" t="s">
        <v>180</v>
      </c>
      <c r="F80" s="19" t="n">
        <v>75.3</v>
      </c>
      <c r="G80" s="33" t="n">
        <f aca="false">F80*0.006477</f>
        <v>0.4877181</v>
      </c>
      <c r="H80" s="19" t="n">
        <f aca="false">F80*1.079436</f>
        <v>81.2815308</v>
      </c>
      <c r="I80" s="18" t="n">
        <f aca="false">MAX(1,ROUNDUP(G80/0.096,0))</f>
        <v>6</v>
      </c>
      <c r="J80" s="31" t="n">
        <v>46581</v>
      </c>
      <c r="K80" s="34" t="n">
        <f aca="false">J80-WEEKDAY(J80,2)+1</f>
        <v>46580</v>
      </c>
      <c r="L80" s="31" t="n">
        <f aca="false">J80</f>
        <v>46581</v>
      </c>
      <c r="M80" s="26" t="n">
        <f aca="false">INDEX(LR_Target,MATCH(B80,LR_Lane,0))</f>
        <v>2</v>
      </c>
      <c r="N80" s="31" t="n">
        <f aca="false">WORKDAY.INTL(L80,M80,INDEX(LR_Code,MATCH(B80,LR_Lane,0)),INDEX(DH_Table,0,MATCH(B80&amp;"*",DH_Head,0)))</f>
        <v>46583</v>
      </c>
      <c r="O80" s="35" t="n">
        <f aca="false">IF(W80&lt;&gt;"",W80,IF(U80="Helmond",IF(COUNTIFS(RC_Lane,B80,RC_Band,E80,RC_Transit,"&lt;&gt;")=0,"",SUMIFS(RC_Transit,RC_Lane,B80,RC_Band,E80)),IF(U80="Other","",IF(INDEX(RS_Transit,MATCH(B80,RS_Lane,0))="","",INDEX(RS_Transit,MATCH(B80,RS_Lane,0))))))</f>
        <v>2</v>
      </c>
      <c r="P80" s="36"/>
      <c r="Q80" s="31" t="n">
        <f aca="false">IF(P80&lt;&gt;"",P80,IF(O80="","",WORKDAY.INTL(L80,ROUNDUP(O80,0),INDEX(LR_Code,MATCH(B80,LR_Lane,0)),INDEX(DH_Table,0,MATCH(B80&amp;"*",DH_Head,0)))))</f>
        <v>46583</v>
      </c>
      <c r="R80" s="37" t="str">
        <f aca="false">IF(Q80="","",IF(Q80&lt;=N80,"Yes","No"))</f>
        <v>Yes</v>
      </c>
      <c r="S80" s="26" t="n">
        <f aca="false">IF(Q80="","",IF(Q80&lt;=N80,0,NETWORKDAYS.INTL(N80,Q80,INDEX(LR_Code,MATCH(B80,LR_Lane,0)),INDEX(DH_Table,0,MATCH(B80&amp;"*",DH_Head,0)))-1))</f>
        <v>0</v>
      </c>
      <c r="T80" s="4"/>
      <c r="U80" s="25" t="str">
        <f aca="false">IF(V80&lt;&gt;"",V80,IF(IFERROR(INDEX(RS_Flag,MATCH(B80,RS_Lane,0)),"")="Yes",IF(IFERROR(INDEX(RS_Loc,MATCH(B80,RS_Lane,0)),"")="","Regional stock",IFERROR(INDEX(RS_Loc,MATCH(B80,RS_Lane,0)),"")),"Helmond"))</f>
        <v>Helmond</v>
      </c>
      <c r="V80" s="17"/>
      <c r="W80" s="38"/>
      <c r="X80" s="39"/>
      <c r="Y80" s="40" t="n">
        <f aca="false">IF(X80&lt;&gt;"",X80,IF(U80="Helmond",IF(COUNTIFS(RC_Lane,B80,RC_Band,E80,RC_CostPS,"&gt;0")=0,"",SUMIFS(RC_CostPS,RC_Lane,B80,RC_Band,E80)),IF(U80="Other","",IF(INDEX(RS_Rate,MATCH(B80,RS_Lane,0))="","",INDEX(RS_Rate,MATCH(B80,RS_Lane,0))))))</f>
        <v>299.9808</v>
      </c>
    </row>
    <row r="81" customFormat="false" ht="15" hidden="false" customHeight="false" outlineLevel="0" collapsed="false">
      <c r="A81" s="3" t="s">
        <v>348</v>
      </c>
      <c r="B81" s="25" t="s">
        <v>112</v>
      </c>
      <c r="C81" s="8" t="s">
        <v>113</v>
      </c>
      <c r="D81" s="8" t="s">
        <v>152</v>
      </c>
      <c r="E81" s="8" t="s">
        <v>178</v>
      </c>
      <c r="F81" s="19" t="n">
        <v>8.9</v>
      </c>
      <c r="G81" s="33" t="n">
        <f aca="false">F81*0.006477</f>
        <v>0.0576453</v>
      </c>
      <c r="H81" s="19" t="n">
        <f aca="false">F81*1.079436</f>
        <v>9.6069804</v>
      </c>
      <c r="I81" s="18" t="n">
        <f aca="false">MAX(1,ROUNDUP(G81/0.096,0))</f>
        <v>1</v>
      </c>
      <c r="J81" s="31" t="n">
        <v>46583</v>
      </c>
      <c r="K81" s="34" t="n">
        <f aca="false">J81-WEEKDAY(J81,2)+1</f>
        <v>46580</v>
      </c>
      <c r="L81" s="31" t="n">
        <f aca="false">J81</f>
        <v>46583</v>
      </c>
      <c r="M81" s="26" t="n">
        <f aca="false">INDEX(LR_Target,MATCH(B81,LR_Lane,0))</f>
        <v>2</v>
      </c>
      <c r="N81" s="31" t="n">
        <f aca="false">WORKDAY.INTL(L81,M81,INDEX(LR_Code,MATCH(B81,LR_Lane,0)),INDEX(DH_Table,0,MATCH(B81&amp;"*",DH_Head,0)))</f>
        <v>46587</v>
      </c>
      <c r="O81" s="35" t="n">
        <f aca="false">IF(W81&lt;&gt;"",W81,IF(U81="Helmond",IF(COUNTIFS(RC_Lane,B81,RC_Band,E81,RC_Transit,"&lt;&gt;")=0,"",SUMIFS(RC_Transit,RC_Lane,B81,RC_Band,E81)),IF(U81="Other","",IF(INDEX(RS_Transit,MATCH(B81,RS_Lane,0))="","",INDEX(RS_Transit,MATCH(B81,RS_Lane,0))))))</f>
        <v>1</v>
      </c>
      <c r="P81" s="36"/>
      <c r="Q81" s="31" t="n">
        <f aca="false">IF(P81&lt;&gt;"",P81,IF(O81="","",WORKDAY.INTL(L81,ROUNDUP(O81,0),INDEX(LR_Code,MATCH(B81,LR_Lane,0)),INDEX(DH_Table,0,MATCH(B81&amp;"*",DH_Head,0)))))</f>
        <v>46584</v>
      </c>
      <c r="R81" s="37" t="str">
        <f aca="false">IF(Q81="","",IF(Q81&lt;=N81,"Yes","No"))</f>
        <v>Yes</v>
      </c>
      <c r="S81" s="26" t="n">
        <f aca="false">IF(Q81="","",IF(Q81&lt;=N81,0,NETWORKDAYS.INTL(N81,Q81,INDEX(LR_Code,MATCH(B81,LR_Lane,0)),INDEX(DH_Table,0,MATCH(B81&amp;"*",DH_Head,0)))-1))</f>
        <v>0</v>
      </c>
      <c r="T81" s="4"/>
      <c r="U81" s="25" t="str">
        <f aca="false">IF(V81&lt;&gt;"",V81,IF(IFERROR(INDEX(RS_Flag,MATCH(B81,RS_Lane,0)),"")="Yes",IF(IFERROR(INDEX(RS_Loc,MATCH(B81,RS_Lane,0)),"")="","Regional stock",IFERROR(INDEX(RS_Loc,MATCH(B81,RS_Lane,0)),"")),"Helmond"))</f>
        <v>Helmond</v>
      </c>
      <c r="V81" s="17"/>
      <c r="W81" s="38"/>
      <c r="X81" s="39"/>
      <c r="Y81" s="40" t="n">
        <f aca="false">IF(X81&lt;&gt;"",X81,IF(U81="Helmond",IF(COUNTIFS(RC_Lane,B81,RC_Band,E81,RC_CostPS,"&gt;0")=0,"",SUMIFS(RC_CostPS,RC_Lane,B81,RC_Band,E81)),IF(U81="Other","",IF(INDEX(RS_Rate,MATCH(B81,RS_Lane,0))="","",INDEX(RS_Rate,MATCH(B81,RS_Lane,0))))))</f>
        <v>76.3</v>
      </c>
    </row>
    <row r="82" customFormat="false" ht="15" hidden="false" customHeight="false" outlineLevel="0" collapsed="false">
      <c r="A82" s="3" t="s">
        <v>349</v>
      </c>
      <c r="B82" s="25" t="s">
        <v>126</v>
      </c>
      <c r="C82" s="8" t="s">
        <v>127</v>
      </c>
      <c r="D82" s="8" t="s">
        <v>158</v>
      </c>
      <c r="E82" s="8" t="s">
        <v>180</v>
      </c>
      <c r="F82" s="19" t="n">
        <v>52</v>
      </c>
      <c r="G82" s="33" t="n">
        <f aca="false">F82*0.006477</f>
        <v>0.336804</v>
      </c>
      <c r="H82" s="19" t="n">
        <f aca="false">F82*1.079436</f>
        <v>56.130672</v>
      </c>
      <c r="I82" s="18" t="n">
        <f aca="false">MAX(1,ROUNDUP(G82/0.096,0))</f>
        <v>4</v>
      </c>
      <c r="J82" s="31" t="n">
        <v>46584</v>
      </c>
      <c r="K82" s="34" t="n">
        <f aca="false">J82-WEEKDAY(J82,2)+1</f>
        <v>46580</v>
      </c>
      <c r="L82" s="31" t="n">
        <f aca="false">J82</f>
        <v>46584</v>
      </c>
      <c r="M82" s="26" t="n">
        <f aca="false">INDEX(LR_Target,MATCH(B82,LR_Lane,0))</f>
        <v>4</v>
      </c>
      <c r="N82" s="31" t="n">
        <f aca="false">WORKDAY.INTL(L82,M82,INDEX(LR_Code,MATCH(B82,LR_Lane,0)),INDEX(DH_Table,0,MATCH(B82&amp;"*",DH_Head,0)))</f>
        <v>46589</v>
      </c>
      <c r="O82" s="35" t="n">
        <f aca="false">IF(W82&lt;&gt;"",W82,IF(U82="Helmond",IF(COUNTIFS(RC_Lane,B82,RC_Band,E82,RC_Transit,"&lt;&gt;")=0,"",SUMIFS(RC_Transit,RC_Lane,B82,RC_Band,E82)),IF(U82="Other","",IF(INDEX(RS_Transit,MATCH(B82,RS_Lane,0))="","",INDEX(RS_Transit,MATCH(B82,RS_Lane,0))))))</f>
        <v>2</v>
      </c>
      <c r="P82" s="36"/>
      <c r="Q82" s="31" t="n">
        <f aca="false">IF(P82&lt;&gt;"",P82,IF(O82="","",WORKDAY.INTL(L82,ROUNDUP(O82,0),INDEX(LR_Code,MATCH(B82,LR_Lane,0)),INDEX(DH_Table,0,MATCH(B82&amp;"*",DH_Head,0)))))</f>
        <v>46587</v>
      </c>
      <c r="R82" s="37" t="str">
        <f aca="false">IF(Q82="","",IF(Q82&lt;=N82,"Yes","No"))</f>
        <v>Yes</v>
      </c>
      <c r="S82" s="26" t="n">
        <f aca="false">IF(Q82="","",IF(Q82&lt;=N82,0,NETWORKDAYS.INTL(N82,Q82,INDEX(LR_Code,MATCH(B82,LR_Lane,0)),INDEX(DH_Table,0,MATCH(B82&amp;"*",DH_Head,0)))-1))</f>
        <v>0</v>
      </c>
      <c r="T82" s="4"/>
      <c r="U82" s="25" t="str">
        <f aca="false">IF(V82&lt;&gt;"",V82,IF(IFERROR(INDEX(RS_Flag,MATCH(B82,RS_Lane,0)),"")="Yes",IF(IFERROR(INDEX(RS_Loc,MATCH(B82,RS_Lane,0)),"")="","Regional stock",IFERROR(INDEX(RS_Loc,MATCH(B82,RS_Lane,0)),"")),"Helmond"))</f>
        <v>Helmond</v>
      </c>
      <c r="V82" s="17"/>
      <c r="W82" s="38"/>
      <c r="X82" s="39"/>
      <c r="Y82" s="40" t="n">
        <f aca="false">IF(X82&lt;&gt;"",X82,IF(U82="Helmond",IF(COUNTIFS(RC_Lane,B82,RC_Band,E82,RC_CostPS,"&gt;0")=0,"",SUMIFS(RC_CostPS,RC_Lane,B82,RC_Band,E82)),IF(U82="Other","",IF(INDEX(RS_Rate,MATCH(B82,RS_Lane,0))="","",INDEX(RS_Rate,MATCH(B82,RS_Lane,0))))))</f>
        <v>317.8224</v>
      </c>
    </row>
    <row r="83" customFormat="false" ht="15" hidden="false" customHeight="false" outlineLevel="0" collapsed="false">
      <c r="A83" s="3" t="s">
        <v>350</v>
      </c>
      <c r="B83" s="25" t="s">
        <v>119</v>
      </c>
      <c r="C83" s="8" t="s">
        <v>120</v>
      </c>
      <c r="D83" s="8" t="s">
        <v>155</v>
      </c>
      <c r="E83" s="8" t="s">
        <v>178</v>
      </c>
      <c r="F83" s="19" t="n">
        <v>2.3</v>
      </c>
      <c r="G83" s="33" t="n">
        <f aca="false">F83*0.006477</f>
        <v>0.0148971</v>
      </c>
      <c r="H83" s="19" t="n">
        <f aca="false">F83*1.079436</f>
        <v>2.4827028</v>
      </c>
      <c r="I83" s="18" t="n">
        <f aca="false">MAX(1,ROUNDUP(G83/0.096,0))</f>
        <v>1</v>
      </c>
      <c r="J83" s="31" t="n">
        <v>46587</v>
      </c>
      <c r="K83" s="34" t="n">
        <f aca="false">J83-WEEKDAY(J83,2)+1</f>
        <v>46587</v>
      </c>
      <c r="L83" s="31" t="n">
        <f aca="false">J83</f>
        <v>46587</v>
      </c>
      <c r="M83" s="26" t="n">
        <f aca="false">INDEX(LR_Target,MATCH(B83,LR_Lane,0))</f>
        <v>3</v>
      </c>
      <c r="N83" s="31" t="n">
        <f aca="false">WORKDAY.INTL(L83,M83,INDEX(LR_Code,MATCH(B83,LR_Lane,0)),INDEX(DH_Table,0,MATCH(B83&amp;"*",DH_Head,0)))</f>
        <v>46590</v>
      </c>
      <c r="O83" s="35" t="n">
        <f aca="false">IF(W83&lt;&gt;"",W83,IF(U83="Helmond",IF(COUNTIFS(RC_Lane,B83,RC_Band,E83,RC_Transit,"&lt;&gt;")=0,"",SUMIFS(RC_Transit,RC_Lane,B83,RC_Band,E83)),IF(U83="Other","",IF(INDEX(RS_Transit,MATCH(B83,RS_Lane,0))="","",INDEX(RS_Transit,MATCH(B83,RS_Lane,0))))))</f>
        <v>1</v>
      </c>
      <c r="P83" s="36"/>
      <c r="Q83" s="31" t="n">
        <f aca="false">IF(P83&lt;&gt;"",P83,IF(O83="","",WORKDAY.INTL(L83,ROUNDUP(O83,0),INDEX(LR_Code,MATCH(B83,LR_Lane,0)),INDEX(DH_Table,0,MATCH(B83&amp;"*",DH_Head,0)))))</f>
        <v>46588</v>
      </c>
      <c r="R83" s="37" t="str">
        <f aca="false">IF(Q83="","",IF(Q83&lt;=N83,"Yes","No"))</f>
        <v>Yes</v>
      </c>
      <c r="S83" s="26" t="n">
        <f aca="false">IF(Q83="","",IF(Q83&lt;=N83,0,NETWORKDAYS.INTL(N83,Q83,INDEX(LR_Code,MATCH(B83,LR_Lane,0)),INDEX(DH_Table,0,MATCH(B83&amp;"*",DH_Head,0)))-1))</f>
        <v>0</v>
      </c>
      <c r="T83" s="4"/>
      <c r="U83" s="25" t="str">
        <f aca="false">IF(V83&lt;&gt;"",V83,IF(IFERROR(INDEX(RS_Flag,MATCH(B83,RS_Lane,0)),"")="Yes",IF(IFERROR(INDEX(RS_Loc,MATCH(B83,RS_Lane,0)),"")="","Regional stock",IFERROR(INDEX(RS_Loc,MATCH(B83,RS_Lane,0)),"")),"Helmond"))</f>
        <v>Helmond</v>
      </c>
      <c r="V83" s="17"/>
      <c r="W83" s="38"/>
      <c r="X83" s="39"/>
      <c r="Y83" s="40" t="n">
        <f aca="false">IF(X83&lt;&gt;"",X83,IF(U83="Helmond",IF(COUNTIFS(RC_Lane,B83,RC_Band,E83,RC_CostPS,"&gt;0")=0,"",SUMIFS(RC_CostPS,RC_Lane,B83,RC_Band,E83)),IF(U83="Other","",IF(INDEX(RS_Rate,MATCH(B83,RS_Lane,0))="","",INDEX(RS_Rate,MATCH(B83,RS_Lane,0))))))</f>
        <v>76.3</v>
      </c>
    </row>
    <row r="84" customFormat="false" ht="15" hidden="false" customHeight="false" outlineLevel="0" collapsed="false">
      <c r="A84" s="3" t="s">
        <v>351</v>
      </c>
      <c r="B84" s="25" t="s">
        <v>108</v>
      </c>
      <c r="C84" s="8" t="s">
        <v>109</v>
      </c>
      <c r="D84" s="8" t="s">
        <v>270</v>
      </c>
      <c r="E84" s="8" t="s">
        <v>178</v>
      </c>
      <c r="F84" s="19" t="n">
        <v>5.2</v>
      </c>
      <c r="G84" s="33" t="n">
        <f aca="false">F84*0.006477</f>
        <v>0.0336804</v>
      </c>
      <c r="H84" s="19" t="n">
        <f aca="false">F84*1.079436</f>
        <v>5.6130672</v>
      </c>
      <c r="I84" s="18" t="n">
        <f aca="false">MAX(1,ROUNDUP(G84/0.096,0))</f>
        <v>1</v>
      </c>
      <c r="J84" s="31" t="n">
        <v>46597</v>
      </c>
      <c r="K84" s="34" t="n">
        <f aca="false">J84-WEEKDAY(J84,2)+1</f>
        <v>46594</v>
      </c>
      <c r="L84" s="31" t="n">
        <f aca="false">J84</f>
        <v>46597</v>
      </c>
      <c r="M84" s="26" t="n">
        <f aca="false">INDEX(LR_Target,MATCH(B84,LR_Lane,0))</f>
        <v>2</v>
      </c>
      <c r="N84" s="31" t="n">
        <f aca="false">WORKDAY.INTL(L84,M84,INDEX(LR_Code,MATCH(B84,LR_Lane,0)),INDEX(DH_Table,0,MATCH(B84&amp;"*",DH_Head,0)))</f>
        <v>46601</v>
      </c>
      <c r="O84" s="35" t="n">
        <f aca="false">IF(W84&lt;&gt;"",W84,IF(U84="Helmond",IF(COUNTIFS(RC_Lane,B84,RC_Band,E84,RC_Transit,"&lt;&gt;")=0,"",SUMIFS(RC_Transit,RC_Lane,B84,RC_Band,E84)),IF(U84="Other","",IF(INDEX(RS_Transit,MATCH(B84,RS_Lane,0))="","",INDEX(RS_Transit,MATCH(B84,RS_Lane,0))))))</f>
        <v>1</v>
      </c>
      <c r="P84" s="36"/>
      <c r="Q84" s="31" t="n">
        <f aca="false">IF(P84&lt;&gt;"",P84,IF(O84="","",WORKDAY.INTL(L84,ROUNDUP(O84,0),INDEX(LR_Code,MATCH(B84,LR_Lane,0)),INDEX(DH_Table,0,MATCH(B84&amp;"*",DH_Head,0)))))</f>
        <v>46600</v>
      </c>
      <c r="R84" s="37" t="str">
        <f aca="false">IF(Q84="","",IF(Q84&lt;=N84,"Yes","No"))</f>
        <v>Yes</v>
      </c>
      <c r="S84" s="26" t="n">
        <f aca="false">IF(Q84="","",IF(Q84&lt;=N84,0,NETWORKDAYS.INTL(N84,Q84,INDEX(LR_Code,MATCH(B84,LR_Lane,0)),INDEX(DH_Table,0,MATCH(B84&amp;"*",DH_Head,0)))-1))</f>
        <v>0</v>
      </c>
      <c r="T84" s="4"/>
      <c r="U84" s="25" t="str">
        <f aca="false">IF(V84&lt;&gt;"",V84,IF(IFERROR(INDEX(RS_Flag,MATCH(B84,RS_Lane,0)),"")="Yes",IF(IFERROR(INDEX(RS_Loc,MATCH(B84,RS_Lane,0)),"")="","Regional stock",IFERROR(INDEX(RS_Loc,MATCH(B84,RS_Lane,0)),"")),"Helmond"))</f>
        <v>Helmond</v>
      </c>
      <c r="V84" s="17"/>
      <c r="W84" s="38"/>
      <c r="X84" s="39"/>
      <c r="Y84" s="40" t="n">
        <f aca="false">IF(X84&lt;&gt;"",X84,IF(U84="Helmond",IF(COUNTIFS(RC_Lane,B84,RC_Band,E84,RC_CostPS,"&gt;0")=0,"",SUMIFS(RC_CostPS,RC_Lane,B84,RC_Band,E84)),IF(U84="Other","",IF(INDEX(RS_Rate,MATCH(B84,RS_Lane,0))="","",INDEX(RS_Rate,MATCH(B84,RS_Lane,0))))))</f>
        <v>76.3</v>
      </c>
    </row>
    <row r="85" customFormat="false" ht="15" hidden="false" customHeight="false" outlineLevel="0" collapsed="false">
      <c r="A85" s="3" t="s">
        <v>352</v>
      </c>
      <c r="B85" s="25" t="s">
        <v>112</v>
      </c>
      <c r="C85" s="8" t="s">
        <v>113</v>
      </c>
      <c r="D85" s="8" t="s">
        <v>152</v>
      </c>
      <c r="E85" s="8" t="s">
        <v>178</v>
      </c>
      <c r="F85" s="19" t="n">
        <v>7.1</v>
      </c>
      <c r="G85" s="33" t="n">
        <f aca="false">F85*0.006477</f>
        <v>0.0459867</v>
      </c>
      <c r="H85" s="19" t="n">
        <f aca="false">F85*1.079436</f>
        <v>7.6639956</v>
      </c>
      <c r="I85" s="18" t="n">
        <f aca="false">MAX(1,ROUNDUP(G85/0.096,0))</f>
        <v>1</v>
      </c>
      <c r="J85" s="31" t="n">
        <v>46597</v>
      </c>
      <c r="K85" s="34" t="n">
        <f aca="false">J85-WEEKDAY(J85,2)+1</f>
        <v>46594</v>
      </c>
      <c r="L85" s="31" t="n">
        <f aca="false">J85</f>
        <v>46597</v>
      </c>
      <c r="M85" s="26" t="n">
        <f aca="false">INDEX(LR_Target,MATCH(B85,LR_Lane,0))</f>
        <v>2</v>
      </c>
      <c r="N85" s="31" t="n">
        <f aca="false">WORKDAY.INTL(L85,M85,INDEX(LR_Code,MATCH(B85,LR_Lane,0)),INDEX(DH_Table,0,MATCH(B85&amp;"*",DH_Head,0)))</f>
        <v>46601</v>
      </c>
      <c r="O85" s="35" t="n">
        <f aca="false">IF(W85&lt;&gt;"",W85,IF(U85="Helmond",IF(COUNTIFS(RC_Lane,B85,RC_Band,E85,RC_Transit,"&lt;&gt;")=0,"",SUMIFS(RC_Transit,RC_Lane,B85,RC_Band,E85)),IF(U85="Other","",IF(INDEX(RS_Transit,MATCH(B85,RS_Lane,0))="","",INDEX(RS_Transit,MATCH(B85,RS_Lane,0))))))</f>
        <v>1</v>
      </c>
      <c r="P85" s="36"/>
      <c r="Q85" s="31" t="n">
        <f aca="false">IF(P85&lt;&gt;"",P85,IF(O85="","",WORKDAY.INTL(L85,ROUNDUP(O85,0),INDEX(LR_Code,MATCH(B85,LR_Lane,0)),INDEX(DH_Table,0,MATCH(B85&amp;"*",DH_Head,0)))))</f>
        <v>46598</v>
      </c>
      <c r="R85" s="37" t="str">
        <f aca="false">IF(Q85="","",IF(Q85&lt;=N85,"Yes","No"))</f>
        <v>Yes</v>
      </c>
      <c r="S85" s="26" t="n">
        <f aca="false">IF(Q85="","",IF(Q85&lt;=N85,0,NETWORKDAYS.INTL(N85,Q85,INDEX(LR_Code,MATCH(B85,LR_Lane,0)),INDEX(DH_Table,0,MATCH(B85&amp;"*",DH_Head,0)))-1))</f>
        <v>0</v>
      </c>
      <c r="T85" s="4"/>
      <c r="U85" s="25" t="str">
        <f aca="false">IF(V85&lt;&gt;"",V85,IF(IFERROR(INDEX(RS_Flag,MATCH(B85,RS_Lane,0)),"")="Yes",IF(IFERROR(INDEX(RS_Loc,MATCH(B85,RS_Lane,0)),"")="","Regional stock",IFERROR(INDEX(RS_Loc,MATCH(B85,RS_Lane,0)),"")),"Helmond"))</f>
        <v>Helmond</v>
      </c>
      <c r="V85" s="17"/>
      <c r="W85" s="38"/>
      <c r="X85" s="39"/>
      <c r="Y85" s="40" t="n">
        <f aca="false">IF(X85&lt;&gt;"",X85,IF(U85="Helmond",IF(COUNTIFS(RC_Lane,B85,RC_Band,E85,RC_CostPS,"&gt;0")=0,"",SUMIFS(RC_CostPS,RC_Lane,B85,RC_Band,E85)),IF(U85="Other","",IF(INDEX(RS_Rate,MATCH(B85,RS_Lane,0))="","",INDEX(RS_Rate,MATCH(B85,RS_Lane,0))))))</f>
        <v>76.3</v>
      </c>
    </row>
    <row r="86" customFormat="false" ht="15" hidden="false" customHeight="false" outlineLevel="0" collapsed="false">
      <c r="A86" s="3" t="s">
        <v>353</v>
      </c>
      <c r="B86" s="25" t="s">
        <v>112</v>
      </c>
      <c r="C86" s="8" t="s">
        <v>113</v>
      </c>
      <c r="D86" s="8" t="s">
        <v>152</v>
      </c>
      <c r="E86" s="8" t="s">
        <v>178</v>
      </c>
      <c r="F86" s="19" t="n">
        <v>6.2</v>
      </c>
      <c r="G86" s="33" t="n">
        <f aca="false">F86*0.006477</f>
        <v>0.0401574</v>
      </c>
      <c r="H86" s="19" t="n">
        <f aca="false">F86*1.079436</f>
        <v>6.6925032</v>
      </c>
      <c r="I86" s="18" t="n">
        <f aca="false">MAX(1,ROUNDUP(G86/0.096,0))</f>
        <v>1</v>
      </c>
      <c r="J86" s="31" t="n">
        <v>46601</v>
      </c>
      <c r="K86" s="34" t="n">
        <f aca="false">J86-WEEKDAY(J86,2)+1</f>
        <v>46601</v>
      </c>
      <c r="L86" s="31" t="n">
        <f aca="false">J86</f>
        <v>46601</v>
      </c>
      <c r="M86" s="26" t="n">
        <f aca="false">INDEX(LR_Target,MATCH(B86,LR_Lane,0))</f>
        <v>2</v>
      </c>
      <c r="N86" s="31" t="n">
        <f aca="false">WORKDAY.INTL(L86,M86,INDEX(LR_Code,MATCH(B86,LR_Lane,0)),INDEX(DH_Table,0,MATCH(B86&amp;"*",DH_Head,0)))</f>
        <v>46603</v>
      </c>
      <c r="O86" s="35" t="n">
        <f aca="false">IF(W86&lt;&gt;"",W86,IF(U86="Helmond",IF(COUNTIFS(RC_Lane,B86,RC_Band,E86,RC_Transit,"&lt;&gt;")=0,"",SUMIFS(RC_Transit,RC_Lane,B86,RC_Band,E86)),IF(U86="Other","",IF(INDEX(RS_Transit,MATCH(B86,RS_Lane,0))="","",INDEX(RS_Transit,MATCH(B86,RS_Lane,0))))))</f>
        <v>1</v>
      </c>
      <c r="P86" s="36"/>
      <c r="Q86" s="31" t="n">
        <f aca="false">IF(P86&lt;&gt;"",P86,IF(O86="","",WORKDAY.INTL(L86,ROUNDUP(O86,0),INDEX(LR_Code,MATCH(B86,LR_Lane,0)),INDEX(DH_Table,0,MATCH(B86&amp;"*",DH_Head,0)))))</f>
        <v>46602</v>
      </c>
      <c r="R86" s="37" t="str">
        <f aca="false">IF(Q86="","",IF(Q86&lt;=N86,"Yes","No"))</f>
        <v>Yes</v>
      </c>
      <c r="S86" s="26" t="n">
        <f aca="false">IF(Q86="","",IF(Q86&lt;=N86,0,NETWORKDAYS.INTL(N86,Q86,INDEX(LR_Code,MATCH(B86,LR_Lane,0)),INDEX(DH_Table,0,MATCH(B86&amp;"*",DH_Head,0)))-1))</f>
        <v>0</v>
      </c>
      <c r="T86" s="4"/>
      <c r="U86" s="25" t="str">
        <f aca="false">IF(V86&lt;&gt;"",V86,IF(IFERROR(INDEX(RS_Flag,MATCH(B86,RS_Lane,0)),"")="Yes",IF(IFERROR(INDEX(RS_Loc,MATCH(B86,RS_Lane,0)),"")="","Regional stock",IFERROR(INDEX(RS_Loc,MATCH(B86,RS_Lane,0)),"")),"Helmond"))</f>
        <v>Helmond</v>
      </c>
      <c r="V86" s="17"/>
      <c r="W86" s="38"/>
      <c r="X86" s="39"/>
      <c r="Y86" s="40" t="n">
        <f aca="false">IF(X86&lt;&gt;"",X86,IF(U86="Helmond",IF(COUNTIFS(RC_Lane,B86,RC_Band,E86,RC_CostPS,"&gt;0")=0,"",SUMIFS(RC_CostPS,RC_Lane,B86,RC_Band,E86)),IF(U86="Other","",IF(INDEX(RS_Rate,MATCH(B86,RS_Lane,0))="","",INDEX(RS_Rate,MATCH(B86,RS_Lane,0))))))</f>
        <v>76.3</v>
      </c>
    </row>
    <row r="87" customFormat="false" ht="15" hidden="false" customHeight="false" outlineLevel="0" collapsed="false">
      <c r="A87" s="3" t="s">
        <v>354</v>
      </c>
      <c r="B87" s="25" t="s">
        <v>121</v>
      </c>
      <c r="C87" s="8" t="s">
        <v>122</v>
      </c>
      <c r="D87" s="8" t="s">
        <v>278</v>
      </c>
      <c r="E87" s="8" t="s">
        <v>178</v>
      </c>
      <c r="F87" s="19" t="n">
        <v>12.4</v>
      </c>
      <c r="G87" s="33" t="n">
        <f aca="false">F87*0.006477</f>
        <v>0.0803148</v>
      </c>
      <c r="H87" s="19" t="n">
        <f aca="false">F87*1.079436</f>
        <v>13.3850064</v>
      </c>
      <c r="I87" s="18" t="n">
        <f aca="false">MAX(1,ROUNDUP(G87/0.096,0))</f>
        <v>1</v>
      </c>
      <c r="J87" s="31" t="n">
        <v>46602</v>
      </c>
      <c r="K87" s="34" t="n">
        <f aca="false">J87-WEEKDAY(J87,2)+1</f>
        <v>46601</v>
      </c>
      <c r="L87" s="31" t="n">
        <f aca="false">J87</f>
        <v>46602</v>
      </c>
      <c r="M87" s="26" t="n">
        <f aca="false">INDEX(LR_Target,MATCH(B87,LR_Lane,0))</f>
        <v>3</v>
      </c>
      <c r="N87" s="31" t="n">
        <f aca="false">WORKDAY.INTL(L87,M87,INDEX(LR_Code,MATCH(B87,LR_Lane,0)),INDEX(DH_Table,0,MATCH(B87&amp;"*",DH_Head,0)))</f>
        <v>46605</v>
      </c>
      <c r="O87" s="35" t="n">
        <f aca="false">IF(W87&lt;&gt;"",W87,IF(U87="Helmond",IF(COUNTIFS(RC_Lane,B87,RC_Band,E87,RC_Transit,"&lt;&gt;")=0,"",SUMIFS(RC_Transit,RC_Lane,B87,RC_Band,E87)),IF(U87="Other","",IF(INDEX(RS_Transit,MATCH(B87,RS_Lane,0))="","",INDEX(RS_Transit,MATCH(B87,RS_Lane,0))))))</f>
        <v>1</v>
      </c>
      <c r="P87" s="36"/>
      <c r="Q87" s="31" t="n">
        <f aca="false">IF(P87&lt;&gt;"",P87,IF(O87="","",WORKDAY.INTL(L87,ROUNDUP(O87,0),INDEX(LR_Code,MATCH(B87,LR_Lane,0)),INDEX(DH_Table,0,MATCH(B87&amp;"*",DH_Head,0)))))</f>
        <v>46603</v>
      </c>
      <c r="R87" s="37" t="str">
        <f aca="false">IF(Q87="","",IF(Q87&lt;=N87,"Yes","No"))</f>
        <v>Yes</v>
      </c>
      <c r="S87" s="26" t="n">
        <f aca="false">IF(Q87="","",IF(Q87&lt;=N87,0,NETWORKDAYS.INTL(N87,Q87,INDEX(LR_Code,MATCH(B87,LR_Lane,0)),INDEX(DH_Table,0,MATCH(B87&amp;"*",DH_Head,0)))-1))</f>
        <v>0</v>
      </c>
      <c r="T87" s="4"/>
      <c r="U87" s="25" t="str">
        <f aca="false">IF(V87&lt;&gt;"",V87,IF(IFERROR(INDEX(RS_Flag,MATCH(B87,RS_Lane,0)),"")="Yes",IF(IFERROR(INDEX(RS_Loc,MATCH(B87,RS_Lane,0)),"")="","Regional stock",IFERROR(INDEX(RS_Loc,MATCH(B87,RS_Lane,0)),"")),"Helmond"))</f>
        <v>Helmond</v>
      </c>
      <c r="V87" s="17"/>
      <c r="W87" s="38"/>
      <c r="X87" s="39"/>
      <c r="Y87" s="40" t="n">
        <f aca="false">IF(X87&lt;&gt;"",X87,IF(U87="Helmond",IF(COUNTIFS(RC_Lane,B87,RC_Band,E87,RC_CostPS,"&gt;0")=0,"",SUMIFS(RC_CostPS,RC_Lane,B87,RC_Band,E87)),IF(U87="Other","",IF(INDEX(RS_Rate,MATCH(B87,RS_Lane,0))="","",INDEX(RS_Rate,MATCH(B87,RS_Lane,0))))))</f>
        <v>76.3</v>
      </c>
    </row>
    <row r="88" customFormat="false" ht="15" hidden="false" customHeight="false" outlineLevel="0" collapsed="false">
      <c r="A88" s="3" t="s">
        <v>355</v>
      </c>
      <c r="B88" s="25" t="s">
        <v>108</v>
      </c>
      <c r="C88" s="8" t="s">
        <v>109</v>
      </c>
      <c r="D88" s="8" t="s">
        <v>270</v>
      </c>
      <c r="E88" s="8" t="s">
        <v>182</v>
      </c>
      <c r="F88" s="19" t="n">
        <v>254.1</v>
      </c>
      <c r="G88" s="33" t="n">
        <f aca="false">F88*0.006477</f>
        <v>1.6458057</v>
      </c>
      <c r="H88" s="19" t="n">
        <f aca="false">F88*1.079436</f>
        <v>274.2846876</v>
      </c>
      <c r="I88" s="18" t="n">
        <f aca="false">MAX(1,ROUNDUP(G88/0.096,0))</f>
        <v>18</v>
      </c>
      <c r="J88" s="31" t="n">
        <v>46611</v>
      </c>
      <c r="K88" s="34" t="n">
        <f aca="false">J88-WEEKDAY(J88,2)+1</f>
        <v>46608</v>
      </c>
      <c r="L88" s="31" t="n">
        <f aca="false">J88</f>
        <v>46611</v>
      </c>
      <c r="M88" s="26" t="n">
        <f aca="false">INDEX(LR_Target,MATCH(B88,LR_Lane,0))</f>
        <v>2</v>
      </c>
      <c r="N88" s="31" t="n">
        <f aca="false">WORKDAY.INTL(L88,M88,INDEX(LR_Code,MATCH(B88,LR_Lane,0)),INDEX(DH_Table,0,MATCH(B88&amp;"*",DH_Head,0)))</f>
        <v>46615</v>
      </c>
      <c r="O88" s="35" t="n">
        <f aca="false">IF(W88&lt;&gt;"",W88,IF(U88="Helmond",IF(COUNTIFS(RC_Lane,B88,RC_Band,E88,RC_Transit,"&lt;&gt;")=0,"",SUMIFS(RC_Transit,RC_Lane,B88,RC_Band,E88)),IF(U88="Other","",IF(INDEX(RS_Transit,MATCH(B88,RS_Lane,0))="","",INDEX(RS_Transit,MATCH(B88,RS_Lane,0))))))</f>
        <v>3</v>
      </c>
      <c r="P88" s="36"/>
      <c r="Q88" s="31" t="n">
        <f aca="false">IF(P88&lt;&gt;"",P88,IF(O88="","",WORKDAY.INTL(L88,ROUNDUP(O88,0),INDEX(LR_Code,MATCH(B88,LR_Lane,0)),INDEX(DH_Table,0,MATCH(B88&amp;"*",DH_Head,0)))))</f>
        <v>46616</v>
      </c>
      <c r="R88" s="37" t="str">
        <f aca="false">IF(Q88="","",IF(Q88&lt;=N88,"Yes","No"))</f>
        <v>No</v>
      </c>
      <c r="S88" s="26" t="n">
        <f aca="false">IF(Q88="","",IF(Q88&lt;=N88,0,NETWORKDAYS.INTL(N88,Q88,INDEX(LR_Code,MATCH(B88,LR_Lane,0)),INDEX(DH_Table,0,MATCH(B88&amp;"*",DH_Head,0)))-1))</f>
        <v>1</v>
      </c>
      <c r="T88" s="4"/>
      <c r="U88" s="25" t="str">
        <f aca="false">IF(V88&lt;&gt;"",V88,IF(IFERROR(INDEX(RS_Flag,MATCH(B88,RS_Lane,0)),"")="Yes",IF(IFERROR(INDEX(RS_Loc,MATCH(B88,RS_Lane,0)),"")="","Regional stock",IFERROR(INDEX(RS_Loc,MATCH(B88,RS_Lane,0)),"")),"Helmond"))</f>
        <v>Helmond</v>
      </c>
      <c r="V88" s="17"/>
      <c r="W88" s="38"/>
      <c r="X88" s="39"/>
      <c r="Y88" s="40" t="n">
        <f aca="false">IF(X88&lt;&gt;"",X88,IF(U88="Helmond",IF(COUNTIFS(RC_Lane,B88,RC_Band,E88,RC_CostPS,"&gt;0")=0,"",SUMIFS(RC_CostPS,RC_Lane,B88,RC_Band,E88)),IF(U88="Other","",IF(INDEX(RS_Rate,MATCH(B88,RS_Lane,0))="","",INDEX(RS_Rate,MATCH(B88,RS_Lane,0))))))</f>
        <v>1062.898</v>
      </c>
    </row>
    <row r="89" customFormat="false" ht="15" hidden="false" customHeight="false" outlineLevel="0" collapsed="false">
      <c r="A89" s="3" t="s">
        <v>356</v>
      </c>
      <c r="B89" s="25" t="s">
        <v>124</v>
      </c>
      <c r="C89" s="8" t="s">
        <v>125</v>
      </c>
      <c r="D89" s="8" t="s">
        <v>157</v>
      </c>
      <c r="E89" s="8" t="s">
        <v>178</v>
      </c>
      <c r="F89" s="19" t="n">
        <v>10.2</v>
      </c>
      <c r="G89" s="33" t="n">
        <f aca="false">F89*0.006477</f>
        <v>0.0660654</v>
      </c>
      <c r="H89" s="19" t="n">
        <f aca="false">F89*1.079436</f>
        <v>11.0102472</v>
      </c>
      <c r="I89" s="18" t="n">
        <f aca="false">MAX(1,ROUNDUP(G89/0.096,0))</f>
        <v>1</v>
      </c>
      <c r="J89" s="31" t="n">
        <v>46611</v>
      </c>
      <c r="K89" s="34" t="n">
        <f aca="false">J89-WEEKDAY(J89,2)+1</f>
        <v>46608</v>
      </c>
      <c r="L89" s="31" t="n">
        <f aca="false">J89</f>
        <v>46611</v>
      </c>
      <c r="M89" s="26" t="n">
        <f aca="false">INDEX(LR_Target,MATCH(B89,LR_Lane,0))</f>
        <v>5</v>
      </c>
      <c r="N89" s="31" t="n">
        <f aca="false">WORKDAY.INTL(L89,M89,INDEX(LR_Code,MATCH(B89,LR_Lane,0)),INDEX(DH_Table,0,MATCH(B89&amp;"*",DH_Head,0)))</f>
        <v>46618</v>
      </c>
      <c r="O89" s="35" t="n">
        <f aca="false">IF(W89&lt;&gt;"",W89,IF(U89="Helmond",IF(COUNTIFS(RC_Lane,B89,RC_Band,E89,RC_Transit,"&lt;&gt;")=0,"",SUMIFS(RC_Transit,RC_Lane,B89,RC_Band,E89)),IF(U89="Other","",IF(INDEX(RS_Transit,MATCH(B89,RS_Lane,0))="","",INDEX(RS_Transit,MATCH(B89,RS_Lane,0))))))</f>
        <v>1</v>
      </c>
      <c r="P89" s="36"/>
      <c r="Q89" s="31" t="n">
        <f aca="false">IF(P89&lt;&gt;"",P89,IF(O89="","",WORKDAY.INTL(L89,ROUNDUP(O89,0),INDEX(LR_Code,MATCH(B89,LR_Lane,0)),INDEX(DH_Table,0,MATCH(B89&amp;"*",DH_Head,0)))))</f>
        <v>46614</v>
      </c>
      <c r="R89" s="37" t="str">
        <f aca="false">IF(Q89="","",IF(Q89&lt;=N89,"Yes","No"))</f>
        <v>Yes</v>
      </c>
      <c r="S89" s="26" t="n">
        <f aca="false">IF(Q89="","",IF(Q89&lt;=N89,0,NETWORKDAYS.INTL(N89,Q89,INDEX(LR_Code,MATCH(B89,LR_Lane,0)),INDEX(DH_Table,0,MATCH(B89&amp;"*",DH_Head,0)))-1))</f>
        <v>0</v>
      </c>
      <c r="T89" s="4"/>
      <c r="U89" s="25" t="str">
        <f aca="false">IF(V89&lt;&gt;"",V89,IF(IFERROR(INDEX(RS_Flag,MATCH(B89,RS_Lane,0)),"")="Yes",IF(IFERROR(INDEX(RS_Loc,MATCH(B89,RS_Lane,0)),"")="","Regional stock",IFERROR(INDEX(RS_Loc,MATCH(B89,RS_Lane,0)),"")),"Helmond"))</f>
        <v>Helmond</v>
      </c>
      <c r="V89" s="17"/>
      <c r="W89" s="38"/>
      <c r="X89" s="39"/>
      <c r="Y89" s="40" t="n">
        <f aca="false">IF(X89&lt;&gt;"",X89,IF(U89="Helmond",IF(COUNTIFS(RC_Lane,B89,RC_Band,E89,RC_CostPS,"&gt;0")=0,"",SUMIFS(RC_CostPS,RC_Lane,B89,RC_Band,E89)),IF(U89="Other","",IF(INDEX(RS_Rate,MATCH(B89,RS_Lane,0))="","",INDEX(RS_Rate,MATCH(B89,RS_Lane,0))))))</f>
        <v>76.3</v>
      </c>
    </row>
    <row r="90" customFormat="false" ht="15" hidden="false" customHeight="false" outlineLevel="0" collapsed="false">
      <c r="A90" s="3" t="s">
        <v>357</v>
      </c>
      <c r="B90" s="25" t="s">
        <v>112</v>
      </c>
      <c r="C90" s="8" t="s">
        <v>113</v>
      </c>
      <c r="D90" s="8" t="s">
        <v>152</v>
      </c>
      <c r="E90" s="8" t="s">
        <v>182</v>
      </c>
      <c r="F90" s="19" t="n">
        <v>234.7</v>
      </c>
      <c r="G90" s="33" t="n">
        <f aca="false">F90*0.006477</f>
        <v>1.5201519</v>
      </c>
      <c r="H90" s="19" t="n">
        <f aca="false">F90*1.079436</f>
        <v>253.3436292</v>
      </c>
      <c r="I90" s="18" t="n">
        <f aca="false">MAX(1,ROUNDUP(G90/0.096,0))</f>
        <v>16</v>
      </c>
      <c r="J90" s="31" t="n">
        <v>46616</v>
      </c>
      <c r="K90" s="34" t="n">
        <f aca="false">J90-WEEKDAY(J90,2)+1</f>
        <v>46615</v>
      </c>
      <c r="L90" s="31" t="n">
        <f aca="false">J90</f>
        <v>46616</v>
      </c>
      <c r="M90" s="26" t="n">
        <f aca="false">INDEX(LR_Target,MATCH(B90,LR_Lane,0))</f>
        <v>2</v>
      </c>
      <c r="N90" s="31" t="n">
        <f aca="false">WORKDAY.INTL(L90,M90,INDEX(LR_Code,MATCH(B90,LR_Lane,0)),INDEX(DH_Table,0,MATCH(B90&amp;"*",DH_Head,0)))</f>
        <v>46618</v>
      </c>
      <c r="O90" s="35" t="n">
        <f aca="false">IF(W90&lt;&gt;"",W90,IF(U90="Helmond",IF(COUNTIFS(RC_Lane,B90,RC_Band,E90,RC_Transit,"&lt;&gt;")=0,"",SUMIFS(RC_Transit,RC_Lane,B90,RC_Band,E90)),IF(U90="Other","",IF(INDEX(RS_Transit,MATCH(B90,RS_Lane,0))="","",INDEX(RS_Transit,MATCH(B90,RS_Lane,0))))))</f>
        <v>3</v>
      </c>
      <c r="P90" s="36"/>
      <c r="Q90" s="31" t="n">
        <f aca="false">IF(P90&lt;&gt;"",P90,IF(O90="","",WORKDAY.INTL(L90,ROUNDUP(O90,0),INDEX(LR_Code,MATCH(B90,LR_Lane,0)),INDEX(DH_Table,0,MATCH(B90&amp;"*",DH_Head,0)))))</f>
        <v>46619</v>
      </c>
      <c r="R90" s="37" t="str">
        <f aca="false">IF(Q90="","",IF(Q90&lt;=N90,"Yes","No"))</f>
        <v>No</v>
      </c>
      <c r="S90" s="26" t="n">
        <f aca="false">IF(Q90="","",IF(Q90&lt;=N90,0,NETWORKDAYS.INTL(N90,Q90,INDEX(LR_Code,MATCH(B90,LR_Lane,0)),INDEX(DH_Table,0,MATCH(B90&amp;"*",DH_Head,0)))-1))</f>
        <v>1</v>
      </c>
      <c r="T90" s="4"/>
      <c r="U90" s="25" t="str">
        <f aca="false">IF(V90&lt;&gt;"",V90,IF(IFERROR(INDEX(RS_Flag,MATCH(B90,RS_Lane,0)),"")="Yes",IF(IFERROR(INDEX(RS_Loc,MATCH(B90,RS_Lane,0)),"")="","Regional stock",IFERROR(INDEX(RS_Loc,MATCH(B90,RS_Lane,0)),"")),"Helmond"))</f>
        <v>Helmond</v>
      </c>
      <c r="V90" s="17"/>
      <c r="W90" s="38"/>
      <c r="X90" s="39"/>
      <c r="Y90" s="40" t="n">
        <f aca="false">IF(X90&lt;&gt;"",X90,IF(U90="Helmond",IF(COUNTIFS(RC_Lane,B90,RC_Band,E90,RC_CostPS,"&gt;0")=0,"",SUMIFS(RC_CostPS,RC_Lane,B90,RC_Band,E90)),IF(U90="Other","",IF(INDEX(RS_Rate,MATCH(B90,RS_Lane,0))="","",INDEX(RS_Rate,MATCH(B90,RS_Lane,0))))))</f>
        <v>1503.8994</v>
      </c>
    </row>
    <row r="91" customFormat="false" ht="15" hidden="false" customHeight="false" outlineLevel="0" collapsed="false">
      <c r="A91" s="3" t="s">
        <v>358</v>
      </c>
      <c r="B91" s="25" t="s">
        <v>108</v>
      </c>
      <c r="C91" s="8" t="s">
        <v>109</v>
      </c>
      <c r="D91" s="8" t="s">
        <v>270</v>
      </c>
      <c r="E91" s="8" t="s">
        <v>182</v>
      </c>
      <c r="F91" s="19" t="n">
        <v>209.9</v>
      </c>
      <c r="G91" s="33" t="n">
        <f aca="false">F91*0.006477</f>
        <v>1.3595223</v>
      </c>
      <c r="H91" s="19" t="n">
        <f aca="false">F91*1.079436</f>
        <v>226.5736164</v>
      </c>
      <c r="I91" s="18" t="n">
        <f aca="false">MAX(1,ROUNDUP(G91/0.096,0))</f>
        <v>15</v>
      </c>
      <c r="J91" s="31" t="n">
        <v>46619</v>
      </c>
      <c r="K91" s="34" t="n">
        <f aca="false">J91-WEEKDAY(J91,2)+1</f>
        <v>46615</v>
      </c>
      <c r="L91" s="31" t="n">
        <f aca="false">J91</f>
        <v>46619</v>
      </c>
      <c r="M91" s="26" t="n">
        <f aca="false">INDEX(LR_Target,MATCH(B91,LR_Lane,0))</f>
        <v>2</v>
      </c>
      <c r="N91" s="31" t="n">
        <f aca="false">WORKDAY.INTL(L91,M91,INDEX(LR_Code,MATCH(B91,LR_Lane,0)),INDEX(DH_Table,0,MATCH(B91&amp;"*",DH_Head,0)))</f>
        <v>46622</v>
      </c>
      <c r="O91" s="35" t="n">
        <f aca="false">IF(W91&lt;&gt;"",W91,IF(U91="Helmond",IF(COUNTIFS(RC_Lane,B91,RC_Band,E91,RC_Transit,"&lt;&gt;")=0,"",SUMIFS(RC_Transit,RC_Lane,B91,RC_Band,E91)),IF(U91="Other","",IF(INDEX(RS_Transit,MATCH(B91,RS_Lane,0))="","",INDEX(RS_Transit,MATCH(B91,RS_Lane,0))))))</f>
        <v>3</v>
      </c>
      <c r="P91" s="36"/>
      <c r="Q91" s="31" t="n">
        <f aca="false">IF(P91&lt;&gt;"",P91,IF(O91="","",WORKDAY.INTL(L91,ROUNDUP(O91,0),INDEX(LR_Code,MATCH(B91,LR_Lane,0)),INDEX(DH_Table,0,MATCH(B91&amp;"*",DH_Head,0)))))</f>
        <v>46623</v>
      </c>
      <c r="R91" s="37" t="str">
        <f aca="false">IF(Q91="","",IF(Q91&lt;=N91,"Yes","No"))</f>
        <v>No</v>
      </c>
      <c r="S91" s="26" t="n">
        <f aca="false">IF(Q91="","",IF(Q91&lt;=N91,0,NETWORKDAYS.INTL(N91,Q91,INDEX(LR_Code,MATCH(B91,LR_Lane,0)),INDEX(DH_Table,0,MATCH(B91&amp;"*",DH_Head,0)))-1))</f>
        <v>1</v>
      </c>
      <c r="T91" s="4"/>
      <c r="U91" s="25" t="str">
        <f aca="false">IF(V91&lt;&gt;"",V91,IF(IFERROR(INDEX(RS_Flag,MATCH(B91,RS_Lane,0)),"")="Yes",IF(IFERROR(INDEX(RS_Loc,MATCH(B91,RS_Lane,0)),"")="","Regional stock",IFERROR(INDEX(RS_Loc,MATCH(B91,RS_Lane,0)),"")),"Helmond"))</f>
        <v>Helmond</v>
      </c>
      <c r="V91" s="17"/>
      <c r="W91" s="38"/>
      <c r="X91" s="39"/>
      <c r="Y91" s="40" t="n">
        <f aca="false">IF(X91&lt;&gt;"",X91,IF(U91="Helmond",IF(COUNTIFS(RC_Lane,B91,RC_Band,E91,RC_CostPS,"&gt;0")=0,"",SUMIFS(RC_CostPS,RC_Lane,B91,RC_Band,E91)),IF(U91="Other","",IF(INDEX(RS_Rate,MATCH(B91,RS_Lane,0))="","",INDEX(RS_Rate,MATCH(B91,RS_Lane,0))))))</f>
        <v>1062.898</v>
      </c>
    </row>
    <row r="92" customFormat="false" ht="15" hidden="false" customHeight="false" outlineLevel="0" collapsed="false">
      <c r="A92" s="3" t="s">
        <v>359</v>
      </c>
      <c r="B92" s="25" t="s">
        <v>119</v>
      </c>
      <c r="C92" s="8" t="s">
        <v>120</v>
      </c>
      <c r="D92" s="8" t="s">
        <v>155</v>
      </c>
      <c r="E92" s="8" t="s">
        <v>182</v>
      </c>
      <c r="F92" s="19" t="n">
        <v>277</v>
      </c>
      <c r="G92" s="33" t="n">
        <f aca="false">F92*0.006477</f>
        <v>1.794129</v>
      </c>
      <c r="H92" s="19" t="n">
        <f aca="false">F92*1.079436</f>
        <v>299.003772</v>
      </c>
      <c r="I92" s="18" t="n">
        <f aca="false">MAX(1,ROUNDUP(G92/0.096,0))</f>
        <v>19</v>
      </c>
      <c r="J92" s="31" t="n">
        <v>46622</v>
      </c>
      <c r="K92" s="34" t="n">
        <f aca="false">J92-WEEKDAY(J92,2)+1</f>
        <v>46622</v>
      </c>
      <c r="L92" s="31" t="n">
        <f aca="false">J92</f>
        <v>46622</v>
      </c>
      <c r="M92" s="26" t="n">
        <f aca="false">INDEX(LR_Target,MATCH(B92,LR_Lane,0))</f>
        <v>3</v>
      </c>
      <c r="N92" s="31" t="n">
        <f aca="false">WORKDAY.INTL(L92,M92,INDEX(LR_Code,MATCH(B92,LR_Lane,0)),INDEX(DH_Table,0,MATCH(B92&amp;"*",DH_Head,0)))</f>
        <v>46625</v>
      </c>
      <c r="O92" s="35" t="n">
        <f aca="false">IF(W92&lt;&gt;"",W92,IF(U92="Helmond",IF(COUNTIFS(RC_Lane,B92,RC_Band,E92,RC_Transit,"&lt;&gt;")=0,"",SUMIFS(RC_Transit,RC_Lane,B92,RC_Band,E92)),IF(U92="Other","",IF(INDEX(RS_Transit,MATCH(B92,RS_Lane,0))="","",INDEX(RS_Transit,MATCH(B92,RS_Lane,0))))))</f>
        <v>3</v>
      </c>
      <c r="P92" s="36"/>
      <c r="Q92" s="31" t="n">
        <f aca="false">IF(P92&lt;&gt;"",P92,IF(O92="","",WORKDAY.INTL(L92,ROUNDUP(O92,0),INDEX(LR_Code,MATCH(B92,LR_Lane,0)),INDEX(DH_Table,0,MATCH(B92&amp;"*",DH_Head,0)))))</f>
        <v>46625</v>
      </c>
      <c r="R92" s="37" t="str">
        <f aca="false">IF(Q92="","",IF(Q92&lt;=N92,"Yes","No"))</f>
        <v>Yes</v>
      </c>
      <c r="S92" s="26" t="n">
        <f aca="false">IF(Q92="","",IF(Q92&lt;=N92,0,NETWORKDAYS.INTL(N92,Q92,INDEX(LR_Code,MATCH(B92,LR_Lane,0)),INDEX(DH_Table,0,MATCH(B92&amp;"*",DH_Head,0)))-1))</f>
        <v>0</v>
      </c>
      <c r="T92" s="4"/>
      <c r="U92" s="25" t="str">
        <f aca="false">IF(V92&lt;&gt;"",V92,IF(IFERROR(INDEX(RS_Flag,MATCH(B92,RS_Lane,0)),"")="Yes",IF(IFERROR(INDEX(RS_Loc,MATCH(B92,RS_Lane,0)),"")="","Regional stock",IFERROR(INDEX(RS_Loc,MATCH(B92,RS_Lane,0)),"")),"Helmond"))</f>
        <v>Helmond</v>
      </c>
      <c r="V92" s="17"/>
      <c r="W92" s="38"/>
      <c r="X92" s="39"/>
      <c r="Y92" s="40" t="n">
        <f aca="false">IF(X92&lt;&gt;"",X92,IF(U92="Helmond",IF(COUNTIFS(RC_Lane,B92,RC_Band,E92,RC_CostPS,"&gt;0")=0,"",SUMIFS(RC_CostPS,RC_Lane,B92,RC_Band,E92)),IF(U92="Other","",IF(INDEX(RS_Rate,MATCH(B92,RS_Lane,0))="","",INDEX(RS_Rate,MATCH(B92,RS_Lane,0))))))</f>
        <v>1474.0572</v>
      </c>
    </row>
    <row r="93" customFormat="false" ht="15" hidden="false" customHeight="false" outlineLevel="0" collapsed="false">
      <c r="A93" s="3" t="s">
        <v>360</v>
      </c>
      <c r="B93" s="25" t="s">
        <v>126</v>
      </c>
      <c r="C93" s="8" t="s">
        <v>127</v>
      </c>
      <c r="D93" s="8" t="s">
        <v>158</v>
      </c>
      <c r="E93" s="8" t="s">
        <v>178</v>
      </c>
      <c r="F93" s="19" t="n">
        <v>3.3</v>
      </c>
      <c r="G93" s="33" t="n">
        <f aca="false">F93*0.006477</f>
        <v>0.0213741</v>
      </c>
      <c r="H93" s="19" t="n">
        <f aca="false">F93*1.079436</f>
        <v>3.5621388</v>
      </c>
      <c r="I93" s="18" t="n">
        <f aca="false">MAX(1,ROUNDUP(G93/0.096,0))</f>
        <v>1</v>
      </c>
      <c r="J93" s="31" t="n">
        <v>46622</v>
      </c>
      <c r="K93" s="34" t="n">
        <f aca="false">J93-WEEKDAY(J93,2)+1</f>
        <v>46622</v>
      </c>
      <c r="L93" s="31" t="n">
        <f aca="false">J93</f>
        <v>46622</v>
      </c>
      <c r="M93" s="26" t="n">
        <f aca="false">INDEX(LR_Target,MATCH(B93,LR_Lane,0))</f>
        <v>4</v>
      </c>
      <c r="N93" s="31" t="n">
        <f aca="false">WORKDAY.INTL(L93,M93,INDEX(LR_Code,MATCH(B93,LR_Lane,0)),INDEX(DH_Table,0,MATCH(B93&amp;"*",DH_Head,0)))</f>
        <v>46628</v>
      </c>
      <c r="O93" s="35" t="n">
        <f aca="false">IF(W93&lt;&gt;"",W93,IF(U93="Helmond",IF(COUNTIFS(RC_Lane,B93,RC_Band,E93,RC_Transit,"&lt;&gt;")=0,"",SUMIFS(RC_Transit,RC_Lane,B93,RC_Band,E93)),IF(U93="Other","",IF(INDEX(RS_Transit,MATCH(B93,RS_Lane,0))="","",INDEX(RS_Transit,MATCH(B93,RS_Lane,0))))))</f>
        <v>1</v>
      </c>
      <c r="P93" s="36"/>
      <c r="Q93" s="31" t="n">
        <f aca="false">IF(P93&lt;&gt;"",P93,IF(O93="","",WORKDAY.INTL(L93,ROUNDUP(O93,0),INDEX(LR_Code,MATCH(B93,LR_Lane,0)),INDEX(DH_Table,0,MATCH(B93&amp;"*",DH_Head,0)))))</f>
        <v>46623</v>
      </c>
      <c r="R93" s="37" t="str">
        <f aca="false">IF(Q93="","",IF(Q93&lt;=N93,"Yes","No"))</f>
        <v>Yes</v>
      </c>
      <c r="S93" s="26" t="n">
        <f aca="false">IF(Q93="","",IF(Q93&lt;=N93,0,NETWORKDAYS.INTL(N93,Q93,INDEX(LR_Code,MATCH(B93,LR_Lane,0)),INDEX(DH_Table,0,MATCH(B93&amp;"*",DH_Head,0)))-1))</f>
        <v>0</v>
      </c>
      <c r="T93" s="4"/>
      <c r="U93" s="25" t="str">
        <f aca="false">IF(V93&lt;&gt;"",V93,IF(IFERROR(INDEX(RS_Flag,MATCH(B93,RS_Lane,0)),"")="Yes",IF(IFERROR(INDEX(RS_Loc,MATCH(B93,RS_Lane,0)),"")="","Regional stock",IFERROR(INDEX(RS_Loc,MATCH(B93,RS_Lane,0)),"")),"Helmond"))</f>
        <v>Helmond</v>
      </c>
      <c r="V93" s="17"/>
      <c r="W93" s="38"/>
      <c r="X93" s="39"/>
      <c r="Y93" s="40" t="n">
        <f aca="false">IF(X93&lt;&gt;"",X93,IF(U93="Helmond",IF(COUNTIFS(RC_Lane,B93,RC_Band,E93,RC_CostPS,"&gt;0")=0,"",SUMIFS(RC_CostPS,RC_Lane,B93,RC_Band,E93)),IF(U93="Other","",IF(INDEX(RS_Rate,MATCH(B93,RS_Lane,0))="","",INDEX(RS_Rate,MATCH(B93,RS_Lane,0))))))</f>
        <v>76.3</v>
      </c>
    </row>
    <row r="94" customFormat="false" ht="15" hidden="false" customHeight="false" outlineLevel="0" collapsed="false">
      <c r="A94" s="3" t="s">
        <v>361</v>
      </c>
      <c r="B94" s="25" t="s">
        <v>108</v>
      </c>
      <c r="C94" s="8" t="s">
        <v>109</v>
      </c>
      <c r="D94" s="8" t="s">
        <v>272</v>
      </c>
      <c r="E94" s="8" t="s">
        <v>178</v>
      </c>
      <c r="F94" s="19" t="n">
        <v>5.9</v>
      </c>
      <c r="G94" s="33" t="n">
        <f aca="false">F94*0.006477</f>
        <v>0.0382143</v>
      </c>
      <c r="H94" s="19" t="n">
        <f aca="false">F94*1.079436</f>
        <v>6.3686724</v>
      </c>
      <c r="I94" s="18" t="n">
        <f aca="false">MAX(1,ROUNDUP(G94/0.096,0))</f>
        <v>1</v>
      </c>
      <c r="J94" s="31" t="n">
        <v>46623</v>
      </c>
      <c r="K94" s="34" t="n">
        <f aca="false">J94-WEEKDAY(J94,2)+1</f>
        <v>46622</v>
      </c>
      <c r="L94" s="31" t="n">
        <f aca="false">J94</f>
        <v>46623</v>
      </c>
      <c r="M94" s="26" t="n">
        <f aca="false">INDEX(LR_Target,MATCH(B94,LR_Lane,0))</f>
        <v>2</v>
      </c>
      <c r="N94" s="31" t="n">
        <f aca="false">WORKDAY.INTL(L94,M94,INDEX(LR_Code,MATCH(B94,LR_Lane,0)),INDEX(DH_Table,0,MATCH(B94&amp;"*",DH_Head,0)))</f>
        <v>46625</v>
      </c>
      <c r="O94" s="35" t="n">
        <f aca="false">IF(W94&lt;&gt;"",W94,IF(U94="Helmond",IF(COUNTIFS(RC_Lane,B94,RC_Band,E94,RC_Transit,"&lt;&gt;")=0,"",SUMIFS(RC_Transit,RC_Lane,B94,RC_Band,E94)),IF(U94="Other","",IF(INDEX(RS_Transit,MATCH(B94,RS_Lane,0))="","",INDEX(RS_Transit,MATCH(B94,RS_Lane,0))))))</f>
        <v>1</v>
      </c>
      <c r="P94" s="36"/>
      <c r="Q94" s="31" t="n">
        <f aca="false">IF(P94&lt;&gt;"",P94,IF(O94="","",WORKDAY.INTL(L94,ROUNDUP(O94,0),INDEX(LR_Code,MATCH(B94,LR_Lane,0)),INDEX(DH_Table,0,MATCH(B94&amp;"*",DH_Head,0)))))</f>
        <v>46624</v>
      </c>
      <c r="R94" s="37" t="str">
        <f aca="false">IF(Q94="","",IF(Q94&lt;=N94,"Yes","No"))</f>
        <v>Yes</v>
      </c>
      <c r="S94" s="26" t="n">
        <f aca="false">IF(Q94="","",IF(Q94&lt;=N94,0,NETWORKDAYS.INTL(N94,Q94,INDEX(LR_Code,MATCH(B94,LR_Lane,0)),INDEX(DH_Table,0,MATCH(B94&amp;"*",DH_Head,0)))-1))</f>
        <v>0</v>
      </c>
      <c r="T94" s="4"/>
      <c r="U94" s="25" t="str">
        <f aca="false">IF(V94&lt;&gt;"",V94,IF(IFERROR(INDEX(RS_Flag,MATCH(B94,RS_Lane,0)),"")="Yes",IF(IFERROR(INDEX(RS_Loc,MATCH(B94,RS_Lane,0)),"")="","Regional stock",IFERROR(INDEX(RS_Loc,MATCH(B94,RS_Lane,0)),"")),"Helmond"))</f>
        <v>Helmond</v>
      </c>
      <c r="V94" s="17"/>
      <c r="W94" s="38"/>
      <c r="X94" s="39"/>
      <c r="Y94" s="40" t="n">
        <f aca="false">IF(X94&lt;&gt;"",X94,IF(U94="Helmond",IF(COUNTIFS(RC_Lane,B94,RC_Band,E94,RC_CostPS,"&gt;0")=0,"",SUMIFS(RC_CostPS,RC_Lane,B94,RC_Band,E94)),IF(U94="Other","",IF(INDEX(RS_Rate,MATCH(B94,RS_Lane,0))="","",INDEX(RS_Rate,MATCH(B94,RS_Lane,0))))))</f>
        <v>76.3</v>
      </c>
    </row>
    <row r="95" customFormat="false" ht="15" hidden="false" customHeight="false" outlineLevel="0" collapsed="false">
      <c r="A95" s="3" t="s">
        <v>362</v>
      </c>
      <c r="B95" s="25" t="s">
        <v>108</v>
      </c>
      <c r="C95" s="8" t="s">
        <v>109</v>
      </c>
      <c r="D95" s="8" t="s">
        <v>272</v>
      </c>
      <c r="E95" s="8" t="s">
        <v>180</v>
      </c>
      <c r="F95" s="19" t="n">
        <v>50.7</v>
      </c>
      <c r="G95" s="33" t="n">
        <f aca="false">F95*0.006477</f>
        <v>0.3283839</v>
      </c>
      <c r="H95" s="19" t="n">
        <f aca="false">F95*1.079436</f>
        <v>54.7274052</v>
      </c>
      <c r="I95" s="18" t="n">
        <f aca="false">MAX(1,ROUNDUP(G95/0.096,0))</f>
        <v>4</v>
      </c>
      <c r="J95" s="31" t="n">
        <v>46631</v>
      </c>
      <c r="K95" s="34" t="n">
        <f aca="false">J95-WEEKDAY(J95,2)+1</f>
        <v>46629</v>
      </c>
      <c r="L95" s="31" t="n">
        <f aca="false">J95</f>
        <v>46631</v>
      </c>
      <c r="M95" s="26" t="n">
        <f aca="false">INDEX(LR_Target,MATCH(B95,LR_Lane,0))</f>
        <v>2</v>
      </c>
      <c r="N95" s="31" t="n">
        <f aca="false">WORKDAY.INTL(L95,M95,INDEX(LR_Code,MATCH(B95,LR_Lane,0)),INDEX(DH_Table,0,MATCH(B95&amp;"*",DH_Head,0)))</f>
        <v>46635</v>
      </c>
      <c r="O95" s="35" t="n">
        <f aca="false">IF(W95&lt;&gt;"",W95,IF(U95="Helmond",IF(COUNTIFS(RC_Lane,B95,RC_Band,E95,RC_Transit,"&lt;&gt;")=0,"",SUMIFS(RC_Transit,RC_Lane,B95,RC_Band,E95)),IF(U95="Other","",IF(INDEX(RS_Transit,MATCH(B95,RS_Lane,0))="","",INDEX(RS_Transit,MATCH(B95,RS_Lane,0))))))</f>
        <v>2</v>
      </c>
      <c r="P95" s="36"/>
      <c r="Q95" s="31" t="n">
        <f aca="false">IF(P95&lt;&gt;"",P95,IF(O95="","",WORKDAY.INTL(L95,ROUNDUP(O95,0),INDEX(LR_Code,MATCH(B95,LR_Lane,0)),INDEX(DH_Table,0,MATCH(B95&amp;"*",DH_Head,0)))))</f>
        <v>46635</v>
      </c>
      <c r="R95" s="37" t="str">
        <f aca="false">IF(Q95="","",IF(Q95&lt;=N95,"Yes","No"))</f>
        <v>Yes</v>
      </c>
      <c r="S95" s="26" t="n">
        <f aca="false">IF(Q95="","",IF(Q95&lt;=N95,0,NETWORKDAYS.INTL(N95,Q95,INDEX(LR_Code,MATCH(B95,LR_Lane,0)),INDEX(DH_Table,0,MATCH(B95&amp;"*",DH_Head,0)))-1))</f>
        <v>0</v>
      </c>
      <c r="T95" s="4"/>
      <c r="U95" s="25" t="str">
        <f aca="false">IF(V95&lt;&gt;"",V95,IF(IFERROR(INDEX(RS_Flag,MATCH(B95,RS_Lane,0)),"")="Yes",IF(IFERROR(INDEX(RS_Loc,MATCH(B95,RS_Lane,0)),"")="","Regional stock",IFERROR(INDEX(RS_Loc,MATCH(B95,RS_Lane,0)),"")),"Helmond"))</f>
        <v>Helmond</v>
      </c>
      <c r="V95" s="17"/>
      <c r="W95" s="38"/>
      <c r="X95" s="39"/>
      <c r="Y95" s="40" t="n">
        <f aca="false">IF(X95&lt;&gt;"",X95,IF(U95="Helmond",IF(COUNTIFS(RC_Lane,B95,RC_Band,E95,RC_CostPS,"&gt;0")=0,"",SUMIFS(RC_CostPS,RC_Lane,B95,RC_Band,E95)),IF(U95="Other","",IF(INDEX(RS_Rate,MATCH(B95,RS_Lane,0))="","",INDEX(RS_Rate,MATCH(B95,RS_Lane,0))))))</f>
        <v>299.9808</v>
      </c>
    </row>
    <row r="96" customFormat="false" ht="15" hidden="false" customHeight="false" outlineLevel="0" collapsed="false">
      <c r="A96" s="3" t="s">
        <v>363</v>
      </c>
      <c r="B96" s="25" t="s">
        <v>108</v>
      </c>
      <c r="C96" s="8" t="s">
        <v>109</v>
      </c>
      <c r="D96" s="8" t="s">
        <v>272</v>
      </c>
      <c r="E96" s="8" t="s">
        <v>180</v>
      </c>
      <c r="F96" s="19" t="n">
        <v>40.3</v>
      </c>
      <c r="G96" s="33" t="n">
        <f aca="false">F96*0.006477</f>
        <v>0.2610231</v>
      </c>
      <c r="H96" s="19" t="n">
        <f aca="false">F96*1.079436</f>
        <v>43.5012708</v>
      </c>
      <c r="I96" s="18" t="n">
        <f aca="false">MAX(1,ROUNDUP(G96/0.096,0))</f>
        <v>3</v>
      </c>
      <c r="J96" s="31" t="n">
        <v>46636</v>
      </c>
      <c r="K96" s="34" t="n">
        <f aca="false">J96-WEEKDAY(J96,2)+1</f>
        <v>46636</v>
      </c>
      <c r="L96" s="31" t="n">
        <f aca="false">J96</f>
        <v>46636</v>
      </c>
      <c r="M96" s="26" t="n">
        <f aca="false">INDEX(LR_Target,MATCH(B96,LR_Lane,0))</f>
        <v>2</v>
      </c>
      <c r="N96" s="31" t="n">
        <f aca="false">WORKDAY.INTL(L96,M96,INDEX(LR_Code,MATCH(B96,LR_Lane,0)),INDEX(DH_Table,0,MATCH(B96&amp;"*",DH_Head,0)))</f>
        <v>46638</v>
      </c>
      <c r="O96" s="35" t="n">
        <f aca="false">IF(W96&lt;&gt;"",W96,IF(U96="Helmond",IF(COUNTIFS(RC_Lane,B96,RC_Band,E96,RC_Transit,"&lt;&gt;")=0,"",SUMIFS(RC_Transit,RC_Lane,B96,RC_Band,E96)),IF(U96="Other","",IF(INDEX(RS_Transit,MATCH(B96,RS_Lane,0))="","",INDEX(RS_Transit,MATCH(B96,RS_Lane,0))))))</f>
        <v>2</v>
      </c>
      <c r="P96" s="36"/>
      <c r="Q96" s="31" t="n">
        <f aca="false">IF(P96&lt;&gt;"",P96,IF(O96="","",WORKDAY.INTL(L96,ROUNDUP(O96,0),INDEX(LR_Code,MATCH(B96,LR_Lane,0)),INDEX(DH_Table,0,MATCH(B96&amp;"*",DH_Head,0)))))</f>
        <v>46638</v>
      </c>
      <c r="R96" s="37" t="str">
        <f aca="false">IF(Q96="","",IF(Q96&lt;=N96,"Yes","No"))</f>
        <v>Yes</v>
      </c>
      <c r="S96" s="26" t="n">
        <f aca="false">IF(Q96="","",IF(Q96&lt;=N96,0,NETWORKDAYS.INTL(N96,Q96,INDEX(LR_Code,MATCH(B96,LR_Lane,0)),INDEX(DH_Table,0,MATCH(B96&amp;"*",DH_Head,0)))-1))</f>
        <v>0</v>
      </c>
      <c r="T96" s="4"/>
      <c r="U96" s="25" t="str">
        <f aca="false">IF(V96&lt;&gt;"",V96,IF(IFERROR(INDEX(RS_Flag,MATCH(B96,RS_Lane,0)),"")="Yes",IF(IFERROR(INDEX(RS_Loc,MATCH(B96,RS_Lane,0)),"")="","Regional stock",IFERROR(INDEX(RS_Loc,MATCH(B96,RS_Lane,0)),"")),"Helmond"))</f>
        <v>Helmond</v>
      </c>
      <c r="V96" s="17"/>
      <c r="W96" s="38"/>
      <c r="X96" s="39"/>
      <c r="Y96" s="40" t="n">
        <f aca="false">IF(X96&lt;&gt;"",X96,IF(U96="Helmond",IF(COUNTIFS(RC_Lane,B96,RC_Band,E96,RC_CostPS,"&gt;0")=0,"",SUMIFS(RC_CostPS,RC_Lane,B96,RC_Band,E96)),IF(U96="Other","",IF(INDEX(RS_Rate,MATCH(B96,RS_Lane,0))="","",INDEX(RS_Rate,MATCH(B96,RS_Lane,0))))))</f>
        <v>299.9808</v>
      </c>
    </row>
    <row r="97" customFormat="false" ht="15" hidden="false" customHeight="false" outlineLevel="0" collapsed="false">
      <c r="A97" s="3" t="s">
        <v>364</v>
      </c>
      <c r="B97" s="25" t="s">
        <v>108</v>
      </c>
      <c r="C97" s="8" t="s">
        <v>109</v>
      </c>
      <c r="D97" s="8" t="s">
        <v>272</v>
      </c>
      <c r="E97" s="8" t="s">
        <v>178</v>
      </c>
      <c r="F97" s="19" t="n">
        <v>4.1</v>
      </c>
      <c r="G97" s="33" t="n">
        <f aca="false">F97*0.006477</f>
        <v>0.0265557</v>
      </c>
      <c r="H97" s="19" t="n">
        <f aca="false">F97*1.079436</f>
        <v>4.4256876</v>
      </c>
      <c r="I97" s="18" t="n">
        <f aca="false">MAX(1,ROUNDUP(G97/0.096,0))</f>
        <v>1</v>
      </c>
      <c r="J97" s="31" t="n">
        <v>46639</v>
      </c>
      <c r="K97" s="34" t="n">
        <f aca="false">J97-WEEKDAY(J97,2)+1</f>
        <v>46636</v>
      </c>
      <c r="L97" s="31" t="n">
        <f aca="false">J97</f>
        <v>46639</v>
      </c>
      <c r="M97" s="26" t="n">
        <f aca="false">INDEX(LR_Target,MATCH(B97,LR_Lane,0))</f>
        <v>2</v>
      </c>
      <c r="N97" s="31" t="n">
        <f aca="false">WORKDAY.INTL(L97,M97,INDEX(LR_Code,MATCH(B97,LR_Lane,0)),INDEX(DH_Table,0,MATCH(B97&amp;"*",DH_Head,0)))</f>
        <v>46643</v>
      </c>
      <c r="O97" s="35" t="n">
        <f aca="false">IF(W97&lt;&gt;"",W97,IF(U97="Helmond",IF(COUNTIFS(RC_Lane,B97,RC_Band,E97,RC_Transit,"&lt;&gt;")=0,"",SUMIFS(RC_Transit,RC_Lane,B97,RC_Band,E97)),IF(U97="Other","",IF(INDEX(RS_Transit,MATCH(B97,RS_Lane,0))="","",INDEX(RS_Transit,MATCH(B97,RS_Lane,0))))))</f>
        <v>1</v>
      </c>
      <c r="P97" s="36"/>
      <c r="Q97" s="31" t="n">
        <f aca="false">IF(P97&lt;&gt;"",P97,IF(O97="","",WORKDAY.INTL(L97,ROUNDUP(O97,0),INDEX(LR_Code,MATCH(B97,LR_Lane,0)),INDEX(DH_Table,0,MATCH(B97&amp;"*",DH_Head,0)))))</f>
        <v>46642</v>
      </c>
      <c r="R97" s="37" t="str">
        <f aca="false">IF(Q97="","",IF(Q97&lt;=N97,"Yes","No"))</f>
        <v>Yes</v>
      </c>
      <c r="S97" s="26" t="n">
        <f aca="false">IF(Q97="","",IF(Q97&lt;=N97,0,NETWORKDAYS.INTL(N97,Q97,INDEX(LR_Code,MATCH(B97,LR_Lane,0)),INDEX(DH_Table,0,MATCH(B97&amp;"*",DH_Head,0)))-1))</f>
        <v>0</v>
      </c>
      <c r="T97" s="4"/>
      <c r="U97" s="25" t="str">
        <f aca="false">IF(V97&lt;&gt;"",V97,IF(IFERROR(INDEX(RS_Flag,MATCH(B97,RS_Lane,0)),"")="Yes",IF(IFERROR(INDEX(RS_Loc,MATCH(B97,RS_Lane,0)),"")="","Regional stock",IFERROR(INDEX(RS_Loc,MATCH(B97,RS_Lane,0)),"")),"Helmond"))</f>
        <v>Helmond</v>
      </c>
      <c r="V97" s="17"/>
      <c r="W97" s="38"/>
      <c r="X97" s="39"/>
      <c r="Y97" s="40" t="n">
        <f aca="false">IF(X97&lt;&gt;"",X97,IF(U97="Helmond",IF(COUNTIFS(RC_Lane,B97,RC_Band,E97,RC_CostPS,"&gt;0")=0,"",SUMIFS(RC_CostPS,RC_Lane,B97,RC_Band,E97)),IF(U97="Other","",IF(INDEX(RS_Rate,MATCH(B97,RS_Lane,0))="","",INDEX(RS_Rate,MATCH(B97,RS_Lane,0))))))</f>
        <v>76.3</v>
      </c>
    </row>
    <row r="98" customFormat="false" ht="15" hidden="false" customHeight="false" outlineLevel="0" collapsed="false">
      <c r="A98" s="3" t="s">
        <v>365</v>
      </c>
      <c r="B98" s="25" t="s">
        <v>119</v>
      </c>
      <c r="C98" s="8" t="s">
        <v>120</v>
      </c>
      <c r="D98" s="8" t="s">
        <v>155</v>
      </c>
      <c r="E98" s="8" t="s">
        <v>180</v>
      </c>
      <c r="F98" s="19" t="n">
        <v>50.4</v>
      </c>
      <c r="G98" s="33" t="n">
        <f aca="false">F98*0.006477</f>
        <v>0.3264408</v>
      </c>
      <c r="H98" s="19" t="n">
        <f aca="false">F98*1.079436</f>
        <v>54.4035744</v>
      </c>
      <c r="I98" s="18" t="n">
        <f aca="false">MAX(1,ROUNDUP(G98/0.096,0))</f>
        <v>4</v>
      </c>
      <c r="J98" s="31" t="n">
        <v>46640</v>
      </c>
      <c r="K98" s="34" t="n">
        <f aca="false">J98-WEEKDAY(J98,2)+1</f>
        <v>46636</v>
      </c>
      <c r="L98" s="31" t="n">
        <f aca="false">J98</f>
        <v>46640</v>
      </c>
      <c r="M98" s="26" t="n">
        <f aca="false">INDEX(LR_Target,MATCH(B98,LR_Lane,0))</f>
        <v>3</v>
      </c>
      <c r="N98" s="31" t="n">
        <f aca="false">WORKDAY.INTL(L98,M98,INDEX(LR_Code,MATCH(B98,LR_Lane,0)),INDEX(DH_Table,0,MATCH(B98&amp;"*",DH_Head,0)))</f>
        <v>46645</v>
      </c>
      <c r="O98" s="35" t="n">
        <f aca="false">IF(W98&lt;&gt;"",W98,IF(U98="Helmond",IF(COUNTIFS(RC_Lane,B98,RC_Band,E98,RC_Transit,"&lt;&gt;")=0,"",SUMIFS(RC_Transit,RC_Lane,B98,RC_Band,E98)),IF(U98="Other","",IF(INDEX(RS_Transit,MATCH(B98,RS_Lane,0))="","",INDEX(RS_Transit,MATCH(B98,RS_Lane,0))))))</f>
        <v>2</v>
      </c>
      <c r="P98" s="36"/>
      <c r="Q98" s="31" t="n">
        <f aca="false">IF(P98&lt;&gt;"",P98,IF(O98="","",WORKDAY.INTL(L98,ROUNDUP(O98,0),INDEX(LR_Code,MATCH(B98,LR_Lane,0)),INDEX(DH_Table,0,MATCH(B98&amp;"*",DH_Head,0)))))</f>
        <v>46644</v>
      </c>
      <c r="R98" s="37" t="str">
        <f aca="false">IF(Q98="","",IF(Q98&lt;=N98,"Yes","No"))</f>
        <v>Yes</v>
      </c>
      <c r="S98" s="26" t="n">
        <f aca="false">IF(Q98="","",IF(Q98&lt;=N98,0,NETWORKDAYS.INTL(N98,Q98,INDEX(LR_Code,MATCH(B98,LR_Lane,0)),INDEX(DH_Table,0,MATCH(B98&amp;"*",DH_Head,0)))-1))</f>
        <v>0</v>
      </c>
      <c r="T98" s="4"/>
      <c r="U98" s="25" t="str">
        <f aca="false">IF(V98&lt;&gt;"",V98,IF(IFERROR(INDEX(RS_Flag,MATCH(B98,RS_Lane,0)),"")="Yes",IF(IFERROR(INDEX(RS_Loc,MATCH(B98,RS_Lane,0)),"")="","Regional stock",IFERROR(INDEX(RS_Loc,MATCH(B98,RS_Lane,0)),"")),"Helmond"))</f>
        <v>Helmond</v>
      </c>
      <c r="V98" s="17"/>
      <c r="W98" s="38"/>
      <c r="X98" s="39"/>
      <c r="Y98" s="40" t="n">
        <f aca="false">IF(X98&lt;&gt;"",X98,IF(U98="Helmond",IF(COUNTIFS(RC_Lane,B98,RC_Band,E98,RC_CostPS,"&gt;0")=0,"",SUMIFS(RC_CostPS,RC_Lane,B98,RC_Band,E98)),IF(U98="Other","",IF(INDEX(RS_Rate,MATCH(B98,RS_Lane,0))="","",INDEX(RS_Rate,MATCH(B98,RS_Lane,0))))))</f>
        <v>319.8048</v>
      </c>
    </row>
    <row r="99" customFormat="false" ht="15" hidden="false" customHeight="false" outlineLevel="0" collapsed="false">
      <c r="A99" s="3" t="s">
        <v>366</v>
      </c>
      <c r="B99" s="25" t="s">
        <v>112</v>
      </c>
      <c r="C99" s="8" t="s">
        <v>113</v>
      </c>
      <c r="D99" s="8" t="s">
        <v>152</v>
      </c>
      <c r="E99" s="8" t="s">
        <v>182</v>
      </c>
      <c r="F99" s="19" t="n">
        <v>415.4</v>
      </c>
      <c r="G99" s="33" t="n">
        <f aca="false">F99*0.006477</f>
        <v>2.6905458</v>
      </c>
      <c r="H99" s="19" t="n">
        <f aca="false">F99*1.079436</f>
        <v>448.3977144</v>
      </c>
      <c r="I99" s="18" t="n">
        <f aca="false">MAX(1,ROUNDUP(G99/0.096,0))</f>
        <v>29</v>
      </c>
      <c r="J99" s="31" t="n">
        <v>46644</v>
      </c>
      <c r="K99" s="34" t="n">
        <f aca="false">J99-WEEKDAY(J99,2)+1</f>
        <v>46643</v>
      </c>
      <c r="L99" s="31" t="n">
        <f aca="false">J99</f>
        <v>46644</v>
      </c>
      <c r="M99" s="26" t="n">
        <f aca="false">INDEX(LR_Target,MATCH(B99,LR_Lane,0))</f>
        <v>2</v>
      </c>
      <c r="N99" s="31" t="n">
        <f aca="false">WORKDAY.INTL(L99,M99,INDEX(LR_Code,MATCH(B99,LR_Lane,0)),INDEX(DH_Table,0,MATCH(B99&amp;"*",DH_Head,0)))</f>
        <v>46646</v>
      </c>
      <c r="O99" s="35" t="n">
        <f aca="false">IF(W99&lt;&gt;"",W99,IF(U99="Helmond",IF(COUNTIFS(RC_Lane,B99,RC_Band,E99,RC_Transit,"&lt;&gt;")=0,"",SUMIFS(RC_Transit,RC_Lane,B99,RC_Band,E99)),IF(U99="Other","",IF(INDEX(RS_Transit,MATCH(B99,RS_Lane,0))="","",INDEX(RS_Transit,MATCH(B99,RS_Lane,0))))))</f>
        <v>3</v>
      </c>
      <c r="P99" s="36"/>
      <c r="Q99" s="31" t="n">
        <f aca="false">IF(P99&lt;&gt;"",P99,IF(O99="","",WORKDAY.INTL(L99,ROUNDUP(O99,0),INDEX(LR_Code,MATCH(B99,LR_Lane,0)),INDEX(DH_Table,0,MATCH(B99&amp;"*",DH_Head,0)))))</f>
        <v>46647</v>
      </c>
      <c r="R99" s="37" t="str">
        <f aca="false">IF(Q99="","",IF(Q99&lt;=N99,"Yes","No"))</f>
        <v>No</v>
      </c>
      <c r="S99" s="26" t="n">
        <f aca="false">IF(Q99="","",IF(Q99&lt;=N99,0,NETWORKDAYS.INTL(N99,Q99,INDEX(LR_Code,MATCH(B99,LR_Lane,0)),INDEX(DH_Table,0,MATCH(B99&amp;"*",DH_Head,0)))-1))</f>
        <v>1</v>
      </c>
      <c r="T99" s="4"/>
      <c r="U99" s="25" t="str">
        <f aca="false">IF(V99&lt;&gt;"",V99,IF(IFERROR(INDEX(RS_Flag,MATCH(B99,RS_Lane,0)),"")="Yes",IF(IFERROR(INDEX(RS_Loc,MATCH(B99,RS_Lane,0)),"")="","Regional stock",IFERROR(INDEX(RS_Loc,MATCH(B99,RS_Lane,0)),"")),"Helmond"))</f>
        <v>Helmond</v>
      </c>
      <c r="V99" s="17"/>
      <c r="W99" s="38"/>
      <c r="X99" s="39"/>
      <c r="Y99" s="40" t="n">
        <f aca="false">IF(X99&lt;&gt;"",X99,IF(U99="Helmond",IF(COUNTIFS(RC_Lane,B99,RC_Band,E99,RC_CostPS,"&gt;0")=0,"",SUMIFS(RC_CostPS,RC_Lane,B99,RC_Band,E99)),IF(U99="Other","",IF(INDEX(RS_Rate,MATCH(B99,RS_Lane,0))="","",INDEX(RS_Rate,MATCH(B99,RS_Lane,0))))))</f>
        <v>1503.8994</v>
      </c>
    </row>
    <row r="100" customFormat="false" ht="15" hidden="false" customHeight="false" outlineLevel="0" collapsed="false">
      <c r="A100" s="3" t="s">
        <v>367</v>
      </c>
      <c r="B100" s="25" t="s">
        <v>119</v>
      </c>
      <c r="C100" s="8" t="s">
        <v>120</v>
      </c>
      <c r="D100" s="8" t="s">
        <v>155</v>
      </c>
      <c r="E100" s="8" t="s">
        <v>178</v>
      </c>
      <c r="F100" s="19" t="n">
        <v>3</v>
      </c>
      <c r="G100" s="33" t="n">
        <f aca="false">F100*0.006477</f>
        <v>0.019431</v>
      </c>
      <c r="H100" s="19" t="n">
        <f aca="false">F100*1.079436</f>
        <v>3.238308</v>
      </c>
      <c r="I100" s="18" t="n">
        <f aca="false">MAX(1,ROUNDUP(G100/0.096,0))</f>
        <v>1</v>
      </c>
      <c r="J100" s="31" t="n">
        <v>46645</v>
      </c>
      <c r="K100" s="34" t="n">
        <f aca="false">J100-WEEKDAY(J100,2)+1</f>
        <v>46643</v>
      </c>
      <c r="L100" s="31" t="n">
        <f aca="false">J100</f>
        <v>46645</v>
      </c>
      <c r="M100" s="26" t="n">
        <f aca="false">INDEX(LR_Target,MATCH(B100,LR_Lane,0))</f>
        <v>3</v>
      </c>
      <c r="N100" s="31" t="n">
        <f aca="false">WORKDAY.INTL(L100,M100,INDEX(LR_Code,MATCH(B100,LR_Lane,0)),INDEX(DH_Table,0,MATCH(B100&amp;"*",DH_Head,0)))</f>
        <v>46650</v>
      </c>
      <c r="O100" s="35" t="n">
        <f aca="false">IF(W100&lt;&gt;"",W100,IF(U100="Helmond",IF(COUNTIFS(RC_Lane,B100,RC_Band,E100,RC_Transit,"&lt;&gt;")=0,"",SUMIFS(RC_Transit,RC_Lane,B100,RC_Band,E100)),IF(U100="Other","",IF(INDEX(RS_Transit,MATCH(B100,RS_Lane,0))="","",INDEX(RS_Transit,MATCH(B100,RS_Lane,0))))))</f>
        <v>1</v>
      </c>
      <c r="P100" s="36"/>
      <c r="Q100" s="31" t="n">
        <f aca="false">IF(P100&lt;&gt;"",P100,IF(O100="","",WORKDAY.INTL(L100,ROUNDUP(O100,0),INDEX(LR_Code,MATCH(B100,LR_Lane,0)),INDEX(DH_Table,0,MATCH(B100&amp;"*",DH_Head,0)))))</f>
        <v>46646</v>
      </c>
      <c r="R100" s="37" t="str">
        <f aca="false">IF(Q100="","",IF(Q100&lt;=N100,"Yes","No"))</f>
        <v>Yes</v>
      </c>
      <c r="S100" s="26" t="n">
        <f aca="false">IF(Q100="","",IF(Q100&lt;=N100,0,NETWORKDAYS.INTL(N100,Q100,INDEX(LR_Code,MATCH(B100,LR_Lane,0)),INDEX(DH_Table,0,MATCH(B100&amp;"*",DH_Head,0)))-1))</f>
        <v>0</v>
      </c>
      <c r="T100" s="4"/>
      <c r="U100" s="25" t="str">
        <f aca="false">IF(V100&lt;&gt;"",V100,IF(IFERROR(INDEX(RS_Flag,MATCH(B100,RS_Lane,0)),"")="Yes",IF(IFERROR(INDEX(RS_Loc,MATCH(B100,RS_Lane,0)),"")="","Regional stock",IFERROR(INDEX(RS_Loc,MATCH(B100,RS_Lane,0)),"")),"Helmond"))</f>
        <v>Helmond</v>
      </c>
      <c r="V100" s="17"/>
      <c r="W100" s="38"/>
      <c r="X100" s="39"/>
      <c r="Y100" s="40" t="n">
        <f aca="false">IF(X100&lt;&gt;"",X100,IF(U100="Helmond",IF(COUNTIFS(RC_Lane,B100,RC_Band,E100,RC_CostPS,"&gt;0")=0,"",SUMIFS(RC_CostPS,RC_Lane,B100,RC_Band,E100)),IF(U100="Other","",IF(INDEX(RS_Rate,MATCH(B100,RS_Lane,0))="","",INDEX(RS_Rate,MATCH(B100,RS_Lane,0))))))</f>
        <v>76.3</v>
      </c>
    </row>
    <row r="101" customFormat="false" ht="15" hidden="false" customHeight="false" outlineLevel="0" collapsed="false">
      <c r="A101" s="3" t="s">
        <v>368</v>
      </c>
      <c r="B101" s="25" t="s">
        <v>126</v>
      </c>
      <c r="C101" s="8" t="s">
        <v>127</v>
      </c>
      <c r="D101" s="8" t="s">
        <v>158</v>
      </c>
      <c r="E101" s="8" t="s">
        <v>182</v>
      </c>
      <c r="F101" s="19" t="n">
        <v>260.6</v>
      </c>
      <c r="G101" s="33" t="n">
        <f aca="false">F101*0.006477</f>
        <v>1.6879062</v>
      </c>
      <c r="H101" s="19" t="n">
        <f aca="false">F101*1.079436</f>
        <v>281.3010216</v>
      </c>
      <c r="I101" s="18" t="n">
        <f aca="false">MAX(1,ROUNDUP(G101/0.096,0))</f>
        <v>18</v>
      </c>
      <c r="J101" s="31" t="n">
        <v>46646</v>
      </c>
      <c r="K101" s="34" t="n">
        <f aca="false">J101-WEEKDAY(J101,2)+1</f>
        <v>46643</v>
      </c>
      <c r="L101" s="31" t="n">
        <f aca="false">J101</f>
        <v>46646</v>
      </c>
      <c r="M101" s="26" t="n">
        <f aca="false">INDEX(LR_Target,MATCH(B101,LR_Lane,0))</f>
        <v>4</v>
      </c>
      <c r="N101" s="31" t="n">
        <f aca="false">WORKDAY.INTL(L101,M101,INDEX(LR_Code,MATCH(B101,LR_Lane,0)),INDEX(DH_Table,0,MATCH(B101&amp;"*",DH_Head,0)))</f>
        <v>46652</v>
      </c>
      <c r="O101" s="35" t="n">
        <f aca="false">IF(W101&lt;&gt;"",W101,IF(U101="Helmond",IF(COUNTIFS(RC_Lane,B101,RC_Band,E101,RC_Transit,"&lt;&gt;")=0,"",SUMIFS(RC_Transit,RC_Lane,B101,RC_Band,E101)),IF(U101="Other","",IF(INDEX(RS_Transit,MATCH(B101,RS_Lane,0))="","",INDEX(RS_Transit,MATCH(B101,RS_Lane,0))))))</f>
        <v>3</v>
      </c>
      <c r="P101" s="36"/>
      <c r="Q101" s="31" t="n">
        <f aca="false">IF(P101&lt;&gt;"",P101,IF(O101="","",WORKDAY.INTL(L101,ROUNDUP(O101,0),INDEX(LR_Code,MATCH(B101,LR_Lane,0)),INDEX(DH_Table,0,MATCH(B101&amp;"*",DH_Head,0)))))</f>
        <v>46651</v>
      </c>
      <c r="R101" s="37" t="str">
        <f aca="false">IF(Q101="","",IF(Q101&lt;=N101,"Yes","No"))</f>
        <v>Yes</v>
      </c>
      <c r="S101" s="26" t="n">
        <f aca="false">IF(Q101="","",IF(Q101&lt;=N101,0,NETWORKDAYS.INTL(N101,Q101,INDEX(LR_Code,MATCH(B101,LR_Lane,0)),INDEX(DH_Table,0,MATCH(B101&amp;"*",DH_Head,0)))-1))</f>
        <v>0</v>
      </c>
      <c r="T101" s="4"/>
      <c r="U101" s="25" t="str">
        <f aca="false">IF(V101&lt;&gt;"",V101,IF(IFERROR(INDEX(RS_Flag,MATCH(B101,RS_Lane,0)),"")="Yes",IF(IFERROR(INDEX(RS_Loc,MATCH(B101,RS_Lane,0)),"")="","Regional stock",IFERROR(INDEX(RS_Loc,MATCH(B101,RS_Lane,0)),"")),"Helmond"))</f>
        <v>Helmond</v>
      </c>
      <c r="V101" s="17"/>
      <c r="W101" s="38"/>
      <c r="X101" s="39"/>
      <c r="Y101" s="40" t="n">
        <f aca="false">IF(X101&lt;&gt;"",X101,IF(U101="Helmond",IF(COUNTIFS(RC_Lane,B101,RC_Band,E101,RC_CostPS,"&gt;0")=0,"",SUMIFS(RC_CostPS,RC_Lane,B101,RC_Band,E101)),IF(U101="Other","",IF(INDEX(RS_Rate,MATCH(B101,RS_Lane,0))="","",INDEX(RS_Rate,MATCH(B101,RS_Lane,0))))))</f>
        <v>936.8976</v>
      </c>
    </row>
    <row r="102" customFormat="false" ht="15" hidden="false" customHeight="false" outlineLevel="0" collapsed="false">
      <c r="A102" s="3" t="s">
        <v>369</v>
      </c>
      <c r="B102" s="25" t="s">
        <v>108</v>
      </c>
      <c r="C102" s="8" t="s">
        <v>109</v>
      </c>
      <c r="D102" s="8" t="s">
        <v>272</v>
      </c>
      <c r="E102" s="8" t="s">
        <v>178</v>
      </c>
      <c r="F102" s="19" t="n">
        <v>6.4</v>
      </c>
      <c r="G102" s="33" t="n">
        <f aca="false">F102*0.006477</f>
        <v>0.0414528</v>
      </c>
      <c r="H102" s="19" t="n">
        <f aca="false">F102*1.079436</f>
        <v>6.9083904</v>
      </c>
      <c r="I102" s="18" t="n">
        <f aca="false">MAX(1,ROUNDUP(G102/0.096,0))</f>
        <v>1</v>
      </c>
      <c r="J102" s="31" t="n">
        <v>46647</v>
      </c>
      <c r="K102" s="34" t="n">
        <f aca="false">J102-WEEKDAY(J102,2)+1</f>
        <v>46643</v>
      </c>
      <c r="L102" s="31" t="n">
        <f aca="false">J102</f>
        <v>46647</v>
      </c>
      <c r="M102" s="26" t="n">
        <f aca="false">INDEX(LR_Target,MATCH(B102,LR_Lane,0))</f>
        <v>2</v>
      </c>
      <c r="N102" s="31" t="n">
        <f aca="false">WORKDAY.INTL(L102,M102,INDEX(LR_Code,MATCH(B102,LR_Lane,0)),INDEX(DH_Table,0,MATCH(B102&amp;"*",DH_Head,0)))</f>
        <v>46650</v>
      </c>
      <c r="O102" s="35" t="n">
        <f aca="false">IF(W102&lt;&gt;"",W102,IF(U102="Helmond",IF(COUNTIFS(RC_Lane,B102,RC_Band,E102,RC_Transit,"&lt;&gt;")=0,"",SUMIFS(RC_Transit,RC_Lane,B102,RC_Band,E102)),IF(U102="Other","",IF(INDEX(RS_Transit,MATCH(B102,RS_Lane,0))="","",INDEX(RS_Transit,MATCH(B102,RS_Lane,0))))))</f>
        <v>1</v>
      </c>
      <c r="P102" s="36"/>
      <c r="Q102" s="31" t="n">
        <f aca="false">IF(P102&lt;&gt;"",P102,IF(O102="","",WORKDAY.INTL(L102,ROUNDUP(O102,0),INDEX(LR_Code,MATCH(B102,LR_Lane,0)),INDEX(DH_Table,0,MATCH(B102&amp;"*",DH_Head,0)))))</f>
        <v>46649</v>
      </c>
      <c r="R102" s="37" t="str">
        <f aca="false">IF(Q102="","",IF(Q102&lt;=N102,"Yes","No"))</f>
        <v>Yes</v>
      </c>
      <c r="S102" s="26" t="n">
        <f aca="false">IF(Q102="","",IF(Q102&lt;=N102,0,NETWORKDAYS.INTL(N102,Q102,INDEX(LR_Code,MATCH(B102,LR_Lane,0)),INDEX(DH_Table,0,MATCH(B102&amp;"*",DH_Head,0)))-1))</f>
        <v>0</v>
      </c>
      <c r="T102" s="4"/>
      <c r="U102" s="25" t="str">
        <f aca="false">IF(V102&lt;&gt;"",V102,IF(IFERROR(INDEX(RS_Flag,MATCH(B102,RS_Lane,0)),"")="Yes",IF(IFERROR(INDEX(RS_Loc,MATCH(B102,RS_Lane,0)),"")="","Regional stock",IFERROR(INDEX(RS_Loc,MATCH(B102,RS_Lane,0)),"")),"Helmond"))</f>
        <v>Helmond</v>
      </c>
      <c r="V102" s="17"/>
      <c r="W102" s="38"/>
      <c r="X102" s="39"/>
      <c r="Y102" s="40" t="n">
        <f aca="false">IF(X102&lt;&gt;"",X102,IF(U102="Helmond",IF(COUNTIFS(RC_Lane,B102,RC_Band,E102,RC_CostPS,"&gt;0")=0,"",SUMIFS(RC_CostPS,RC_Lane,B102,RC_Band,E102)),IF(U102="Other","",IF(INDEX(RS_Rate,MATCH(B102,RS_Lane,0))="","",INDEX(RS_Rate,MATCH(B102,RS_Lane,0))))))</f>
        <v>76.3</v>
      </c>
    </row>
    <row r="103" customFormat="false" ht="15" hidden="false" customHeight="false" outlineLevel="0" collapsed="false">
      <c r="A103" s="3" t="s">
        <v>370</v>
      </c>
      <c r="B103" s="25" t="s">
        <v>112</v>
      </c>
      <c r="C103" s="8" t="s">
        <v>113</v>
      </c>
      <c r="D103" s="8" t="s">
        <v>152</v>
      </c>
      <c r="E103" s="8" t="s">
        <v>178</v>
      </c>
      <c r="F103" s="19" t="n">
        <v>20</v>
      </c>
      <c r="G103" s="33" t="n">
        <f aca="false">F103*0.006477</f>
        <v>0.12954</v>
      </c>
      <c r="H103" s="19" t="n">
        <f aca="false">F103*1.079436</f>
        <v>21.58872</v>
      </c>
      <c r="I103" s="18" t="n">
        <f aca="false">MAX(1,ROUNDUP(G103/0.096,0))</f>
        <v>2</v>
      </c>
      <c r="J103" s="31" t="n">
        <v>46650</v>
      </c>
      <c r="K103" s="34" t="n">
        <f aca="false">J103-WEEKDAY(J103,2)+1</f>
        <v>46650</v>
      </c>
      <c r="L103" s="31" t="n">
        <f aca="false">J103</f>
        <v>46650</v>
      </c>
      <c r="M103" s="26" t="n">
        <f aca="false">INDEX(LR_Target,MATCH(B103,LR_Lane,0))</f>
        <v>2</v>
      </c>
      <c r="N103" s="31" t="n">
        <f aca="false">WORKDAY.INTL(L103,M103,INDEX(LR_Code,MATCH(B103,LR_Lane,0)),INDEX(DH_Table,0,MATCH(B103&amp;"*",DH_Head,0)))</f>
        <v>46652</v>
      </c>
      <c r="O103" s="35" t="n">
        <f aca="false">IF(W103&lt;&gt;"",W103,IF(U103="Helmond",IF(COUNTIFS(RC_Lane,B103,RC_Band,E103,RC_Transit,"&lt;&gt;")=0,"",SUMIFS(RC_Transit,RC_Lane,B103,RC_Band,E103)),IF(U103="Other","",IF(INDEX(RS_Transit,MATCH(B103,RS_Lane,0))="","",INDEX(RS_Transit,MATCH(B103,RS_Lane,0))))))</f>
        <v>1</v>
      </c>
      <c r="P103" s="36"/>
      <c r="Q103" s="31" t="n">
        <f aca="false">IF(P103&lt;&gt;"",P103,IF(O103="","",WORKDAY.INTL(L103,ROUNDUP(O103,0),INDEX(LR_Code,MATCH(B103,LR_Lane,0)),INDEX(DH_Table,0,MATCH(B103&amp;"*",DH_Head,0)))))</f>
        <v>46651</v>
      </c>
      <c r="R103" s="37" t="str">
        <f aca="false">IF(Q103="","",IF(Q103&lt;=N103,"Yes","No"))</f>
        <v>Yes</v>
      </c>
      <c r="S103" s="26" t="n">
        <f aca="false">IF(Q103="","",IF(Q103&lt;=N103,0,NETWORKDAYS.INTL(N103,Q103,INDEX(LR_Code,MATCH(B103,LR_Lane,0)),INDEX(DH_Table,0,MATCH(B103&amp;"*",DH_Head,0)))-1))</f>
        <v>0</v>
      </c>
      <c r="T103" s="4"/>
      <c r="U103" s="25" t="str">
        <f aca="false">IF(V103&lt;&gt;"",V103,IF(IFERROR(INDEX(RS_Flag,MATCH(B103,RS_Lane,0)),"")="Yes",IF(IFERROR(INDEX(RS_Loc,MATCH(B103,RS_Lane,0)),"")="","Regional stock",IFERROR(INDEX(RS_Loc,MATCH(B103,RS_Lane,0)),"")),"Helmond"))</f>
        <v>Helmond</v>
      </c>
      <c r="V103" s="17"/>
      <c r="W103" s="38"/>
      <c r="X103" s="39"/>
      <c r="Y103" s="40" t="n">
        <f aca="false">IF(X103&lt;&gt;"",X103,IF(U103="Helmond",IF(COUNTIFS(RC_Lane,B103,RC_Band,E103,RC_CostPS,"&gt;0")=0,"",SUMIFS(RC_CostPS,RC_Lane,B103,RC_Band,E103)),IF(U103="Other","",IF(INDEX(RS_Rate,MATCH(B103,RS_Lane,0))="","",INDEX(RS_Rate,MATCH(B103,RS_Lane,0))))))</f>
        <v>76.3</v>
      </c>
    </row>
    <row r="104" customFormat="false" ht="15" hidden="false" customHeight="false" outlineLevel="0" collapsed="false">
      <c r="A104" s="3" t="s">
        <v>371</v>
      </c>
      <c r="B104" s="25" t="s">
        <v>112</v>
      </c>
      <c r="C104" s="8" t="s">
        <v>113</v>
      </c>
      <c r="D104" s="8" t="s">
        <v>152</v>
      </c>
      <c r="E104" s="8" t="s">
        <v>178</v>
      </c>
      <c r="F104" s="19" t="n">
        <v>3.9</v>
      </c>
      <c r="G104" s="33" t="n">
        <f aca="false">F104*0.006477</f>
        <v>0.0252603</v>
      </c>
      <c r="H104" s="19" t="n">
        <f aca="false">F104*1.079436</f>
        <v>4.2098004</v>
      </c>
      <c r="I104" s="18" t="n">
        <f aca="false">MAX(1,ROUNDUP(G104/0.096,0))</f>
        <v>1</v>
      </c>
      <c r="J104" s="31" t="n">
        <v>46652</v>
      </c>
      <c r="K104" s="34" t="n">
        <f aca="false">J104-WEEKDAY(J104,2)+1</f>
        <v>46650</v>
      </c>
      <c r="L104" s="31" t="n">
        <f aca="false">J104</f>
        <v>46652</v>
      </c>
      <c r="M104" s="26" t="n">
        <f aca="false">INDEX(LR_Target,MATCH(B104,LR_Lane,0))</f>
        <v>2</v>
      </c>
      <c r="N104" s="31" t="n">
        <f aca="false">WORKDAY.INTL(L104,M104,INDEX(LR_Code,MATCH(B104,LR_Lane,0)),INDEX(DH_Table,0,MATCH(B104&amp;"*",DH_Head,0)))</f>
        <v>46654</v>
      </c>
      <c r="O104" s="35" t="n">
        <f aca="false">IF(W104&lt;&gt;"",W104,IF(U104="Helmond",IF(COUNTIFS(RC_Lane,B104,RC_Band,E104,RC_Transit,"&lt;&gt;")=0,"",SUMIFS(RC_Transit,RC_Lane,B104,RC_Band,E104)),IF(U104="Other","",IF(INDEX(RS_Transit,MATCH(B104,RS_Lane,0))="","",INDEX(RS_Transit,MATCH(B104,RS_Lane,0))))))</f>
        <v>1</v>
      </c>
      <c r="P104" s="36"/>
      <c r="Q104" s="31" t="n">
        <f aca="false">IF(P104&lt;&gt;"",P104,IF(O104="","",WORKDAY.INTL(L104,ROUNDUP(O104,0),INDEX(LR_Code,MATCH(B104,LR_Lane,0)),INDEX(DH_Table,0,MATCH(B104&amp;"*",DH_Head,0)))))</f>
        <v>46653</v>
      </c>
      <c r="R104" s="37" t="str">
        <f aca="false">IF(Q104="","",IF(Q104&lt;=N104,"Yes","No"))</f>
        <v>Yes</v>
      </c>
      <c r="S104" s="26" t="n">
        <f aca="false">IF(Q104="","",IF(Q104&lt;=N104,0,NETWORKDAYS.INTL(N104,Q104,INDEX(LR_Code,MATCH(B104,LR_Lane,0)),INDEX(DH_Table,0,MATCH(B104&amp;"*",DH_Head,0)))-1))</f>
        <v>0</v>
      </c>
      <c r="T104" s="4"/>
      <c r="U104" s="25" t="str">
        <f aca="false">IF(V104&lt;&gt;"",V104,IF(IFERROR(INDEX(RS_Flag,MATCH(B104,RS_Lane,0)),"")="Yes",IF(IFERROR(INDEX(RS_Loc,MATCH(B104,RS_Lane,0)),"")="","Regional stock",IFERROR(INDEX(RS_Loc,MATCH(B104,RS_Lane,0)),"")),"Helmond"))</f>
        <v>Helmond</v>
      </c>
      <c r="V104" s="17"/>
      <c r="W104" s="38"/>
      <c r="X104" s="39"/>
      <c r="Y104" s="40" t="n">
        <f aca="false">IF(X104&lt;&gt;"",X104,IF(U104="Helmond",IF(COUNTIFS(RC_Lane,B104,RC_Band,E104,RC_CostPS,"&gt;0")=0,"",SUMIFS(RC_CostPS,RC_Lane,B104,RC_Band,E104)),IF(U104="Other","",IF(INDEX(RS_Rate,MATCH(B104,RS_Lane,0))="","",INDEX(RS_Rate,MATCH(B104,RS_Lane,0))))))</f>
        <v>76.3</v>
      </c>
    </row>
    <row r="105" customFormat="false" ht="15" hidden="false" customHeight="false" outlineLevel="0" collapsed="false">
      <c r="A105" s="3" t="s">
        <v>372</v>
      </c>
      <c r="B105" s="25" t="s">
        <v>115</v>
      </c>
      <c r="C105" s="8" t="s">
        <v>116</v>
      </c>
      <c r="D105" s="8" t="s">
        <v>153</v>
      </c>
      <c r="E105" s="8" t="s">
        <v>178</v>
      </c>
      <c r="F105" s="19" t="n">
        <v>3.8</v>
      </c>
      <c r="G105" s="33" t="n">
        <f aca="false">F105*0.006477</f>
        <v>0.0246126</v>
      </c>
      <c r="H105" s="19" t="n">
        <f aca="false">F105*1.079436</f>
        <v>4.1018568</v>
      </c>
      <c r="I105" s="18" t="n">
        <f aca="false">MAX(1,ROUNDUP(G105/0.096,0))</f>
        <v>1</v>
      </c>
      <c r="J105" s="31" t="n">
        <v>46654</v>
      </c>
      <c r="K105" s="34" t="n">
        <f aca="false">J105-WEEKDAY(J105,2)+1</f>
        <v>46650</v>
      </c>
      <c r="L105" s="31" t="n">
        <f aca="false">J105</f>
        <v>46654</v>
      </c>
      <c r="M105" s="26" t="n">
        <f aca="false">INDEX(LR_Target,MATCH(B105,LR_Lane,0))</f>
        <v>2</v>
      </c>
      <c r="N105" s="31" t="n">
        <f aca="false">WORKDAY.INTL(L105,M105,INDEX(LR_Code,MATCH(B105,LR_Lane,0)),INDEX(DH_Table,0,MATCH(B105&amp;"*",DH_Head,0)))</f>
        <v>46657</v>
      </c>
      <c r="O105" s="35" t="n">
        <f aca="false">IF(W105&lt;&gt;"",W105,IF(U105="Helmond",IF(COUNTIFS(RC_Lane,B105,RC_Band,E105,RC_Transit,"&lt;&gt;")=0,"",SUMIFS(RC_Transit,RC_Lane,B105,RC_Band,E105)),IF(U105="Other","",IF(INDEX(RS_Transit,MATCH(B105,RS_Lane,0))="","",INDEX(RS_Transit,MATCH(B105,RS_Lane,0))))))</f>
        <v>1</v>
      </c>
      <c r="P105" s="36"/>
      <c r="Q105" s="31" t="n">
        <f aca="false">IF(P105&lt;&gt;"",P105,IF(O105="","",WORKDAY.INTL(L105,ROUNDUP(O105,0),INDEX(LR_Code,MATCH(B105,LR_Lane,0)),INDEX(DH_Table,0,MATCH(B105&amp;"*",DH_Head,0)))))</f>
        <v>46656</v>
      </c>
      <c r="R105" s="37" t="str">
        <f aca="false">IF(Q105="","",IF(Q105&lt;=N105,"Yes","No"))</f>
        <v>Yes</v>
      </c>
      <c r="S105" s="26" t="n">
        <f aca="false">IF(Q105="","",IF(Q105&lt;=N105,0,NETWORKDAYS.INTL(N105,Q105,INDEX(LR_Code,MATCH(B105,LR_Lane,0)),INDEX(DH_Table,0,MATCH(B105&amp;"*",DH_Head,0)))-1))</f>
        <v>0</v>
      </c>
      <c r="T105" s="4"/>
      <c r="U105" s="25" t="str">
        <f aca="false">IF(V105&lt;&gt;"",V105,IF(IFERROR(INDEX(RS_Flag,MATCH(B105,RS_Lane,0)),"")="Yes",IF(IFERROR(INDEX(RS_Loc,MATCH(B105,RS_Lane,0)),"")="","Regional stock",IFERROR(INDEX(RS_Loc,MATCH(B105,RS_Lane,0)),"")),"Helmond"))</f>
        <v>Helmond</v>
      </c>
      <c r="V105" s="17"/>
      <c r="W105" s="38"/>
      <c r="X105" s="39"/>
      <c r="Y105" s="40" t="n">
        <f aca="false">IF(X105&lt;&gt;"",X105,IF(U105="Helmond",IF(COUNTIFS(RC_Lane,B105,RC_Band,E105,RC_CostPS,"&gt;0")=0,"",SUMIFS(RC_CostPS,RC_Lane,B105,RC_Band,E105)),IF(U105="Other","",IF(INDEX(RS_Rate,MATCH(B105,RS_Lane,0))="","",INDEX(RS_Rate,MATCH(B105,RS_Lane,0))))))</f>
        <v>76.3</v>
      </c>
    </row>
    <row r="106" customFormat="false" ht="15" hidden="false" customHeight="false" outlineLevel="0" collapsed="false">
      <c r="A106" s="3" t="s">
        <v>373</v>
      </c>
      <c r="B106" s="25" t="s">
        <v>112</v>
      </c>
      <c r="C106" s="8" t="s">
        <v>113</v>
      </c>
      <c r="D106" s="8" t="s">
        <v>152</v>
      </c>
      <c r="E106" s="8" t="s">
        <v>178</v>
      </c>
      <c r="F106" s="19" t="n">
        <v>10.7</v>
      </c>
      <c r="G106" s="33" t="n">
        <f aca="false">F106*0.006477</f>
        <v>0.0693039</v>
      </c>
      <c r="H106" s="19" t="n">
        <f aca="false">F106*1.079436</f>
        <v>11.5499652</v>
      </c>
      <c r="I106" s="18" t="n">
        <f aca="false">MAX(1,ROUNDUP(G106/0.096,0))</f>
        <v>1</v>
      </c>
      <c r="J106" s="31" t="n">
        <v>46657</v>
      </c>
      <c r="K106" s="34" t="n">
        <f aca="false">J106-WEEKDAY(J106,2)+1</f>
        <v>46657</v>
      </c>
      <c r="L106" s="31" t="n">
        <f aca="false">J106</f>
        <v>46657</v>
      </c>
      <c r="M106" s="26" t="n">
        <f aca="false">INDEX(LR_Target,MATCH(B106,LR_Lane,0))</f>
        <v>2</v>
      </c>
      <c r="N106" s="31" t="n">
        <f aca="false">WORKDAY.INTL(L106,M106,INDEX(LR_Code,MATCH(B106,LR_Lane,0)),INDEX(DH_Table,0,MATCH(B106&amp;"*",DH_Head,0)))</f>
        <v>46659</v>
      </c>
      <c r="O106" s="35" t="n">
        <f aca="false">IF(W106&lt;&gt;"",W106,IF(U106="Helmond",IF(COUNTIFS(RC_Lane,B106,RC_Band,E106,RC_Transit,"&lt;&gt;")=0,"",SUMIFS(RC_Transit,RC_Lane,B106,RC_Band,E106)),IF(U106="Other","",IF(INDEX(RS_Transit,MATCH(B106,RS_Lane,0))="","",INDEX(RS_Transit,MATCH(B106,RS_Lane,0))))))</f>
        <v>1</v>
      </c>
      <c r="P106" s="36"/>
      <c r="Q106" s="31" t="n">
        <f aca="false">IF(P106&lt;&gt;"",P106,IF(O106="","",WORKDAY.INTL(L106,ROUNDUP(O106,0),INDEX(LR_Code,MATCH(B106,LR_Lane,0)),INDEX(DH_Table,0,MATCH(B106&amp;"*",DH_Head,0)))))</f>
        <v>46658</v>
      </c>
      <c r="R106" s="37" t="str">
        <f aca="false">IF(Q106="","",IF(Q106&lt;=N106,"Yes","No"))</f>
        <v>Yes</v>
      </c>
      <c r="S106" s="26" t="n">
        <f aca="false">IF(Q106="","",IF(Q106&lt;=N106,0,NETWORKDAYS.INTL(N106,Q106,INDEX(LR_Code,MATCH(B106,LR_Lane,0)),INDEX(DH_Table,0,MATCH(B106&amp;"*",DH_Head,0)))-1))</f>
        <v>0</v>
      </c>
      <c r="T106" s="4"/>
      <c r="U106" s="25" t="str">
        <f aca="false">IF(V106&lt;&gt;"",V106,IF(IFERROR(INDEX(RS_Flag,MATCH(B106,RS_Lane,0)),"")="Yes",IF(IFERROR(INDEX(RS_Loc,MATCH(B106,RS_Lane,0)),"")="","Regional stock",IFERROR(INDEX(RS_Loc,MATCH(B106,RS_Lane,0)),"")),"Helmond"))</f>
        <v>Helmond</v>
      </c>
      <c r="V106" s="17"/>
      <c r="W106" s="38"/>
      <c r="X106" s="39"/>
      <c r="Y106" s="40" t="n">
        <f aca="false">IF(X106&lt;&gt;"",X106,IF(U106="Helmond",IF(COUNTIFS(RC_Lane,B106,RC_Band,E106,RC_CostPS,"&gt;0")=0,"",SUMIFS(RC_CostPS,RC_Lane,B106,RC_Band,E106)),IF(U106="Other","",IF(INDEX(RS_Rate,MATCH(B106,RS_Lane,0))="","",INDEX(RS_Rate,MATCH(B106,RS_Lane,0))))))</f>
        <v>76.3</v>
      </c>
    </row>
    <row r="107" customFormat="false" ht="15" hidden="false" customHeight="false" outlineLevel="0" collapsed="false">
      <c r="A107" s="3" t="s">
        <v>374</v>
      </c>
      <c r="B107" s="25" t="s">
        <v>117</v>
      </c>
      <c r="C107" s="8" t="s">
        <v>118</v>
      </c>
      <c r="D107" s="8" t="s">
        <v>154</v>
      </c>
      <c r="E107" s="8" t="s">
        <v>180</v>
      </c>
      <c r="F107" s="19" t="n">
        <v>40.3</v>
      </c>
      <c r="G107" s="33" t="n">
        <f aca="false">F107*0.006477</f>
        <v>0.2610231</v>
      </c>
      <c r="H107" s="19" t="n">
        <f aca="false">F107*1.079436</f>
        <v>43.5012708</v>
      </c>
      <c r="I107" s="18" t="n">
        <f aca="false">MAX(1,ROUNDUP(G107/0.096,0))</f>
        <v>3</v>
      </c>
      <c r="J107" s="31" t="n">
        <v>46657</v>
      </c>
      <c r="K107" s="34" t="n">
        <f aca="false">J107-WEEKDAY(J107,2)+1</f>
        <v>46657</v>
      </c>
      <c r="L107" s="31" t="n">
        <f aca="false">J107</f>
        <v>46657</v>
      </c>
      <c r="M107" s="26" t="n">
        <f aca="false">INDEX(LR_Target,MATCH(B107,LR_Lane,0))</f>
        <v>2</v>
      </c>
      <c r="N107" s="31" t="n">
        <f aca="false">WORKDAY.INTL(L107,M107,INDEX(LR_Code,MATCH(B107,LR_Lane,0)),INDEX(DH_Table,0,MATCH(B107&amp;"*",DH_Head,0)))</f>
        <v>46659</v>
      </c>
      <c r="O107" s="35" t="n">
        <f aca="false">IF(W107&lt;&gt;"",W107,IF(U107="Helmond",IF(COUNTIFS(RC_Lane,B107,RC_Band,E107,RC_Transit,"&lt;&gt;")=0,"",SUMIFS(RC_Transit,RC_Lane,B107,RC_Band,E107)),IF(U107="Other","",IF(INDEX(RS_Transit,MATCH(B107,RS_Lane,0))="","",INDEX(RS_Transit,MATCH(B107,RS_Lane,0))))))</f>
        <v>2</v>
      </c>
      <c r="P107" s="36"/>
      <c r="Q107" s="31" t="n">
        <f aca="false">IF(P107&lt;&gt;"",P107,IF(O107="","",WORKDAY.INTL(L107,ROUNDUP(O107,0),INDEX(LR_Code,MATCH(B107,LR_Lane,0)),INDEX(DH_Table,0,MATCH(B107&amp;"*",DH_Head,0)))))</f>
        <v>46659</v>
      </c>
      <c r="R107" s="37" t="str">
        <f aca="false">IF(Q107="","",IF(Q107&lt;=N107,"Yes","No"))</f>
        <v>Yes</v>
      </c>
      <c r="S107" s="26" t="n">
        <f aca="false">IF(Q107="","",IF(Q107&lt;=N107,0,NETWORKDAYS.INTL(N107,Q107,INDEX(LR_Code,MATCH(B107,LR_Lane,0)),INDEX(DH_Table,0,MATCH(B107&amp;"*",DH_Head,0)))-1))</f>
        <v>0</v>
      </c>
      <c r="T107" s="4"/>
      <c r="U107" s="25" t="str">
        <f aca="false">IF(V107&lt;&gt;"",V107,IF(IFERROR(INDEX(RS_Flag,MATCH(B107,RS_Lane,0)),"")="Yes",IF(IFERROR(INDEX(RS_Loc,MATCH(B107,RS_Lane,0)),"")="","Regional stock",IFERROR(INDEX(RS_Loc,MATCH(B107,RS_Lane,0)),"")),"Helmond"))</f>
        <v>Helmond</v>
      </c>
      <c r="V107" s="17"/>
      <c r="W107" s="38"/>
      <c r="X107" s="39"/>
      <c r="Y107" s="40" t="n">
        <f aca="false">IF(X107&lt;&gt;"",X107,IF(U107="Helmond",IF(COUNTIFS(RC_Lane,B107,RC_Band,E107,RC_CostPS,"&gt;0")=0,"",SUMIFS(RC_CostPS,RC_Lane,B107,RC_Band,E107)),IF(U107="Other","",IF(INDEX(RS_Rate,MATCH(B107,RS_Lane,0))="","",INDEX(RS_Rate,MATCH(B107,RS_Lane,0))))))</f>
        <v>162.5344</v>
      </c>
    </row>
    <row r="108" customFormat="false" ht="15" hidden="false" customHeight="false" outlineLevel="0" collapsed="false">
      <c r="A108" s="3" t="s">
        <v>375</v>
      </c>
      <c r="B108" s="25" t="s">
        <v>108</v>
      </c>
      <c r="C108" s="8" t="s">
        <v>109</v>
      </c>
      <c r="D108" s="8" t="s">
        <v>270</v>
      </c>
      <c r="E108" s="8" t="s">
        <v>180</v>
      </c>
      <c r="F108" s="19" t="n">
        <v>37</v>
      </c>
      <c r="G108" s="33" t="n">
        <f aca="false">F108*0.006477</f>
        <v>0.239649</v>
      </c>
      <c r="H108" s="19" t="n">
        <f aca="false">F108*1.079436</f>
        <v>39.939132</v>
      </c>
      <c r="I108" s="18" t="n">
        <f aca="false">MAX(1,ROUNDUP(G108/0.096,0))</f>
        <v>3</v>
      </c>
      <c r="J108" s="31" t="n">
        <v>46658</v>
      </c>
      <c r="K108" s="34" t="n">
        <f aca="false">J108-WEEKDAY(J108,2)+1</f>
        <v>46657</v>
      </c>
      <c r="L108" s="31" t="n">
        <f aca="false">J108</f>
        <v>46658</v>
      </c>
      <c r="M108" s="26" t="n">
        <f aca="false">INDEX(LR_Target,MATCH(B108,LR_Lane,0))</f>
        <v>2</v>
      </c>
      <c r="N108" s="31" t="n">
        <f aca="false">WORKDAY.INTL(L108,M108,INDEX(LR_Code,MATCH(B108,LR_Lane,0)),INDEX(DH_Table,0,MATCH(B108&amp;"*",DH_Head,0)))</f>
        <v>46660</v>
      </c>
      <c r="O108" s="35" t="n">
        <f aca="false">IF(W108&lt;&gt;"",W108,IF(U108="Helmond",IF(COUNTIFS(RC_Lane,B108,RC_Band,E108,RC_Transit,"&lt;&gt;")=0,"",SUMIFS(RC_Transit,RC_Lane,B108,RC_Band,E108)),IF(U108="Other","",IF(INDEX(RS_Transit,MATCH(B108,RS_Lane,0))="","",INDEX(RS_Transit,MATCH(B108,RS_Lane,0))))))</f>
        <v>2</v>
      </c>
      <c r="P108" s="36"/>
      <c r="Q108" s="31" t="n">
        <f aca="false">IF(P108&lt;&gt;"",P108,IF(O108="","",WORKDAY.INTL(L108,ROUNDUP(O108,0),INDEX(LR_Code,MATCH(B108,LR_Lane,0)),INDEX(DH_Table,0,MATCH(B108&amp;"*",DH_Head,0)))))</f>
        <v>46660</v>
      </c>
      <c r="R108" s="37" t="str">
        <f aca="false">IF(Q108="","",IF(Q108&lt;=N108,"Yes","No"))</f>
        <v>Yes</v>
      </c>
      <c r="S108" s="26" t="n">
        <f aca="false">IF(Q108="","",IF(Q108&lt;=N108,0,NETWORKDAYS.INTL(N108,Q108,INDEX(LR_Code,MATCH(B108,LR_Lane,0)),INDEX(DH_Table,0,MATCH(B108&amp;"*",DH_Head,0)))-1))</f>
        <v>0</v>
      </c>
      <c r="T108" s="4"/>
      <c r="U108" s="25" t="str">
        <f aca="false">IF(V108&lt;&gt;"",V108,IF(IFERROR(INDEX(RS_Flag,MATCH(B108,RS_Lane,0)),"")="Yes",IF(IFERROR(INDEX(RS_Loc,MATCH(B108,RS_Lane,0)),"")="","Regional stock",IFERROR(INDEX(RS_Loc,MATCH(B108,RS_Lane,0)),"")),"Helmond"))</f>
        <v>Helmond</v>
      </c>
      <c r="V108" s="17"/>
      <c r="W108" s="38"/>
      <c r="X108" s="39"/>
      <c r="Y108" s="40" t="n">
        <f aca="false">IF(X108&lt;&gt;"",X108,IF(U108="Helmond",IF(COUNTIFS(RC_Lane,B108,RC_Band,E108,RC_CostPS,"&gt;0")=0,"",SUMIFS(RC_CostPS,RC_Lane,B108,RC_Band,E108)),IF(U108="Other","",IF(INDEX(RS_Rate,MATCH(B108,RS_Lane,0))="","",INDEX(RS_Rate,MATCH(B108,RS_Lane,0))))))</f>
        <v>299.9808</v>
      </c>
    </row>
    <row r="109" customFormat="false" ht="15" hidden="false" customHeight="false" outlineLevel="0" collapsed="false">
      <c r="A109" s="3" t="s">
        <v>376</v>
      </c>
      <c r="B109" s="25" t="s">
        <v>115</v>
      </c>
      <c r="C109" s="8" t="s">
        <v>116</v>
      </c>
      <c r="D109" s="8" t="s">
        <v>153</v>
      </c>
      <c r="E109" s="8" t="s">
        <v>182</v>
      </c>
      <c r="F109" s="19" t="n">
        <v>240.3</v>
      </c>
      <c r="G109" s="33" t="n">
        <f aca="false">F109*0.006477</f>
        <v>1.5564231</v>
      </c>
      <c r="H109" s="19" t="n">
        <f aca="false">F109*1.079436</f>
        <v>259.3884708</v>
      </c>
      <c r="I109" s="18" t="n">
        <f aca="false">MAX(1,ROUNDUP(G109/0.096,0))</f>
        <v>17</v>
      </c>
      <c r="J109" s="31" t="n">
        <v>46658</v>
      </c>
      <c r="K109" s="34" t="n">
        <f aca="false">J109-WEEKDAY(J109,2)+1</f>
        <v>46657</v>
      </c>
      <c r="L109" s="31" t="n">
        <f aca="false">J109</f>
        <v>46658</v>
      </c>
      <c r="M109" s="26" t="n">
        <f aca="false">INDEX(LR_Target,MATCH(B109,LR_Lane,0))</f>
        <v>2</v>
      </c>
      <c r="N109" s="31" t="n">
        <f aca="false">WORKDAY.INTL(L109,M109,INDEX(LR_Code,MATCH(B109,LR_Lane,0)),INDEX(DH_Table,0,MATCH(B109&amp;"*",DH_Head,0)))</f>
        <v>46660</v>
      </c>
      <c r="O109" s="35" t="n">
        <f aca="false">IF(W109&lt;&gt;"",W109,IF(U109="Helmond",IF(COUNTIFS(RC_Lane,B109,RC_Band,E109,RC_Transit,"&lt;&gt;")=0,"",SUMIFS(RC_Transit,RC_Lane,B109,RC_Band,E109)),IF(U109="Other","",IF(INDEX(RS_Transit,MATCH(B109,RS_Lane,0))="","",INDEX(RS_Transit,MATCH(B109,RS_Lane,0))))))</f>
        <v>3</v>
      </c>
      <c r="P109" s="36"/>
      <c r="Q109" s="31" t="n">
        <f aca="false">IF(P109&lt;&gt;"",P109,IF(O109="","",WORKDAY.INTL(L109,ROUNDUP(O109,0),INDEX(LR_Code,MATCH(B109,LR_Lane,0)),INDEX(DH_Table,0,MATCH(B109&amp;"*",DH_Head,0)))))</f>
        <v>46663</v>
      </c>
      <c r="R109" s="37" t="str">
        <f aca="false">IF(Q109="","",IF(Q109&lt;=N109,"Yes","No"))</f>
        <v>No</v>
      </c>
      <c r="S109" s="26" t="n">
        <f aca="false">IF(Q109="","",IF(Q109&lt;=N109,0,NETWORKDAYS.INTL(N109,Q109,INDEX(LR_Code,MATCH(B109,LR_Lane,0)),INDEX(DH_Table,0,MATCH(B109&amp;"*",DH_Head,0)))-1))</f>
        <v>1</v>
      </c>
      <c r="T109" s="4"/>
      <c r="U109" s="25" t="str">
        <f aca="false">IF(V109&lt;&gt;"",V109,IF(IFERROR(INDEX(RS_Flag,MATCH(B109,RS_Lane,0)),"")="Yes",IF(IFERROR(INDEX(RS_Loc,MATCH(B109,RS_Lane,0)),"")="","Regional stock",IFERROR(INDEX(RS_Loc,MATCH(B109,RS_Lane,0)),"")),"Helmond"))</f>
        <v>Helmond</v>
      </c>
      <c r="V109" s="17"/>
      <c r="W109" s="38"/>
      <c r="X109" s="39"/>
      <c r="Y109" s="40" t="n">
        <f aca="false">IF(X109&lt;&gt;"",X109,IF(U109="Helmond",IF(COUNTIFS(RC_Lane,B109,RC_Band,E109,RC_CostPS,"&gt;0")=0,"",SUMIFS(RC_CostPS,RC_Lane,B109,RC_Band,E109)),IF(U109="Other","",IF(INDEX(RS_Rate,MATCH(B109,RS_Lane,0))="","",INDEX(RS_Rate,MATCH(B109,RS_Lane,0))))))</f>
        <v>1338.1094</v>
      </c>
    </row>
    <row r="110" customFormat="false" ht="15" hidden="false" customHeight="false" outlineLevel="0" collapsed="false">
      <c r="A110" s="3" t="s">
        <v>377</v>
      </c>
      <c r="B110" s="25" t="s">
        <v>121</v>
      </c>
      <c r="C110" s="8" t="s">
        <v>122</v>
      </c>
      <c r="D110" s="8" t="s">
        <v>278</v>
      </c>
      <c r="E110" s="8" t="s">
        <v>180</v>
      </c>
      <c r="F110" s="19" t="n">
        <v>52</v>
      </c>
      <c r="G110" s="33" t="n">
        <f aca="false">F110*0.006477</f>
        <v>0.336804</v>
      </c>
      <c r="H110" s="19" t="n">
        <f aca="false">F110*1.079436</f>
        <v>56.130672</v>
      </c>
      <c r="I110" s="18" t="n">
        <f aca="false">MAX(1,ROUNDUP(G110/0.096,0))</f>
        <v>4</v>
      </c>
      <c r="J110" s="31" t="n">
        <v>46659</v>
      </c>
      <c r="K110" s="34" t="n">
        <f aca="false">J110-WEEKDAY(J110,2)+1</f>
        <v>46657</v>
      </c>
      <c r="L110" s="31" t="n">
        <f aca="false">J110</f>
        <v>46659</v>
      </c>
      <c r="M110" s="26" t="n">
        <f aca="false">INDEX(LR_Target,MATCH(B110,LR_Lane,0))</f>
        <v>3</v>
      </c>
      <c r="N110" s="31" t="n">
        <f aca="false">WORKDAY.INTL(L110,M110,INDEX(LR_Code,MATCH(B110,LR_Lane,0)),INDEX(DH_Table,0,MATCH(B110&amp;"*",DH_Head,0)))</f>
        <v>46664</v>
      </c>
      <c r="O110" s="35" t="n">
        <f aca="false">IF(W110&lt;&gt;"",W110,IF(U110="Helmond",IF(COUNTIFS(RC_Lane,B110,RC_Band,E110,RC_Transit,"&lt;&gt;")=0,"",SUMIFS(RC_Transit,RC_Lane,B110,RC_Band,E110)),IF(U110="Other","",IF(INDEX(RS_Transit,MATCH(B110,RS_Lane,0))="","",INDEX(RS_Transit,MATCH(B110,RS_Lane,0))))))</f>
        <v>2</v>
      </c>
      <c r="P110" s="36"/>
      <c r="Q110" s="31" t="n">
        <f aca="false">IF(P110&lt;&gt;"",P110,IF(O110="","",WORKDAY.INTL(L110,ROUNDUP(O110,0),INDEX(LR_Code,MATCH(B110,LR_Lane,0)),INDEX(DH_Table,0,MATCH(B110&amp;"*",DH_Head,0)))))</f>
        <v>46661</v>
      </c>
      <c r="R110" s="37" t="str">
        <f aca="false">IF(Q110="","",IF(Q110&lt;=N110,"Yes","No"))</f>
        <v>Yes</v>
      </c>
      <c r="S110" s="26" t="n">
        <f aca="false">IF(Q110="","",IF(Q110&lt;=N110,0,NETWORKDAYS.INTL(N110,Q110,INDEX(LR_Code,MATCH(B110,LR_Lane,0)),INDEX(DH_Table,0,MATCH(B110&amp;"*",DH_Head,0)))-1))</f>
        <v>0</v>
      </c>
      <c r="T110" s="4"/>
      <c r="U110" s="25" t="str">
        <f aca="false">IF(V110&lt;&gt;"",V110,IF(IFERROR(INDEX(RS_Flag,MATCH(B110,RS_Lane,0)),"")="Yes",IF(IFERROR(INDEX(RS_Loc,MATCH(B110,RS_Lane,0)),"")="","Regional stock",IFERROR(INDEX(RS_Loc,MATCH(B110,RS_Lane,0)),"")),"Helmond"))</f>
        <v>Helmond</v>
      </c>
      <c r="V110" s="17"/>
      <c r="W110" s="38"/>
      <c r="X110" s="39"/>
      <c r="Y110" s="40" t="n">
        <f aca="false">IF(X110&lt;&gt;"",X110,IF(U110="Helmond",IF(COUNTIFS(RC_Lane,B110,RC_Band,E110,RC_CostPS,"&gt;0")=0,"",SUMIFS(RC_CostPS,RC_Lane,B110,RC_Band,E110)),IF(U110="Other","",IF(INDEX(RS_Rate,MATCH(B110,RS_Lane,0))="","",INDEX(RS_Rate,MATCH(B110,RS_Lane,0))))))</f>
        <v>292.0512</v>
      </c>
    </row>
    <row r="111" customFormat="false" ht="15" hidden="false" customHeight="false" outlineLevel="0" collapsed="false">
      <c r="A111" s="3" t="s">
        <v>378</v>
      </c>
      <c r="B111" s="25" t="s">
        <v>112</v>
      </c>
      <c r="C111" s="8" t="s">
        <v>113</v>
      </c>
      <c r="D111" s="8" t="s">
        <v>152</v>
      </c>
      <c r="E111" s="8" t="s">
        <v>178</v>
      </c>
      <c r="F111" s="19" t="n">
        <v>12.1</v>
      </c>
      <c r="G111" s="33" t="n">
        <f aca="false">F111*0.006477</f>
        <v>0.0783717</v>
      </c>
      <c r="H111" s="19" t="n">
        <f aca="false">F111*1.079436</f>
        <v>13.0611756</v>
      </c>
      <c r="I111" s="18" t="n">
        <f aca="false">MAX(1,ROUNDUP(G111/0.096,0))</f>
        <v>1</v>
      </c>
      <c r="J111" s="31" t="n">
        <v>46661</v>
      </c>
      <c r="K111" s="34" t="n">
        <f aca="false">J111-WEEKDAY(J111,2)+1</f>
        <v>46657</v>
      </c>
      <c r="L111" s="31" t="n">
        <f aca="false">J111</f>
        <v>46661</v>
      </c>
      <c r="M111" s="26" t="n">
        <f aca="false">INDEX(LR_Target,MATCH(B111,LR_Lane,0))</f>
        <v>2</v>
      </c>
      <c r="N111" s="31" t="n">
        <f aca="false">WORKDAY.INTL(L111,M111,INDEX(LR_Code,MATCH(B111,LR_Lane,0)),INDEX(DH_Table,0,MATCH(B111&amp;"*",DH_Head,0)))</f>
        <v>46665</v>
      </c>
      <c r="O111" s="35" t="n">
        <f aca="false">IF(W111&lt;&gt;"",W111,IF(U111="Helmond",IF(COUNTIFS(RC_Lane,B111,RC_Band,E111,RC_Transit,"&lt;&gt;")=0,"",SUMIFS(RC_Transit,RC_Lane,B111,RC_Band,E111)),IF(U111="Other","",IF(INDEX(RS_Transit,MATCH(B111,RS_Lane,0))="","",INDEX(RS_Transit,MATCH(B111,RS_Lane,0))))))</f>
        <v>1</v>
      </c>
      <c r="P111" s="36"/>
      <c r="Q111" s="31" t="n">
        <f aca="false">IF(P111&lt;&gt;"",P111,IF(O111="","",WORKDAY.INTL(L111,ROUNDUP(O111,0),INDEX(LR_Code,MATCH(B111,LR_Lane,0)),INDEX(DH_Table,0,MATCH(B111&amp;"*",DH_Head,0)))))</f>
        <v>46664</v>
      </c>
      <c r="R111" s="37" t="str">
        <f aca="false">IF(Q111="","",IF(Q111&lt;=N111,"Yes","No"))</f>
        <v>Yes</v>
      </c>
      <c r="S111" s="26" t="n">
        <f aca="false">IF(Q111="","",IF(Q111&lt;=N111,0,NETWORKDAYS.INTL(N111,Q111,INDEX(LR_Code,MATCH(B111,LR_Lane,0)),INDEX(DH_Table,0,MATCH(B111&amp;"*",DH_Head,0)))-1))</f>
        <v>0</v>
      </c>
      <c r="T111" s="4"/>
      <c r="U111" s="25" t="str">
        <f aca="false">IF(V111&lt;&gt;"",V111,IF(IFERROR(INDEX(RS_Flag,MATCH(B111,RS_Lane,0)),"")="Yes",IF(IFERROR(INDEX(RS_Loc,MATCH(B111,RS_Lane,0)),"")="","Regional stock",IFERROR(INDEX(RS_Loc,MATCH(B111,RS_Lane,0)),"")),"Helmond"))</f>
        <v>Helmond</v>
      </c>
      <c r="V111" s="17"/>
      <c r="W111" s="38"/>
      <c r="X111" s="39"/>
      <c r="Y111" s="40" t="n">
        <f aca="false">IF(X111&lt;&gt;"",X111,IF(U111="Helmond",IF(COUNTIFS(RC_Lane,B111,RC_Band,E111,RC_CostPS,"&gt;0")=0,"",SUMIFS(RC_CostPS,RC_Lane,B111,RC_Band,E111)),IF(U111="Other","",IF(INDEX(RS_Rate,MATCH(B111,RS_Lane,0))="","",INDEX(RS_Rate,MATCH(B111,RS_Lane,0))))))</f>
        <v>76.3</v>
      </c>
    </row>
    <row r="112" customFormat="false" ht="15" hidden="false" customHeight="false" outlineLevel="0" collapsed="false">
      <c r="A112" s="3" t="s">
        <v>379</v>
      </c>
      <c r="B112" s="25" t="s">
        <v>108</v>
      </c>
      <c r="C112" s="8" t="s">
        <v>109</v>
      </c>
      <c r="D112" s="8" t="s">
        <v>272</v>
      </c>
      <c r="E112" s="8" t="s">
        <v>182</v>
      </c>
      <c r="F112" s="19" t="n">
        <v>346.3</v>
      </c>
      <c r="G112" s="33" t="n">
        <f aca="false">F112*0.006477</f>
        <v>2.2429851</v>
      </c>
      <c r="H112" s="19" t="n">
        <f aca="false">F112*1.079436</f>
        <v>373.8086868</v>
      </c>
      <c r="I112" s="18" t="n">
        <f aca="false">MAX(1,ROUNDUP(G112/0.096,0))</f>
        <v>24</v>
      </c>
      <c r="J112" s="31" t="n">
        <v>46664</v>
      </c>
      <c r="K112" s="34" t="n">
        <f aca="false">J112-WEEKDAY(J112,2)+1</f>
        <v>46664</v>
      </c>
      <c r="L112" s="31" t="n">
        <f aca="false">J112</f>
        <v>46664</v>
      </c>
      <c r="M112" s="26" t="n">
        <f aca="false">INDEX(LR_Target,MATCH(B112,LR_Lane,0))</f>
        <v>2</v>
      </c>
      <c r="N112" s="31" t="n">
        <f aca="false">WORKDAY.INTL(L112,M112,INDEX(LR_Code,MATCH(B112,LR_Lane,0)),INDEX(DH_Table,0,MATCH(B112&amp;"*",DH_Head,0)))</f>
        <v>46666</v>
      </c>
      <c r="O112" s="35" t="n">
        <f aca="false">IF(W112&lt;&gt;"",W112,IF(U112="Helmond",IF(COUNTIFS(RC_Lane,B112,RC_Band,E112,RC_Transit,"&lt;&gt;")=0,"",SUMIFS(RC_Transit,RC_Lane,B112,RC_Band,E112)),IF(U112="Other","",IF(INDEX(RS_Transit,MATCH(B112,RS_Lane,0))="","",INDEX(RS_Transit,MATCH(B112,RS_Lane,0))))))</f>
        <v>3</v>
      </c>
      <c r="P112" s="36"/>
      <c r="Q112" s="31" t="n">
        <f aca="false">IF(P112&lt;&gt;"",P112,IF(O112="","",WORKDAY.INTL(L112,ROUNDUP(O112,0),INDEX(LR_Code,MATCH(B112,LR_Lane,0)),INDEX(DH_Table,0,MATCH(B112&amp;"*",DH_Head,0)))))</f>
        <v>46667</v>
      </c>
      <c r="R112" s="37" t="str">
        <f aca="false">IF(Q112="","",IF(Q112&lt;=N112,"Yes","No"))</f>
        <v>No</v>
      </c>
      <c r="S112" s="26" t="n">
        <f aca="false">IF(Q112="","",IF(Q112&lt;=N112,0,NETWORKDAYS.INTL(N112,Q112,INDEX(LR_Code,MATCH(B112,LR_Lane,0)),INDEX(DH_Table,0,MATCH(B112&amp;"*",DH_Head,0)))-1))</f>
        <v>1</v>
      </c>
      <c r="T112" s="4"/>
      <c r="U112" s="25" t="str">
        <f aca="false">IF(V112&lt;&gt;"",V112,IF(IFERROR(INDEX(RS_Flag,MATCH(B112,RS_Lane,0)),"")="Yes",IF(IFERROR(INDEX(RS_Loc,MATCH(B112,RS_Lane,0)),"")="","Regional stock",IFERROR(INDEX(RS_Loc,MATCH(B112,RS_Lane,0)),"")),"Helmond"))</f>
        <v>Helmond</v>
      </c>
      <c r="V112" s="17"/>
      <c r="W112" s="38"/>
      <c r="X112" s="39"/>
      <c r="Y112" s="40" t="n">
        <f aca="false">IF(X112&lt;&gt;"",X112,IF(U112="Helmond",IF(COUNTIFS(RC_Lane,B112,RC_Band,E112,RC_CostPS,"&gt;0")=0,"",SUMIFS(RC_CostPS,RC_Lane,B112,RC_Band,E112)),IF(U112="Other","",IF(INDEX(RS_Rate,MATCH(B112,RS_Lane,0))="","",INDEX(RS_Rate,MATCH(B112,RS_Lane,0))))))</f>
        <v>1062.898</v>
      </c>
    </row>
    <row r="113" customFormat="false" ht="15" hidden="false" customHeight="false" outlineLevel="0" collapsed="false">
      <c r="A113" s="3" t="s">
        <v>380</v>
      </c>
      <c r="B113" s="25" t="s">
        <v>108</v>
      </c>
      <c r="C113" s="8" t="s">
        <v>109</v>
      </c>
      <c r="D113" s="8" t="s">
        <v>272</v>
      </c>
      <c r="E113" s="8" t="s">
        <v>178</v>
      </c>
      <c r="F113" s="19" t="n">
        <v>6.3</v>
      </c>
      <c r="G113" s="33" t="n">
        <f aca="false">F113*0.006477</f>
        <v>0.0408051</v>
      </c>
      <c r="H113" s="19" t="n">
        <f aca="false">F113*1.079436</f>
        <v>6.8004468</v>
      </c>
      <c r="I113" s="18" t="n">
        <f aca="false">MAX(1,ROUNDUP(G113/0.096,0))</f>
        <v>1</v>
      </c>
      <c r="J113" s="31" t="n">
        <v>46664</v>
      </c>
      <c r="K113" s="34" t="n">
        <f aca="false">J113-WEEKDAY(J113,2)+1</f>
        <v>46664</v>
      </c>
      <c r="L113" s="31" t="n">
        <f aca="false">J113</f>
        <v>46664</v>
      </c>
      <c r="M113" s="26" t="n">
        <f aca="false">INDEX(LR_Target,MATCH(B113,LR_Lane,0))</f>
        <v>2</v>
      </c>
      <c r="N113" s="31" t="n">
        <f aca="false">WORKDAY.INTL(L113,M113,INDEX(LR_Code,MATCH(B113,LR_Lane,0)),INDEX(DH_Table,0,MATCH(B113&amp;"*",DH_Head,0)))</f>
        <v>46666</v>
      </c>
      <c r="O113" s="35" t="n">
        <f aca="false">IF(W113&lt;&gt;"",W113,IF(U113="Helmond",IF(COUNTIFS(RC_Lane,B113,RC_Band,E113,RC_Transit,"&lt;&gt;")=0,"",SUMIFS(RC_Transit,RC_Lane,B113,RC_Band,E113)),IF(U113="Other","",IF(INDEX(RS_Transit,MATCH(B113,RS_Lane,0))="","",INDEX(RS_Transit,MATCH(B113,RS_Lane,0))))))</f>
        <v>1</v>
      </c>
      <c r="P113" s="36"/>
      <c r="Q113" s="31" t="n">
        <f aca="false">IF(P113&lt;&gt;"",P113,IF(O113="","",WORKDAY.INTL(L113,ROUNDUP(O113,0),INDEX(LR_Code,MATCH(B113,LR_Lane,0)),INDEX(DH_Table,0,MATCH(B113&amp;"*",DH_Head,0)))))</f>
        <v>46665</v>
      </c>
      <c r="R113" s="37" t="str">
        <f aca="false">IF(Q113="","",IF(Q113&lt;=N113,"Yes","No"))</f>
        <v>Yes</v>
      </c>
      <c r="S113" s="26" t="n">
        <f aca="false">IF(Q113="","",IF(Q113&lt;=N113,0,NETWORKDAYS.INTL(N113,Q113,INDEX(LR_Code,MATCH(B113,LR_Lane,0)),INDEX(DH_Table,0,MATCH(B113&amp;"*",DH_Head,0)))-1))</f>
        <v>0</v>
      </c>
      <c r="T113" s="4"/>
      <c r="U113" s="25" t="str">
        <f aca="false">IF(V113&lt;&gt;"",V113,IF(IFERROR(INDEX(RS_Flag,MATCH(B113,RS_Lane,0)),"")="Yes",IF(IFERROR(INDEX(RS_Loc,MATCH(B113,RS_Lane,0)),"")="","Regional stock",IFERROR(INDEX(RS_Loc,MATCH(B113,RS_Lane,0)),"")),"Helmond"))</f>
        <v>Helmond</v>
      </c>
      <c r="V113" s="17"/>
      <c r="W113" s="38"/>
      <c r="X113" s="39"/>
      <c r="Y113" s="40" t="n">
        <f aca="false">IF(X113&lt;&gt;"",X113,IF(U113="Helmond",IF(COUNTIFS(RC_Lane,B113,RC_Band,E113,RC_CostPS,"&gt;0")=0,"",SUMIFS(RC_CostPS,RC_Lane,B113,RC_Band,E113)),IF(U113="Other","",IF(INDEX(RS_Rate,MATCH(B113,RS_Lane,0))="","",INDEX(RS_Rate,MATCH(B113,RS_Lane,0))))))</f>
        <v>76.3</v>
      </c>
    </row>
    <row r="114" customFormat="false" ht="15" hidden="false" customHeight="false" outlineLevel="0" collapsed="false">
      <c r="A114" s="3" t="s">
        <v>381</v>
      </c>
      <c r="B114" s="25" t="s">
        <v>108</v>
      </c>
      <c r="C114" s="8" t="s">
        <v>109</v>
      </c>
      <c r="D114" s="8" t="s">
        <v>272</v>
      </c>
      <c r="E114" s="8" t="s">
        <v>178</v>
      </c>
      <c r="F114" s="19" t="n">
        <v>4.6</v>
      </c>
      <c r="G114" s="33" t="n">
        <f aca="false">F114*0.006477</f>
        <v>0.0297942</v>
      </c>
      <c r="H114" s="19" t="n">
        <f aca="false">F114*1.079436</f>
        <v>4.9654056</v>
      </c>
      <c r="I114" s="18" t="n">
        <f aca="false">MAX(1,ROUNDUP(G114/0.096,0))</f>
        <v>1</v>
      </c>
      <c r="J114" s="31" t="n">
        <v>46668</v>
      </c>
      <c r="K114" s="34" t="n">
        <f aca="false">J114-WEEKDAY(J114,2)+1</f>
        <v>46664</v>
      </c>
      <c r="L114" s="31" t="n">
        <f aca="false">J114</f>
        <v>46668</v>
      </c>
      <c r="M114" s="26" t="n">
        <f aca="false">INDEX(LR_Target,MATCH(B114,LR_Lane,0))</f>
        <v>2</v>
      </c>
      <c r="N114" s="31" t="n">
        <f aca="false">WORKDAY.INTL(L114,M114,INDEX(LR_Code,MATCH(B114,LR_Lane,0)),INDEX(DH_Table,0,MATCH(B114&amp;"*",DH_Head,0)))</f>
        <v>46671</v>
      </c>
      <c r="O114" s="35" t="n">
        <f aca="false">IF(W114&lt;&gt;"",W114,IF(U114="Helmond",IF(COUNTIFS(RC_Lane,B114,RC_Band,E114,RC_Transit,"&lt;&gt;")=0,"",SUMIFS(RC_Transit,RC_Lane,B114,RC_Band,E114)),IF(U114="Other","",IF(INDEX(RS_Transit,MATCH(B114,RS_Lane,0))="","",INDEX(RS_Transit,MATCH(B114,RS_Lane,0))))))</f>
        <v>1</v>
      </c>
      <c r="P114" s="36"/>
      <c r="Q114" s="31" t="n">
        <f aca="false">IF(P114&lt;&gt;"",P114,IF(O114="","",WORKDAY.INTL(L114,ROUNDUP(O114,0),INDEX(LR_Code,MATCH(B114,LR_Lane,0)),INDEX(DH_Table,0,MATCH(B114&amp;"*",DH_Head,0)))))</f>
        <v>46670</v>
      </c>
      <c r="R114" s="37" t="str">
        <f aca="false">IF(Q114="","",IF(Q114&lt;=N114,"Yes","No"))</f>
        <v>Yes</v>
      </c>
      <c r="S114" s="26" t="n">
        <f aca="false">IF(Q114="","",IF(Q114&lt;=N114,0,NETWORKDAYS.INTL(N114,Q114,INDEX(LR_Code,MATCH(B114,LR_Lane,0)),INDEX(DH_Table,0,MATCH(B114&amp;"*",DH_Head,0)))-1))</f>
        <v>0</v>
      </c>
      <c r="T114" s="4"/>
      <c r="U114" s="25" t="str">
        <f aca="false">IF(V114&lt;&gt;"",V114,IF(IFERROR(INDEX(RS_Flag,MATCH(B114,RS_Lane,0)),"")="Yes",IF(IFERROR(INDEX(RS_Loc,MATCH(B114,RS_Lane,0)),"")="","Regional stock",IFERROR(INDEX(RS_Loc,MATCH(B114,RS_Lane,0)),"")),"Helmond"))</f>
        <v>Helmond</v>
      </c>
      <c r="V114" s="17"/>
      <c r="W114" s="38"/>
      <c r="X114" s="39"/>
      <c r="Y114" s="40" t="n">
        <f aca="false">IF(X114&lt;&gt;"",X114,IF(U114="Helmond",IF(COUNTIFS(RC_Lane,B114,RC_Band,E114,RC_CostPS,"&gt;0")=0,"",SUMIFS(RC_CostPS,RC_Lane,B114,RC_Band,E114)),IF(U114="Other","",IF(INDEX(RS_Rate,MATCH(B114,RS_Lane,0))="","",INDEX(RS_Rate,MATCH(B114,RS_Lane,0))))))</f>
        <v>76.3</v>
      </c>
    </row>
    <row r="115" customFormat="false" ht="15" hidden="false" customHeight="false" outlineLevel="0" collapsed="false">
      <c r="A115" s="3" t="s">
        <v>382</v>
      </c>
      <c r="B115" s="25" t="s">
        <v>115</v>
      </c>
      <c r="C115" s="8" t="s">
        <v>116</v>
      </c>
      <c r="D115" s="8" t="s">
        <v>153</v>
      </c>
      <c r="E115" s="8" t="s">
        <v>182</v>
      </c>
      <c r="F115" s="19" t="n">
        <v>248</v>
      </c>
      <c r="G115" s="33" t="n">
        <f aca="false">F115*0.006477</f>
        <v>1.606296</v>
      </c>
      <c r="H115" s="19" t="n">
        <f aca="false">F115*1.079436</f>
        <v>267.700128</v>
      </c>
      <c r="I115" s="18" t="n">
        <f aca="false">MAX(1,ROUNDUP(G115/0.096,0))</f>
        <v>17</v>
      </c>
      <c r="J115" s="31" t="n">
        <v>46674</v>
      </c>
      <c r="K115" s="34" t="n">
        <f aca="false">J115-WEEKDAY(J115,2)+1</f>
        <v>46671</v>
      </c>
      <c r="L115" s="31" t="n">
        <f aca="false">J115</f>
        <v>46674</v>
      </c>
      <c r="M115" s="26" t="n">
        <f aca="false">INDEX(LR_Target,MATCH(B115,LR_Lane,0))</f>
        <v>2</v>
      </c>
      <c r="N115" s="31" t="n">
        <f aca="false">WORKDAY.INTL(L115,M115,INDEX(LR_Code,MATCH(B115,LR_Lane,0)),INDEX(DH_Table,0,MATCH(B115&amp;"*",DH_Head,0)))</f>
        <v>46678</v>
      </c>
      <c r="O115" s="35" t="n">
        <f aca="false">IF(W115&lt;&gt;"",W115,IF(U115="Helmond",IF(COUNTIFS(RC_Lane,B115,RC_Band,E115,RC_Transit,"&lt;&gt;")=0,"",SUMIFS(RC_Transit,RC_Lane,B115,RC_Band,E115)),IF(U115="Other","",IF(INDEX(RS_Transit,MATCH(B115,RS_Lane,0))="","",INDEX(RS_Transit,MATCH(B115,RS_Lane,0))))))</f>
        <v>3</v>
      </c>
      <c r="P115" s="36"/>
      <c r="Q115" s="31" t="n">
        <f aca="false">IF(P115&lt;&gt;"",P115,IF(O115="","",WORKDAY.INTL(L115,ROUNDUP(O115,0),INDEX(LR_Code,MATCH(B115,LR_Lane,0)),INDEX(DH_Table,0,MATCH(B115&amp;"*",DH_Head,0)))))</f>
        <v>46679</v>
      </c>
      <c r="R115" s="37" t="str">
        <f aca="false">IF(Q115="","",IF(Q115&lt;=N115,"Yes","No"))</f>
        <v>No</v>
      </c>
      <c r="S115" s="26" t="n">
        <f aca="false">IF(Q115="","",IF(Q115&lt;=N115,0,NETWORKDAYS.INTL(N115,Q115,INDEX(LR_Code,MATCH(B115,LR_Lane,0)),INDEX(DH_Table,0,MATCH(B115&amp;"*",DH_Head,0)))-1))</f>
        <v>1</v>
      </c>
      <c r="T115" s="4"/>
      <c r="U115" s="25" t="str">
        <f aca="false">IF(V115&lt;&gt;"",V115,IF(IFERROR(INDEX(RS_Flag,MATCH(B115,RS_Lane,0)),"")="Yes",IF(IFERROR(INDEX(RS_Loc,MATCH(B115,RS_Lane,0)),"")="","Regional stock",IFERROR(INDEX(RS_Loc,MATCH(B115,RS_Lane,0)),"")),"Helmond"))</f>
        <v>Helmond</v>
      </c>
      <c r="V115" s="17"/>
      <c r="W115" s="38"/>
      <c r="X115" s="39"/>
      <c r="Y115" s="40" t="n">
        <f aca="false">IF(X115&lt;&gt;"",X115,IF(U115="Helmond",IF(COUNTIFS(RC_Lane,B115,RC_Band,E115,RC_CostPS,"&gt;0")=0,"",SUMIFS(RC_CostPS,RC_Lane,B115,RC_Band,E115)),IF(U115="Other","",IF(INDEX(RS_Rate,MATCH(B115,RS_Lane,0))="","",INDEX(RS_Rate,MATCH(B115,RS_Lane,0))))))</f>
        <v>1338.1094</v>
      </c>
    </row>
    <row r="116" customFormat="false" ht="15" hidden="false" customHeight="false" outlineLevel="0" collapsed="false">
      <c r="A116" s="3" t="s">
        <v>383</v>
      </c>
      <c r="B116" s="25" t="s">
        <v>117</v>
      </c>
      <c r="C116" s="8" t="s">
        <v>118</v>
      </c>
      <c r="D116" s="8" t="s">
        <v>154</v>
      </c>
      <c r="E116" s="8" t="s">
        <v>178</v>
      </c>
      <c r="F116" s="19" t="n">
        <v>12.9</v>
      </c>
      <c r="G116" s="33" t="n">
        <f aca="false">F116*0.006477</f>
        <v>0.0835533</v>
      </c>
      <c r="H116" s="19" t="n">
        <f aca="false">F116*1.079436</f>
        <v>13.9247244</v>
      </c>
      <c r="I116" s="18" t="n">
        <f aca="false">MAX(1,ROUNDUP(G116/0.096,0))</f>
        <v>1</v>
      </c>
      <c r="J116" s="31" t="n">
        <v>46674</v>
      </c>
      <c r="K116" s="34" t="n">
        <f aca="false">J116-WEEKDAY(J116,2)+1</f>
        <v>46671</v>
      </c>
      <c r="L116" s="31" t="n">
        <f aca="false">J116</f>
        <v>46674</v>
      </c>
      <c r="M116" s="26" t="n">
        <f aca="false">INDEX(LR_Target,MATCH(B116,LR_Lane,0))</f>
        <v>2</v>
      </c>
      <c r="N116" s="31" t="n">
        <f aca="false">WORKDAY.INTL(L116,M116,INDEX(LR_Code,MATCH(B116,LR_Lane,0)),INDEX(DH_Table,0,MATCH(B116&amp;"*",DH_Head,0)))</f>
        <v>46678</v>
      </c>
      <c r="O116" s="35" t="n">
        <f aca="false">IF(W116&lt;&gt;"",W116,IF(U116="Helmond",IF(COUNTIFS(RC_Lane,B116,RC_Band,E116,RC_Transit,"&lt;&gt;")=0,"",SUMIFS(RC_Transit,RC_Lane,B116,RC_Band,E116)),IF(U116="Other","",IF(INDEX(RS_Transit,MATCH(B116,RS_Lane,0))="","",INDEX(RS_Transit,MATCH(B116,RS_Lane,0))))))</f>
        <v>1</v>
      </c>
      <c r="P116" s="36"/>
      <c r="Q116" s="31" t="n">
        <f aca="false">IF(P116&lt;&gt;"",P116,IF(O116="","",WORKDAY.INTL(L116,ROUNDUP(O116,0),INDEX(LR_Code,MATCH(B116,LR_Lane,0)),INDEX(DH_Table,0,MATCH(B116&amp;"*",DH_Head,0)))))</f>
        <v>46677</v>
      </c>
      <c r="R116" s="37" t="str">
        <f aca="false">IF(Q116="","",IF(Q116&lt;=N116,"Yes","No"))</f>
        <v>Yes</v>
      </c>
      <c r="S116" s="26" t="n">
        <f aca="false">IF(Q116="","",IF(Q116&lt;=N116,0,NETWORKDAYS.INTL(N116,Q116,INDEX(LR_Code,MATCH(B116,LR_Lane,0)),INDEX(DH_Table,0,MATCH(B116&amp;"*",DH_Head,0)))-1))</f>
        <v>0</v>
      </c>
      <c r="T116" s="4"/>
      <c r="U116" s="25" t="str">
        <f aca="false">IF(V116&lt;&gt;"",V116,IF(IFERROR(INDEX(RS_Flag,MATCH(B116,RS_Lane,0)),"")="Yes",IF(IFERROR(INDEX(RS_Loc,MATCH(B116,RS_Lane,0)),"")="","Regional stock",IFERROR(INDEX(RS_Loc,MATCH(B116,RS_Lane,0)),"")),"Helmond"))</f>
        <v>Helmond</v>
      </c>
      <c r="V116" s="17"/>
      <c r="W116" s="38"/>
      <c r="X116" s="39"/>
      <c r="Y116" s="40" t="n">
        <f aca="false">IF(X116&lt;&gt;"",X116,IF(U116="Helmond",IF(COUNTIFS(RC_Lane,B116,RC_Band,E116,RC_CostPS,"&gt;0")=0,"",SUMIFS(RC_CostPS,RC_Lane,B116,RC_Band,E116)),IF(U116="Other","",IF(INDEX(RS_Rate,MATCH(B116,RS_Lane,0))="","",INDEX(RS_Rate,MATCH(B116,RS_Lane,0))))))</f>
        <v>76.3</v>
      </c>
    </row>
    <row r="117" customFormat="false" ht="15" hidden="false" customHeight="false" outlineLevel="0" collapsed="false">
      <c r="A117" s="3" t="s">
        <v>384</v>
      </c>
      <c r="B117" s="25" t="s">
        <v>108</v>
      </c>
      <c r="C117" s="8" t="s">
        <v>109</v>
      </c>
      <c r="D117" s="8" t="s">
        <v>270</v>
      </c>
      <c r="E117" s="8" t="s">
        <v>178</v>
      </c>
      <c r="F117" s="19" t="n">
        <v>2.6</v>
      </c>
      <c r="G117" s="33" t="n">
        <f aca="false">F117*0.006477</f>
        <v>0.0168402</v>
      </c>
      <c r="H117" s="19" t="n">
        <f aca="false">F117*1.079436</f>
        <v>2.8065336</v>
      </c>
      <c r="I117" s="18" t="n">
        <f aca="false">MAX(1,ROUNDUP(G117/0.096,0))</f>
        <v>1</v>
      </c>
      <c r="J117" s="31" t="n">
        <v>46679</v>
      </c>
      <c r="K117" s="34" t="n">
        <f aca="false">J117-WEEKDAY(J117,2)+1</f>
        <v>46678</v>
      </c>
      <c r="L117" s="31" t="n">
        <f aca="false">J117</f>
        <v>46679</v>
      </c>
      <c r="M117" s="26" t="n">
        <f aca="false">INDEX(LR_Target,MATCH(B117,LR_Lane,0))</f>
        <v>2</v>
      </c>
      <c r="N117" s="31" t="n">
        <f aca="false">WORKDAY.INTL(L117,M117,INDEX(LR_Code,MATCH(B117,LR_Lane,0)),INDEX(DH_Table,0,MATCH(B117&amp;"*",DH_Head,0)))</f>
        <v>46681</v>
      </c>
      <c r="O117" s="35" t="n">
        <f aca="false">IF(W117&lt;&gt;"",W117,IF(U117="Helmond",IF(COUNTIFS(RC_Lane,B117,RC_Band,E117,RC_Transit,"&lt;&gt;")=0,"",SUMIFS(RC_Transit,RC_Lane,B117,RC_Band,E117)),IF(U117="Other","",IF(INDEX(RS_Transit,MATCH(B117,RS_Lane,0))="","",INDEX(RS_Transit,MATCH(B117,RS_Lane,0))))))</f>
        <v>1</v>
      </c>
      <c r="P117" s="36"/>
      <c r="Q117" s="31" t="n">
        <f aca="false">IF(P117&lt;&gt;"",P117,IF(O117="","",WORKDAY.INTL(L117,ROUNDUP(O117,0),INDEX(LR_Code,MATCH(B117,LR_Lane,0)),INDEX(DH_Table,0,MATCH(B117&amp;"*",DH_Head,0)))))</f>
        <v>46680</v>
      </c>
      <c r="R117" s="37" t="str">
        <f aca="false">IF(Q117="","",IF(Q117&lt;=N117,"Yes","No"))</f>
        <v>Yes</v>
      </c>
      <c r="S117" s="26" t="n">
        <f aca="false">IF(Q117="","",IF(Q117&lt;=N117,0,NETWORKDAYS.INTL(N117,Q117,INDEX(LR_Code,MATCH(B117,LR_Lane,0)),INDEX(DH_Table,0,MATCH(B117&amp;"*",DH_Head,0)))-1))</f>
        <v>0</v>
      </c>
      <c r="T117" s="4"/>
      <c r="U117" s="25" t="str">
        <f aca="false">IF(V117&lt;&gt;"",V117,IF(IFERROR(INDEX(RS_Flag,MATCH(B117,RS_Lane,0)),"")="Yes",IF(IFERROR(INDEX(RS_Loc,MATCH(B117,RS_Lane,0)),"")="","Regional stock",IFERROR(INDEX(RS_Loc,MATCH(B117,RS_Lane,0)),"")),"Helmond"))</f>
        <v>Helmond</v>
      </c>
      <c r="V117" s="17"/>
      <c r="W117" s="38"/>
      <c r="X117" s="39"/>
      <c r="Y117" s="40" t="n">
        <f aca="false">IF(X117&lt;&gt;"",X117,IF(U117="Helmond",IF(COUNTIFS(RC_Lane,B117,RC_Band,E117,RC_CostPS,"&gt;0")=0,"",SUMIFS(RC_CostPS,RC_Lane,B117,RC_Band,E117)),IF(U117="Other","",IF(INDEX(RS_Rate,MATCH(B117,RS_Lane,0))="","",INDEX(RS_Rate,MATCH(B117,RS_Lane,0))))))</f>
        <v>76.3</v>
      </c>
    </row>
    <row r="118" customFormat="false" ht="15" hidden="false" customHeight="false" outlineLevel="0" collapsed="false">
      <c r="A118" s="3" t="s">
        <v>385</v>
      </c>
      <c r="B118" s="25" t="s">
        <v>119</v>
      </c>
      <c r="C118" s="8" t="s">
        <v>120</v>
      </c>
      <c r="D118" s="8" t="s">
        <v>155</v>
      </c>
      <c r="E118" s="8" t="s">
        <v>178</v>
      </c>
      <c r="F118" s="19" t="n">
        <v>9.6</v>
      </c>
      <c r="G118" s="33" t="n">
        <f aca="false">F118*0.006477</f>
        <v>0.0621792</v>
      </c>
      <c r="H118" s="19" t="n">
        <f aca="false">F118*1.079436</f>
        <v>10.3625856</v>
      </c>
      <c r="I118" s="18" t="n">
        <f aca="false">MAX(1,ROUNDUP(G118/0.096,0))</f>
        <v>1</v>
      </c>
      <c r="J118" s="31" t="n">
        <v>46679</v>
      </c>
      <c r="K118" s="34" t="n">
        <f aca="false">J118-WEEKDAY(J118,2)+1</f>
        <v>46678</v>
      </c>
      <c r="L118" s="31" t="n">
        <f aca="false">J118</f>
        <v>46679</v>
      </c>
      <c r="M118" s="26" t="n">
        <f aca="false">INDEX(LR_Target,MATCH(B118,LR_Lane,0))</f>
        <v>3</v>
      </c>
      <c r="N118" s="31" t="n">
        <f aca="false">WORKDAY.INTL(L118,M118,INDEX(LR_Code,MATCH(B118,LR_Lane,0)),INDEX(DH_Table,0,MATCH(B118&amp;"*",DH_Head,0)))</f>
        <v>46682</v>
      </c>
      <c r="O118" s="35" t="n">
        <f aca="false">IF(W118&lt;&gt;"",W118,IF(U118="Helmond",IF(COUNTIFS(RC_Lane,B118,RC_Band,E118,RC_Transit,"&lt;&gt;")=0,"",SUMIFS(RC_Transit,RC_Lane,B118,RC_Band,E118)),IF(U118="Other","",IF(INDEX(RS_Transit,MATCH(B118,RS_Lane,0))="","",INDEX(RS_Transit,MATCH(B118,RS_Lane,0))))))</f>
        <v>1</v>
      </c>
      <c r="P118" s="36"/>
      <c r="Q118" s="31" t="n">
        <f aca="false">IF(P118&lt;&gt;"",P118,IF(O118="","",WORKDAY.INTL(L118,ROUNDUP(O118,0),INDEX(LR_Code,MATCH(B118,LR_Lane,0)),INDEX(DH_Table,0,MATCH(B118&amp;"*",DH_Head,0)))))</f>
        <v>46680</v>
      </c>
      <c r="R118" s="37" t="str">
        <f aca="false">IF(Q118="","",IF(Q118&lt;=N118,"Yes","No"))</f>
        <v>Yes</v>
      </c>
      <c r="S118" s="26" t="n">
        <f aca="false">IF(Q118="","",IF(Q118&lt;=N118,0,NETWORKDAYS.INTL(N118,Q118,INDEX(LR_Code,MATCH(B118,LR_Lane,0)),INDEX(DH_Table,0,MATCH(B118&amp;"*",DH_Head,0)))-1))</f>
        <v>0</v>
      </c>
      <c r="T118" s="4"/>
      <c r="U118" s="25" t="str">
        <f aca="false">IF(V118&lt;&gt;"",V118,IF(IFERROR(INDEX(RS_Flag,MATCH(B118,RS_Lane,0)),"")="Yes",IF(IFERROR(INDEX(RS_Loc,MATCH(B118,RS_Lane,0)),"")="","Regional stock",IFERROR(INDEX(RS_Loc,MATCH(B118,RS_Lane,0)),"")),"Helmond"))</f>
        <v>Helmond</v>
      </c>
      <c r="V118" s="17"/>
      <c r="W118" s="38"/>
      <c r="X118" s="39"/>
      <c r="Y118" s="40" t="n">
        <f aca="false">IF(X118&lt;&gt;"",X118,IF(U118="Helmond",IF(COUNTIFS(RC_Lane,B118,RC_Band,E118,RC_CostPS,"&gt;0")=0,"",SUMIFS(RC_CostPS,RC_Lane,B118,RC_Band,E118)),IF(U118="Other","",IF(INDEX(RS_Rate,MATCH(B118,RS_Lane,0))="","",INDEX(RS_Rate,MATCH(B118,RS_Lane,0))))))</f>
        <v>76.3</v>
      </c>
    </row>
    <row r="119" customFormat="false" ht="15" hidden="false" customHeight="false" outlineLevel="0" collapsed="false">
      <c r="A119" s="3" t="s">
        <v>386</v>
      </c>
      <c r="B119" s="25" t="s">
        <v>108</v>
      </c>
      <c r="C119" s="8" t="s">
        <v>109</v>
      </c>
      <c r="D119" s="8" t="s">
        <v>272</v>
      </c>
      <c r="E119" s="8" t="s">
        <v>178</v>
      </c>
      <c r="F119" s="19" t="n">
        <v>10.2</v>
      </c>
      <c r="G119" s="33" t="n">
        <f aca="false">F119*0.006477</f>
        <v>0.0660654</v>
      </c>
      <c r="H119" s="19" t="n">
        <f aca="false">F119*1.079436</f>
        <v>11.0102472</v>
      </c>
      <c r="I119" s="18" t="n">
        <f aca="false">MAX(1,ROUNDUP(G119/0.096,0))</f>
        <v>1</v>
      </c>
      <c r="J119" s="31" t="n">
        <v>46680</v>
      </c>
      <c r="K119" s="34" t="n">
        <f aca="false">J119-WEEKDAY(J119,2)+1</f>
        <v>46678</v>
      </c>
      <c r="L119" s="31" t="n">
        <f aca="false">J119</f>
        <v>46680</v>
      </c>
      <c r="M119" s="26" t="n">
        <f aca="false">INDEX(LR_Target,MATCH(B119,LR_Lane,0))</f>
        <v>2</v>
      </c>
      <c r="N119" s="31" t="n">
        <f aca="false">WORKDAY.INTL(L119,M119,INDEX(LR_Code,MATCH(B119,LR_Lane,0)),INDEX(DH_Table,0,MATCH(B119&amp;"*",DH_Head,0)))</f>
        <v>46684</v>
      </c>
      <c r="O119" s="35" t="n">
        <f aca="false">IF(W119&lt;&gt;"",W119,IF(U119="Helmond",IF(COUNTIFS(RC_Lane,B119,RC_Band,E119,RC_Transit,"&lt;&gt;")=0,"",SUMIFS(RC_Transit,RC_Lane,B119,RC_Band,E119)),IF(U119="Other","",IF(INDEX(RS_Transit,MATCH(B119,RS_Lane,0))="","",INDEX(RS_Transit,MATCH(B119,RS_Lane,0))))))</f>
        <v>1</v>
      </c>
      <c r="P119" s="36"/>
      <c r="Q119" s="31" t="n">
        <f aca="false">IF(P119&lt;&gt;"",P119,IF(O119="","",WORKDAY.INTL(L119,ROUNDUP(O119,0),INDEX(LR_Code,MATCH(B119,LR_Lane,0)),INDEX(DH_Table,0,MATCH(B119&amp;"*",DH_Head,0)))))</f>
        <v>46681</v>
      </c>
      <c r="R119" s="37" t="str">
        <f aca="false">IF(Q119="","",IF(Q119&lt;=N119,"Yes","No"))</f>
        <v>Yes</v>
      </c>
      <c r="S119" s="26" t="n">
        <f aca="false">IF(Q119="","",IF(Q119&lt;=N119,0,NETWORKDAYS.INTL(N119,Q119,INDEX(LR_Code,MATCH(B119,LR_Lane,0)),INDEX(DH_Table,0,MATCH(B119&amp;"*",DH_Head,0)))-1))</f>
        <v>0</v>
      </c>
      <c r="T119" s="4"/>
      <c r="U119" s="25" t="str">
        <f aca="false">IF(V119&lt;&gt;"",V119,IF(IFERROR(INDEX(RS_Flag,MATCH(B119,RS_Lane,0)),"")="Yes",IF(IFERROR(INDEX(RS_Loc,MATCH(B119,RS_Lane,0)),"")="","Regional stock",IFERROR(INDEX(RS_Loc,MATCH(B119,RS_Lane,0)),"")),"Helmond"))</f>
        <v>Helmond</v>
      </c>
      <c r="V119" s="17"/>
      <c r="W119" s="38"/>
      <c r="X119" s="39"/>
      <c r="Y119" s="40" t="n">
        <f aca="false">IF(X119&lt;&gt;"",X119,IF(U119="Helmond",IF(COUNTIFS(RC_Lane,B119,RC_Band,E119,RC_CostPS,"&gt;0")=0,"",SUMIFS(RC_CostPS,RC_Lane,B119,RC_Band,E119)),IF(U119="Other","",IF(INDEX(RS_Rate,MATCH(B119,RS_Lane,0))="","",INDEX(RS_Rate,MATCH(B119,RS_Lane,0))))))</f>
        <v>76.3</v>
      </c>
    </row>
    <row r="120" customFormat="false" ht="15" hidden="false" customHeight="false" outlineLevel="0" collapsed="false">
      <c r="A120" s="3" t="s">
        <v>387</v>
      </c>
      <c r="B120" s="25" t="s">
        <v>112</v>
      </c>
      <c r="C120" s="8" t="s">
        <v>113</v>
      </c>
      <c r="D120" s="8" t="s">
        <v>152</v>
      </c>
      <c r="E120" s="8" t="s">
        <v>178</v>
      </c>
      <c r="F120" s="19" t="n">
        <v>12.6</v>
      </c>
      <c r="G120" s="33" t="n">
        <f aca="false">F120*0.006477</f>
        <v>0.0816102</v>
      </c>
      <c r="H120" s="19" t="n">
        <f aca="false">F120*1.079436</f>
        <v>13.6008936</v>
      </c>
      <c r="I120" s="18" t="n">
        <f aca="false">MAX(1,ROUNDUP(G120/0.096,0))</f>
        <v>1</v>
      </c>
      <c r="J120" s="31" t="n">
        <v>46681</v>
      </c>
      <c r="K120" s="34" t="n">
        <f aca="false">J120-WEEKDAY(J120,2)+1</f>
        <v>46678</v>
      </c>
      <c r="L120" s="31" t="n">
        <f aca="false">J120</f>
        <v>46681</v>
      </c>
      <c r="M120" s="26" t="n">
        <f aca="false">INDEX(LR_Target,MATCH(B120,LR_Lane,0))</f>
        <v>2</v>
      </c>
      <c r="N120" s="31" t="n">
        <f aca="false">WORKDAY.INTL(L120,M120,INDEX(LR_Code,MATCH(B120,LR_Lane,0)),INDEX(DH_Table,0,MATCH(B120&amp;"*",DH_Head,0)))</f>
        <v>46685</v>
      </c>
      <c r="O120" s="35" t="n">
        <f aca="false">IF(W120&lt;&gt;"",W120,IF(U120="Helmond",IF(COUNTIFS(RC_Lane,B120,RC_Band,E120,RC_Transit,"&lt;&gt;")=0,"",SUMIFS(RC_Transit,RC_Lane,B120,RC_Band,E120)),IF(U120="Other","",IF(INDEX(RS_Transit,MATCH(B120,RS_Lane,0))="","",INDEX(RS_Transit,MATCH(B120,RS_Lane,0))))))</f>
        <v>1</v>
      </c>
      <c r="P120" s="36"/>
      <c r="Q120" s="31" t="n">
        <f aca="false">IF(P120&lt;&gt;"",P120,IF(O120="","",WORKDAY.INTL(L120,ROUNDUP(O120,0),INDEX(LR_Code,MATCH(B120,LR_Lane,0)),INDEX(DH_Table,0,MATCH(B120&amp;"*",DH_Head,0)))))</f>
        <v>46682</v>
      </c>
      <c r="R120" s="37" t="str">
        <f aca="false">IF(Q120="","",IF(Q120&lt;=N120,"Yes","No"))</f>
        <v>Yes</v>
      </c>
      <c r="S120" s="26" t="n">
        <f aca="false">IF(Q120="","",IF(Q120&lt;=N120,0,NETWORKDAYS.INTL(N120,Q120,INDEX(LR_Code,MATCH(B120,LR_Lane,0)),INDEX(DH_Table,0,MATCH(B120&amp;"*",DH_Head,0)))-1))</f>
        <v>0</v>
      </c>
      <c r="T120" s="4"/>
      <c r="U120" s="25" t="str">
        <f aca="false">IF(V120&lt;&gt;"",V120,IF(IFERROR(INDEX(RS_Flag,MATCH(B120,RS_Lane,0)),"")="Yes",IF(IFERROR(INDEX(RS_Loc,MATCH(B120,RS_Lane,0)),"")="","Regional stock",IFERROR(INDEX(RS_Loc,MATCH(B120,RS_Lane,0)),"")),"Helmond"))</f>
        <v>Helmond</v>
      </c>
      <c r="V120" s="17"/>
      <c r="W120" s="38"/>
      <c r="X120" s="39"/>
      <c r="Y120" s="40" t="n">
        <f aca="false">IF(X120&lt;&gt;"",X120,IF(U120="Helmond",IF(COUNTIFS(RC_Lane,B120,RC_Band,E120,RC_CostPS,"&gt;0")=0,"",SUMIFS(RC_CostPS,RC_Lane,B120,RC_Band,E120)),IF(U120="Other","",IF(INDEX(RS_Rate,MATCH(B120,RS_Lane,0))="","",INDEX(RS_Rate,MATCH(B120,RS_Lane,0))))))</f>
        <v>76.3</v>
      </c>
    </row>
    <row r="121" customFormat="false" ht="15" hidden="false" customHeight="false" outlineLevel="0" collapsed="false">
      <c r="A121" s="3" t="s">
        <v>388</v>
      </c>
      <c r="B121" s="25" t="s">
        <v>115</v>
      </c>
      <c r="C121" s="8" t="s">
        <v>116</v>
      </c>
      <c r="D121" s="8" t="s">
        <v>153</v>
      </c>
      <c r="E121" s="8" t="s">
        <v>183</v>
      </c>
      <c r="F121" s="19" t="n">
        <v>789.9</v>
      </c>
      <c r="G121" s="33" t="n">
        <f aca="false">F121*0.006477</f>
        <v>5.1161823</v>
      </c>
      <c r="H121" s="19" t="n">
        <f aca="false">F121*1.079436</f>
        <v>852.6464964</v>
      </c>
      <c r="I121" s="18" t="n">
        <f aca="false">MAX(1,ROUNDUP(G121/0.096,0))</f>
        <v>54</v>
      </c>
      <c r="J121" s="31" t="n">
        <v>46682</v>
      </c>
      <c r="K121" s="34" t="n">
        <f aca="false">J121-WEEKDAY(J121,2)+1</f>
        <v>46678</v>
      </c>
      <c r="L121" s="31" t="n">
        <f aca="false">J121</f>
        <v>46682</v>
      </c>
      <c r="M121" s="26" t="n">
        <f aca="false">INDEX(LR_Target,MATCH(B121,LR_Lane,0))</f>
        <v>2</v>
      </c>
      <c r="N121" s="31" t="n">
        <f aca="false">WORKDAY.INTL(L121,M121,INDEX(LR_Code,MATCH(B121,LR_Lane,0)),INDEX(DH_Table,0,MATCH(B121&amp;"*",DH_Head,0)))</f>
        <v>46685</v>
      </c>
      <c r="O121" s="35" t="n">
        <f aca="false">IF(W121&lt;&gt;"",W121,IF(U121="Helmond",IF(COUNTIFS(RC_Lane,B121,RC_Band,E121,RC_Transit,"&lt;&gt;")=0,"",SUMIFS(RC_Transit,RC_Lane,B121,RC_Band,E121)),IF(U121="Other","",IF(INDEX(RS_Transit,MATCH(B121,RS_Lane,0))="","",INDEX(RS_Transit,MATCH(B121,RS_Lane,0))))))</f>
        <v>4</v>
      </c>
      <c r="P121" s="36"/>
      <c r="Q121" s="31" t="n">
        <f aca="false">IF(P121&lt;&gt;"",P121,IF(O121="","",WORKDAY.INTL(L121,ROUNDUP(O121,0),INDEX(LR_Code,MATCH(B121,LR_Lane,0)),INDEX(DH_Table,0,MATCH(B121&amp;"*",DH_Head,0)))))</f>
        <v>46687</v>
      </c>
      <c r="R121" s="37" t="str">
        <f aca="false">IF(Q121="","",IF(Q121&lt;=N121,"Yes","No"))</f>
        <v>No</v>
      </c>
      <c r="S121" s="26" t="n">
        <f aca="false">IF(Q121="","",IF(Q121&lt;=N121,0,NETWORKDAYS.INTL(N121,Q121,INDEX(LR_Code,MATCH(B121,LR_Lane,0)),INDEX(DH_Table,0,MATCH(B121&amp;"*",DH_Head,0)))-1))</f>
        <v>2</v>
      </c>
      <c r="T121" s="4"/>
      <c r="U121" s="25" t="str">
        <f aca="false">IF(V121&lt;&gt;"",V121,IF(IFERROR(INDEX(RS_Flag,MATCH(B121,RS_Lane,0)),"")="Yes",IF(IFERROR(INDEX(RS_Loc,MATCH(B121,RS_Lane,0)),"")="","Regional stock",IFERROR(INDEX(RS_Loc,MATCH(B121,RS_Lane,0)),"")),"Helmond"))</f>
        <v>Helmond</v>
      </c>
      <c r="V121" s="17"/>
      <c r="W121" s="38"/>
      <c r="X121" s="39"/>
      <c r="Y121" s="40" t="n">
        <f aca="false">IF(X121&lt;&gt;"",X121,IF(U121="Helmond",IF(COUNTIFS(RC_Lane,B121,RC_Band,E121,RC_CostPS,"&gt;0")=0,"",SUMIFS(RC_CostPS,RC_Lane,B121,RC_Band,E121)),IF(U121="Other","",IF(INDEX(RS_Rate,MATCH(B121,RS_Lane,0))="","",INDEX(RS_Rate,MATCH(B121,RS_Lane,0))))))</f>
        <v>3379.8752</v>
      </c>
    </row>
    <row r="122" customFormat="false" ht="15" hidden="false" customHeight="false" outlineLevel="0" collapsed="false">
      <c r="A122" s="3" t="s">
        <v>389</v>
      </c>
      <c r="B122" s="25" t="s">
        <v>108</v>
      </c>
      <c r="C122" s="8" t="s">
        <v>109</v>
      </c>
      <c r="D122" s="8" t="s">
        <v>272</v>
      </c>
      <c r="E122" s="8" t="s">
        <v>178</v>
      </c>
      <c r="F122" s="19" t="n">
        <v>3.6</v>
      </c>
      <c r="G122" s="33" t="n">
        <f aca="false">F122*0.006477</f>
        <v>0.0233172</v>
      </c>
      <c r="H122" s="19" t="n">
        <f aca="false">F122*1.079436</f>
        <v>3.8859696</v>
      </c>
      <c r="I122" s="18" t="n">
        <f aca="false">MAX(1,ROUNDUP(G122/0.096,0))</f>
        <v>1</v>
      </c>
      <c r="J122" s="31" t="n">
        <v>46685</v>
      </c>
      <c r="K122" s="34" t="n">
        <f aca="false">J122-WEEKDAY(J122,2)+1</f>
        <v>46685</v>
      </c>
      <c r="L122" s="31" t="n">
        <f aca="false">J122</f>
        <v>46685</v>
      </c>
      <c r="M122" s="26" t="n">
        <f aca="false">INDEX(LR_Target,MATCH(B122,LR_Lane,0))</f>
        <v>2</v>
      </c>
      <c r="N122" s="31" t="n">
        <f aca="false">WORKDAY.INTL(L122,M122,INDEX(LR_Code,MATCH(B122,LR_Lane,0)),INDEX(DH_Table,0,MATCH(B122&amp;"*",DH_Head,0)))</f>
        <v>46687</v>
      </c>
      <c r="O122" s="35" t="n">
        <f aca="false">IF(W122&lt;&gt;"",W122,IF(U122="Helmond",IF(COUNTIFS(RC_Lane,B122,RC_Band,E122,RC_Transit,"&lt;&gt;")=0,"",SUMIFS(RC_Transit,RC_Lane,B122,RC_Band,E122)),IF(U122="Other","",IF(INDEX(RS_Transit,MATCH(B122,RS_Lane,0))="","",INDEX(RS_Transit,MATCH(B122,RS_Lane,0))))))</f>
        <v>1</v>
      </c>
      <c r="P122" s="36"/>
      <c r="Q122" s="31" t="n">
        <f aca="false">IF(P122&lt;&gt;"",P122,IF(O122="","",WORKDAY.INTL(L122,ROUNDUP(O122,0),INDEX(LR_Code,MATCH(B122,LR_Lane,0)),INDEX(DH_Table,0,MATCH(B122&amp;"*",DH_Head,0)))))</f>
        <v>46686</v>
      </c>
      <c r="R122" s="37" t="str">
        <f aca="false">IF(Q122="","",IF(Q122&lt;=N122,"Yes","No"))</f>
        <v>Yes</v>
      </c>
      <c r="S122" s="26" t="n">
        <f aca="false">IF(Q122="","",IF(Q122&lt;=N122,0,NETWORKDAYS.INTL(N122,Q122,INDEX(LR_Code,MATCH(B122,LR_Lane,0)),INDEX(DH_Table,0,MATCH(B122&amp;"*",DH_Head,0)))-1))</f>
        <v>0</v>
      </c>
      <c r="T122" s="4"/>
      <c r="U122" s="25" t="str">
        <f aca="false">IF(V122&lt;&gt;"",V122,IF(IFERROR(INDEX(RS_Flag,MATCH(B122,RS_Lane,0)),"")="Yes",IF(IFERROR(INDEX(RS_Loc,MATCH(B122,RS_Lane,0)),"")="","Regional stock",IFERROR(INDEX(RS_Loc,MATCH(B122,RS_Lane,0)),"")),"Helmond"))</f>
        <v>Helmond</v>
      </c>
      <c r="V122" s="17"/>
      <c r="W122" s="38"/>
      <c r="X122" s="39"/>
      <c r="Y122" s="40" t="n">
        <f aca="false">IF(X122&lt;&gt;"",X122,IF(U122="Helmond",IF(COUNTIFS(RC_Lane,B122,RC_Band,E122,RC_CostPS,"&gt;0")=0,"",SUMIFS(RC_CostPS,RC_Lane,B122,RC_Band,E122)),IF(U122="Other","",IF(INDEX(RS_Rate,MATCH(B122,RS_Lane,0))="","",INDEX(RS_Rate,MATCH(B122,RS_Lane,0))))))</f>
        <v>76.3</v>
      </c>
    </row>
    <row r="123" customFormat="false" ht="15" hidden="false" customHeight="false" outlineLevel="0" collapsed="false">
      <c r="A123" s="3" t="s">
        <v>390</v>
      </c>
      <c r="B123" s="25" t="s">
        <v>112</v>
      </c>
      <c r="C123" s="8" t="s">
        <v>113</v>
      </c>
      <c r="D123" s="8" t="s">
        <v>152</v>
      </c>
      <c r="E123" s="8" t="s">
        <v>178</v>
      </c>
      <c r="F123" s="19" t="n">
        <v>7.4</v>
      </c>
      <c r="G123" s="33" t="n">
        <f aca="false">F123*0.006477</f>
        <v>0.0479298</v>
      </c>
      <c r="H123" s="19" t="n">
        <f aca="false">F123*1.079436</f>
        <v>7.9878264</v>
      </c>
      <c r="I123" s="18" t="n">
        <f aca="false">MAX(1,ROUNDUP(G123/0.096,0))</f>
        <v>1</v>
      </c>
      <c r="J123" s="31" t="n">
        <v>46686</v>
      </c>
      <c r="K123" s="34" t="n">
        <f aca="false">J123-WEEKDAY(J123,2)+1</f>
        <v>46685</v>
      </c>
      <c r="L123" s="31" t="n">
        <f aca="false">J123</f>
        <v>46686</v>
      </c>
      <c r="M123" s="26" t="n">
        <f aca="false">INDEX(LR_Target,MATCH(B123,LR_Lane,0))</f>
        <v>2</v>
      </c>
      <c r="N123" s="31" t="n">
        <f aca="false">WORKDAY.INTL(L123,M123,INDEX(LR_Code,MATCH(B123,LR_Lane,0)),INDEX(DH_Table,0,MATCH(B123&amp;"*",DH_Head,0)))</f>
        <v>46688</v>
      </c>
      <c r="O123" s="35" t="n">
        <f aca="false">IF(W123&lt;&gt;"",W123,IF(U123="Helmond",IF(COUNTIFS(RC_Lane,B123,RC_Band,E123,RC_Transit,"&lt;&gt;")=0,"",SUMIFS(RC_Transit,RC_Lane,B123,RC_Band,E123)),IF(U123="Other","",IF(INDEX(RS_Transit,MATCH(B123,RS_Lane,0))="","",INDEX(RS_Transit,MATCH(B123,RS_Lane,0))))))</f>
        <v>1</v>
      </c>
      <c r="P123" s="36"/>
      <c r="Q123" s="31" t="n">
        <f aca="false">IF(P123&lt;&gt;"",P123,IF(O123="","",WORKDAY.INTL(L123,ROUNDUP(O123,0),INDEX(LR_Code,MATCH(B123,LR_Lane,0)),INDEX(DH_Table,0,MATCH(B123&amp;"*",DH_Head,0)))))</f>
        <v>46687</v>
      </c>
      <c r="R123" s="37" t="str">
        <f aca="false">IF(Q123="","",IF(Q123&lt;=N123,"Yes","No"))</f>
        <v>Yes</v>
      </c>
      <c r="S123" s="26" t="n">
        <f aca="false">IF(Q123="","",IF(Q123&lt;=N123,0,NETWORKDAYS.INTL(N123,Q123,INDEX(LR_Code,MATCH(B123,LR_Lane,0)),INDEX(DH_Table,0,MATCH(B123&amp;"*",DH_Head,0)))-1))</f>
        <v>0</v>
      </c>
      <c r="T123" s="4"/>
      <c r="U123" s="25" t="str">
        <f aca="false">IF(V123&lt;&gt;"",V123,IF(IFERROR(INDEX(RS_Flag,MATCH(B123,RS_Lane,0)),"")="Yes",IF(IFERROR(INDEX(RS_Loc,MATCH(B123,RS_Lane,0)),"")="","Regional stock",IFERROR(INDEX(RS_Loc,MATCH(B123,RS_Lane,0)),"")),"Helmond"))</f>
        <v>Helmond</v>
      </c>
      <c r="V123" s="17"/>
      <c r="W123" s="38"/>
      <c r="X123" s="39"/>
      <c r="Y123" s="40" t="n">
        <f aca="false">IF(X123&lt;&gt;"",X123,IF(U123="Helmond",IF(COUNTIFS(RC_Lane,B123,RC_Band,E123,RC_CostPS,"&gt;0")=0,"",SUMIFS(RC_CostPS,RC_Lane,B123,RC_Band,E123)),IF(U123="Other","",IF(INDEX(RS_Rate,MATCH(B123,RS_Lane,0))="","",INDEX(RS_Rate,MATCH(B123,RS_Lane,0))))))</f>
        <v>76.3</v>
      </c>
    </row>
    <row r="124" customFormat="false" ht="15" hidden="false" customHeight="false" outlineLevel="0" collapsed="false">
      <c r="A124" s="3" t="s">
        <v>391</v>
      </c>
      <c r="B124" s="25" t="s">
        <v>119</v>
      </c>
      <c r="C124" s="8" t="s">
        <v>120</v>
      </c>
      <c r="D124" s="8" t="s">
        <v>155</v>
      </c>
      <c r="E124" s="8" t="s">
        <v>182</v>
      </c>
      <c r="F124" s="19" t="n">
        <v>236.9</v>
      </c>
      <c r="G124" s="33" t="n">
        <f aca="false">F124*0.006477</f>
        <v>1.5344013</v>
      </c>
      <c r="H124" s="19" t="n">
        <f aca="false">F124*1.079436</f>
        <v>255.7183884</v>
      </c>
      <c r="I124" s="18" t="n">
        <f aca="false">MAX(1,ROUNDUP(G124/0.096,0))</f>
        <v>16</v>
      </c>
      <c r="J124" s="31" t="n">
        <v>46686</v>
      </c>
      <c r="K124" s="34" t="n">
        <f aca="false">J124-WEEKDAY(J124,2)+1</f>
        <v>46685</v>
      </c>
      <c r="L124" s="31" t="n">
        <f aca="false">J124</f>
        <v>46686</v>
      </c>
      <c r="M124" s="26" t="n">
        <f aca="false">INDEX(LR_Target,MATCH(B124,LR_Lane,0))</f>
        <v>3</v>
      </c>
      <c r="N124" s="31" t="n">
        <f aca="false">WORKDAY.INTL(L124,M124,INDEX(LR_Code,MATCH(B124,LR_Lane,0)),INDEX(DH_Table,0,MATCH(B124&amp;"*",DH_Head,0)))</f>
        <v>46692</v>
      </c>
      <c r="O124" s="35" t="n">
        <f aca="false">IF(W124&lt;&gt;"",W124,IF(U124="Helmond",IF(COUNTIFS(RC_Lane,B124,RC_Band,E124,RC_Transit,"&lt;&gt;")=0,"",SUMIFS(RC_Transit,RC_Lane,B124,RC_Band,E124)),IF(U124="Other","",IF(INDEX(RS_Transit,MATCH(B124,RS_Lane,0))="","",INDEX(RS_Transit,MATCH(B124,RS_Lane,0))))))</f>
        <v>3</v>
      </c>
      <c r="P124" s="36"/>
      <c r="Q124" s="31" t="n">
        <f aca="false">IF(P124&lt;&gt;"",P124,IF(O124="","",WORKDAY.INTL(L124,ROUNDUP(O124,0),INDEX(LR_Code,MATCH(B124,LR_Lane,0)),INDEX(DH_Table,0,MATCH(B124&amp;"*",DH_Head,0)))))</f>
        <v>46692</v>
      </c>
      <c r="R124" s="37" t="str">
        <f aca="false">IF(Q124="","",IF(Q124&lt;=N124,"Yes","No"))</f>
        <v>Yes</v>
      </c>
      <c r="S124" s="26" t="n">
        <f aca="false">IF(Q124="","",IF(Q124&lt;=N124,0,NETWORKDAYS.INTL(N124,Q124,INDEX(LR_Code,MATCH(B124,LR_Lane,0)),INDEX(DH_Table,0,MATCH(B124&amp;"*",DH_Head,0)))-1))</f>
        <v>0</v>
      </c>
      <c r="T124" s="4"/>
      <c r="U124" s="25" t="str">
        <f aca="false">IF(V124&lt;&gt;"",V124,IF(IFERROR(INDEX(RS_Flag,MATCH(B124,RS_Lane,0)),"")="Yes",IF(IFERROR(INDEX(RS_Loc,MATCH(B124,RS_Lane,0)),"")="","Regional stock",IFERROR(INDEX(RS_Loc,MATCH(B124,RS_Lane,0)),"")),"Helmond"))</f>
        <v>Helmond</v>
      </c>
      <c r="V124" s="17"/>
      <c r="W124" s="38"/>
      <c r="X124" s="39"/>
      <c r="Y124" s="40" t="n">
        <f aca="false">IF(X124&lt;&gt;"",X124,IF(U124="Helmond",IF(COUNTIFS(RC_Lane,B124,RC_Band,E124,RC_CostPS,"&gt;0")=0,"",SUMIFS(RC_CostPS,RC_Lane,B124,RC_Band,E124)),IF(U124="Other","",IF(INDEX(RS_Rate,MATCH(B124,RS_Lane,0))="","",INDEX(RS_Rate,MATCH(B124,RS_Lane,0))))))</f>
        <v>1474.0572</v>
      </c>
    </row>
    <row r="125" customFormat="false" ht="15" hidden="false" customHeight="false" outlineLevel="0" collapsed="false">
      <c r="A125" s="3" t="s">
        <v>392</v>
      </c>
      <c r="B125" s="25" t="s">
        <v>112</v>
      </c>
      <c r="C125" s="8" t="s">
        <v>113</v>
      </c>
      <c r="D125" s="8" t="s">
        <v>152</v>
      </c>
      <c r="E125" s="8" t="s">
        <v>178</v>
      </c>
      <c r="F125" s="19" t="n">
        <v>3.3</v>
      </c>
      <c r="G125" s="33" t="n">
        <f aca="false">F125*0.006477</f>
        <v>0.0213741</v>
      </c>
      <c r="H125" s="19" t="n">
        <f aca="false">F125*1.079436</f>
        <v>3.5621388</v>
      </c>
      <c r="I125" s="18" t="n">
        <f aca="false">MAX(1,ROUNDUP(G125/0.096,0))</f>
        <v>1</v>
      </c>
      <c r="J125" s="31" t="n">
        <v>46688</v>
      </c>
      <c r="K125" s="34" t="n">
        <f aca="false">J125-WEEKDAY(J125,2)+1</f>
        <v>46685</v>
      </c>
      <c r="L125" s="31" t="n">
        <f aca="false">J125</f>
        <v>46688</v>
      </c>
      <c r="M125" s="26" t="n">
        <f aca="false">INDEX(LR_Target,MATCH(B125,LR_Lane,0))</f>
        <v>2</v>
      </c>
      <c r="N125" s="31" t="n">
        <f aca="false">WORKDAY.INTL(L125,M125,INDEX(LR_Code,MATCH(B125,LR_Lane,0)),INDEX(DH_Table,0,MATCH(B125&amp;"*",DH_Head,0)))</f>
        <v>46692</v>
      </c>
      <c r="O125" s="35" t="n">
        <f aca="false">IF(W125&lt;&gt;"",W125,IF(U125="Helmond",IF(COUNTIFS(RC_Lane,B125,RC_Band,E125,RC_Transit,"&lt;&gt;")=0,"",SUMIFS(RC_Transit,RC_Lane,B125,RC_Band,E125)),IF(U125="Other","",IF(INDEX(RS_Transit,MATCH(B125,RS_Lane,0))="","",INDEX(RS_Transit,MATCH(B125,RS_Lane,0))))))</f>
        <v>1</v>
      </c>
      <c r="P125" s="36"/>
      <c r="Q125" s="31" t="n">
        <f aca="false">IF(P125&lt;&gt;"",P125,IF(O125="","",WORKDAY.INTL(L125,ROUNDUP(O125,0),INDEX(LR_Code,MATCH(B125,LR_Lane,0)),INDEX(DH_Table,0,MATCH(B125&amp;"*",DH_Head,0)))))</f>
        <v>46689</v>
      </c>
      <c r="R125" s="37" t="str">
        <f aca="false">IF(Q125="","",IF(Q125&lt;=N125,"Yes","No"))</f>
        <v>Yes</v>
      </c>
      <c r="S125" s="26" t="n">
        <f aca="false">IF(Q125="","",IF(Q125&lt;=N125,0,NETWORKDAYS.INTL(N125,Q125,INDEX(LR_Code,MATCH(B125,LR_Lane,0)),INDEX(DH_Table,0,MATCH(B125&amp;"*",DH_Head,0)))-1))</f>
        <v>0</v>
      </c>
      <c r="T125" s="4"/>
      <c r="U125" s="25" t="str">
        <f aca="false">IF(V125&lt;&gt;"",V125,IF(IFERROR(INDEX(RS_Flag,MATCH(B125,RS_Lane,0)),"")="Yes",IF(IFERROR(INDEX(RS_Loc,MATCH(B125,RS_Lane,0)),"")="","Regional stock",IFERROR(INDEX(RS_Loc,MATCH(B125,RS_Lane,0)),"")),"Helmond"))</f>
        <v>Helmond</v>
      </c>
      <c r="V125" s="17"/>
      <c r="W125" s="38"/>
      <c r="X125" s="39"/>
      <c r="Y125" s="40" t="n">
        <f aca="false">IF(X125&lt;&gt;"",X125,IF(U125="Helmond",IF(COUNTIFS(RC_Lane,B125,RC_Band,E125,RC_CostPS,"&gt;0")=0,"",SUMIFS(RC_CostPS,RC_Lane,B125,RC_Band,E125)),IF(U125="Other","",IF(INDEX(RS_Rate,MATCH(B125,RS_Lane,0))="","",INDEX(RS_Rate,MATCH(B125,RS_Lane,0))))))</f>
        <v>76.3</v>
      </c>
    </row>
    <row r="126" customFormat="false" ht="15" hidden="false" customHeight="false" outlineLevel="0" collapsed="false">
      <c r="A126" s="3" t="s">
        <v>393</v>
      </c>
      <c r="B126" s="25" t="s">
        <v>119</v>
      </c>
      <c r="C126" s="8" t="s">
        <v>120</v>
      </c>
      <c r="D126" s="8" t="s">
        <v>155</v>
      </c>
      <c r="E126" s="8" t="s">
        <v>178</v>
      </c>
      <c r="F126" s="19" t="n">
        <v>16.7</v>
      </c>
      <c r="G126" s="33" t="n">
        <f aca="false">F126*0.006477</f>
        <v>0.1081659</v>
      </c>
      <c r="H126" s="19" t="n">
        <f aca="false">F126*1.079436</f>
        <v>18.0265812</v>
      </c>
      <c r="I126" s="18" t="n">
        <f aca="false">MAX(1,ROUNDUP(G126/0.096,0))</f>
        <v>2</v>
      </c>
      <c r="J126" s="31" t="n">
        <v>46693</v>
      </c>
      <c r="K126" s="34" t="n">
        <f aca="false">J126-WEEKDAY(J126,2)+1</f>
        <v>46692</v>
      </c>
      <c r="L126" s="31" t="n">
        <f aca="false">J126</f>
        <v>46693</v>
      </c>
      <c r="M126" s="26" t="n">
        <f aca="false">INDEX(LR_Target,MATCH(B126,LR_Lane,0))</f>
        <v>3</v>
      </c>
      <c r="N126" s="31" t="n">
        <f aca="false">WORKDAY.INTL(L126,M126,INDEX(LR_Code,MATCH(B126,LR_Lane,0)),INDEX(DH_Table,0,MATCH(B126&amp;"*",DH_Head,0)))</f>
        <v>46696</v>
      </c>
      <c r="O126" s="35" t="n">
        <f aca="false">IF(W126&lt;&gt;"",W126,IF(U126="Helmond",IF(COUNTIFS(RC_Lane,B126,RC_Band,E126,RC_Transit,"&lt;&gt;")=0,"",SUMIFS(RC_Transit,RC_Lane,B126,RC_Band,E126)),IF(U126="Other","",IF(INDEX(RS_Transit,MATCH(B126,RS_Lane,0))="","",INDEX(RS_Transit,MATCH(B126,RS_Lane,0))))))</f>
        <v>1</v>
      </c>
      <c r="P126" s="36"/>
      <c r="Q126" s="31" t="n">
        <f aca="false">IF(P126&lt;&gt;"",P126,IF(O126="","",WORKDAY.INTL(L126,ROUNDUP(O126,0),INDEX(LR_Code,MATCH(B126,LR_Lane,0)),INDEX(DH_Table,0,MATCH(B126&amp;"*",DH_Head,0)))))</f>
        <v>46694</v>
      </c>
      <c r="R126" s="37" t="str">
        <f aca="false">IF(Q126="","",IF(Q126&lt;=N126,"Yes","No"))</f>
        <v>Yes</v>
      </c>
      <c r="S126" s="26" t="n">
        <f aca="false">IF(Q126="","",IF(Q126&lt;=N126,0,NETWORKDAYS.INTL(N126,Q126,INDEX(LR_Code,MATCH(B126,LR_Lane,0)),INDEX(DH_Table,0,MATCH(B126&amp;"*",DH_Head,0)))-1))</f>
        <v>0</v>
      </c>
      <c r="T126" s="4"/>
      <c r="U126" s="25" t="str">
        <f aca="false">IF(V126&lt;&gt;"",V126,IF(IFERROR(INDEX(RS_Flag,MATCH(B126,RS_Lane,0)),"")="Yes",IF(IFERROR(INDEX(RS_Loc,MATCH(B126,RS_Lane,0)),"")="","Regional stock",IFERROR(INDEX(RS_Loc,MATCH(B126,RS_Lane,0)),"")),"Helmond"))</f>
        <v>Helmond</v>
      </c>
      <c r="V126" s="17"/>
      <c r="W126" s="38"/>
      <c r="X126" s="39"/>
      <c r="Y126" s="40" t="n">
        <f aca="false">IF(X126&lt;&gt;"",X126,IF(U126="Helmond",IF(COUNTIFS(RC_Lane,B126,RC_Band,E126,RC_CostPS,"&gt;0")=0,"",SUMIFS(RC_CostPS,RC_Lane,B126,RC_Band,E126)),IF(U126="Other","",IF(INDEX(RS_Rate,MATCH(B126,RS_Lane,0))="","",INDEX(RS_Rate,MATCH(B126,RS_Lane,0))))))</f>
        <v>76.3</v>
      </c>
    </row>
    <row r="127" customFormat="false" ht="15" hidden="false" customHeight="false" outlineLevel="0" collapsed="false">
      <c r="A127" s="3" t="s">
        <v>394</v>
      </c>
      <c r="B127" s="25" t="s">
        <v>124</v>
      </c>
      <c r="C127" s="8" t="s">
        <v>125</v>
      </c>
      <c r="D127" s="8" t="s">
        <v>157</v>
      </c>
      <c r="E127" s="8" t="s">
        <v>178</v>
      </c>
      <c r="F127" s="19" t="n">
        <v>5.5</v>
      </c>
      <c r="G127" s="33" t="n">
        <f aca="false">F127*0.006477</f>
        <v>0.0356235</v>
      </c>
      <c r="H127" s="19" t="n">
        <f aca="false">F127*1.079436</f>
        <v>5.936898</v>
      </c>
      <c r="I127" s="18" t="n">
        <f aca="false">MAX(1,ROUNDUP(G127/0.096,0))</f>
        <v>1</v>
      </c>
      <c r="J127" s="31" t="n">
        <v>46693</v>
      </c>
      <c r="K127" s="34" t="n">
        <f aca="false">J127-WEEKDAY(J127,2)+1</f>
        <v>46692</v>
      </c>
      <c r="L127" s="31" t="n">
        <f aca="false">J127</f>
        <v>46693</v>
      </c>
      <c r="M127" s="26" t="n">
        <f aca="false">INDEX(LR_Target,MATCH(B127,LR_Lane,0))</f>
        <v>5</v>
      </c>
      <c r="N127" s="31" t="n">
        <f aca="false">WORKDAY.INTL(L127,M127,INDEX(LR_Code,MATCH(B127,LR_Lane,0)),INDEX(DH_Table,0,MATCH(B127&amp;"*",DH_Head,0)))</f>
        <v>46700</v>
      </c>
      <c r="O127" s="35" t="n">
        <f aca="false">IF(W127&lt;&gt;"",W127,IF(U127="Helmond",IF(COUNTIFS(RC_Lane,B127,RC_Band,E127,RC_Transit,"&lt;&gt;")=0,"",SUMIFS(RC_Transit,RC_Lane,B127,RC_Band,E127)),IF(U127="Other","",IF(INDEX(RS_Transit,MATCH(B127,RS_Lane,0))="","",INDEX(RS_Transit,MATCH(B127,RS_Lane,0))))))</f>
        <v>1</v>
      </c>
      <c r="P127" s="36"/>
      <c r="Q127" s="31" t="n">
        <f aca="false">IF(P127&lt;&gt;"",P127,IF(O127="","",WORKDAY.INTL(L127,ROUNDUP(O127,0),INDEX(LR_Code,MATCH(B127,LR_Lane,0)),INDEX(DH_Table,0,MATCH(B127&amp;"*",DH_Head,0)))))</f>
        <v>46694</v>
      </c>
      <c r="R127" s="37" t="str">
        <f aca="false">IF(Q127="","",IF(Q127&lt;=N127,"Yes","No"))</f>
        <v>Yes</v>
      </c>
      <c r="S127" s="26" t="n">
        <f aca="false">IF(Q127="","",IF(Q127&lt;=N127,0,NETWORKDAYS.INTL(N127,Q127,INDEX(LR_Code,MATCH(B127,LR_Lane,0)),INDEX(DH_Table,0,MATCH(B127&amp;"*",DH_Head,0)))-1))</f>
        <v>0</v>
      </c>
      <c r="T127" s="4"/>
      <c r="U127" s="25" t="str">
        <f aca="false">IF(V127&lt;&gt;"",V127,IF(IFERROR(INDEX(RS_Flag,MATCH(B127,RS_Lane,0)),"")="Yes",IF(IFERROR(INDEX(RS_Loc,MATCH(B127,RS_Lane,0)),"")="","Regional stock",IFERROR(INDEX(RS_Loc,MATCH(B127,RS_Lane,0)),"")),"Helmond"))</f>
        <v>Helmond</v>
      </c>
      <c r="V127" s="17"/>
      <c r="W127" s="38"/>
      <c r="X127" s="39"/>
      <c r="Y127" s="40" t="n">
        <f aca="false">IF(X127&lt;&gt;"",X127,IF(U127="Helmond",IF(COUNTIFS(RC_Lane,B127,RC_Band,E127,RC_CostPS,"&gt;0")=0,"",SUMIFS(RC_CostPS,RC_Lane,B127,RC_Band,E127)),IF(U127="Other","",IF(INDEX(RS_Rate,MATCH(B127,RS_Lane,0))="","",INDEX(RS_Rate,MATCH(B127,RS_Lane,0))))))</f>
        <v>76.3</v>
      </c>
    </row>
    <row r="128" customFormat="false" ht="15" hidden="false" customHeight="false" outlineLevel="0" collapsed="false">
      <c r="A128" s="3" t="s">
        <v>395</v>
      </c>
      <c r="B128" s="25" t="s">
        <v>108</v>
      </c>
      <c r="C128" s="8" t="s">
        <v>109</v>
      </c>
      <c r="D128" s="8" t="s">
        <v>270</v>
      </c>
      <c r="E128" s="8" t="s">
        <v>183</v>
      </c>
      <c r="F128" s="19" t="n">
        <v>1172.3</v>
      </c>
      <c r="G128" s="33" t="n">
        <f aca="false">F128*0.006477</f>
        <v>7.5929871</v>
      </c>
      <c r="H128" s="19" t="n">
        <f aca="false">F128*1.079436</f>
        <v>1265.4228228</v>
      </c>
      <c r="I128" s="18" t="n">
        <f aca="false">MAX(1,ROUNDUP(G128/0.096,0))</f>
        <v>80</v>
      </c>
      <c r="J128" s="31" t="n">
        <v>46694</v>
      </c>
      <c r="K128" s="34" t="n">
        <f aca="false">J128-WEEKDAY(J128,2)+1</f>
        <v>46692</v>
      </c>
      <c r="L128" s="31" t="n">
        <f aca="false">J128</f>
        <v>46694</v>
      </c>
      <c r="M128" s="26" t="n">
        <f aca="false">INDEX(LR_Target,MATCH(B128,LR_Lane,0))</f>
        <v>2</v>
      </c>
      <c r="N128" s="31" t="n">
        <f aca="false">WORKDAY.INTL(L128,M128,INDEX(LR_Code,MATCH(B128,LR_Lane,0)),INDEX(DH_Table,0,MATCH(B128&amp;"*",DH_Head,0)))</f>
        <v>46698</v>
      </c>
      <c r="O128" s="35" t="n">
        <f aca="false">IF(W128&lt;&gt;"",W128,IF(U128="Helmond",IF(COUNTIFS(RC_Lane,B128,RC_Band,E128,RC_Transit,"&lt;&gt;")=0,"",SUMIFS(RC_Transit,RC_Lane,B128,RC_Band,E128)),IF(U128="Other","",IF(INDEX(RS_Transit,MATCH(B128,RS_Lane,0))="","",INDEX(RS_Transit,MATCH(B128,RS_Lane,0))))))</f>
        <v>4</v>
      </c>
      <c r="P128" s="36"/>
      <c r="Q128" s="31" t="n">
        <f aca="false">IF(P128&lt;&gt;"",P128,IF(O128="","",WORKDAY.INTL(L128,ROUNDUP(O128,0),INDEX(LR_Code,MATCH(B128,LR_Lane,0)),INDEX(DH_Table,0,MATCH(B128&amp;"*",DH_Head,0)))))</f>
        <v>46700</v>
      </c>
      <c r="R128" s="37" t="str">
        <f aca="false">IF(Q128="","",IF(Q128&lt;=N128,"Yes","No"))</f>
        <v>No</v>
      </c>
      <c r="S128" s="26" t="n">
        <f aca="false">IF(Q128="","",IF(Q128&lt;=N128,0,NETWORKDAYS.INTL(N128,Q128,INDEX(LR_Code,MATCH(B128,LR_Lane,0)),INDEX(DH_Table,0,MATCH(B128&amp;"*",DH_Head,0)))-1))</f>
        <v>2</v>
      </c>
      <c r="T128" s="4"/>
      <c r="U128" s="25" t="str">
        <f aca="false">IF(V128&lt;&gt;"",V128,IF(IFERROR(INDEX(RS_Flag,MATCH(B128,RS_Lane,0)),"")="Yes",IF(IFERROR(INDEX(RS_Loc,MATCH(B128,RS_Lane,0)),"")="","Regional stock",IFERROR(INDEX(RS_Loc,MATCH(B128,RS_Lane,0)),"")),"Helmond"))</f>
        <v>Helmond</v>
      </c>
      <c r="V128" s="17"/>
      <c r="W128" s="38"/>
      <c r="X128" s="39"/>
      <c r="Y128" s="40" t="n">
        <f aca="false">IF(X128&lt;&gt;"",X128,IF(U128="Helmond",IF(COUNTIFS(RC_Lane,B128,RC_Band,E128,RC_CostPS,"&gt;0")=0,"",SUMIFS(RC_CostPS,RC_Lane,B128,RC_Band,E128)),IF(U128="Other","",IF(INDEX(RS_Rate,MATCH(B128,RS_Lane,0))="","",INDEX(RS_Rate,MATCH(B128,RS_Lane,0))))))</f>
        <v>3212.032</v>
      </c>
    </row>
    <row r="129" customFormat="false" ht="15" hidden="false" customHeight="false" outlineLevel="0" collapsed="false">
      <c r="A129" s="3" t="s">
        <v>396</v>
      </c>
      <c r="B129" s="25" t="s">
        <v>119</v>
      </c>
      <c r="C129" s="8" t="s">
        <v>120</v>
      </c>
      <c r="D129" s="8" t="s">
        <v>155</v>
      </c>
      <c r="E129" s="8" t="s">
        <v>180</v>
      </c>
      <c r="F129" s="19" t="n">
        <v>51.2</v>
      </c>
      <c r="G129" s="33" t="n">
        <f aca="false">F129*0.006477</f>
        <v>0.3316224</v>
      </c>
      <c r="H129" s="19" t="n">
        <f aca="false">F129*1.079436</f>
        <v>55.2671232</v>
      </c>
      <c r="I129" s="18" t="n">
        <f aca="false">MAX(1,ROUNDUP(G129/0.096,0))</f>
        <v>4</v>
      </c>
      <c r="J129" s="31" t="n">
        <v>46702</v>
      </c>
      <c r="K129" s="34" t="n">
        <f aca="false">J129-WEEKDAY(J129,2)+1</f>
        <v>46699</v>
      </c>
      <c r="L129" s="31" t="n">
        <f aca="false">J129</f>
        <v>46702</v>
      </c>
      <c r="M129" s="26" t="n">
        <f aca="false">INDEX(LR_Target,MATCH(B129,LR_Lane,0))</f>
        <v>3</v>
      </c>
      <c r="N129" s="31" t="n">
        <f aca="false">WORKDAY.INTL(L129,M129,INDEX(LR_Code,MATCH(B129,LR_Lane,0)),INDEX(DH_Table,0,MATCH(B129&amp;"*",DH_Head,0)))</f>
        <v>46707</v>
      </c>
      <c r="O129" s="35" t="n">
        <f aca="false">IF(W129&lt;&gt;"",W129,IF(U129="Helmond",IF(COUNTIFS(RC_Lane,B129,RC_Band,E129,RC_Transit,"&lt;&gt;")=0,"",SUMIFS(RC_Transit,RC_Lane,B129,RC_Band,E129)),IF(U129="Other","",IF(INDEX(RS_Transit,MATCH(B129,RS_Lane,0))="","",INDEX(RS_Transit,MATCH(B129,RS_Lane,0))))))</f>
        <v>2</v>
      </c>
      <c r="P129" s="36"/>
      <c r="Q129" s="31" t="n">
        <f aca="false">IF(P129&lt;&gt;"",P129,IF(O129="","",WORKDAY.INTL(L129,ROUNDUP(O129,0),INDEX(LR_Code,MATCH(B129,LR_Lane,0)),INDEX(DH_Table,0,MATCH(B129&amp;"*",DH_Head,0)))))</f>
        <v>46706</v>
      </c>
      <c r="R129" s="37" t="str">
        <f aca="false">IF(Q129="","",IF(Q129&lt;=N129,"Yes","No"))</f>
        <v>Yes</v>
      </c>
      <c r="S129" s="26" t="n">
        <f aca="false">IF(Q129="","",IF(Q129&lt;=N129,0,NETWORKDAYS.INTL(N129,Q129,INDEX(LR_Code,MATCH(B129,LR_Lane,0)),INDEX(DH_Table,0,MATCH(B129&amp;"*",DH_Head,0)))-1))</f>
        <v>0</v>
      </c>
      <c r="T129" s="4"/>
      <c r="U129" s="25" t="str">
        <f aca="false">IF(V129&lt;&gt;"",V129,IF(IFERROR(INDEX(RS_Flag,MATCH(B129,RS_Lane,0)),"")="Yes",IF(IFERROR(INDEX(RS_Loc,MATCH(B129,RS_Lane,0)),"")="","Regional stock",IFERROR(INDEX(RS_Loc,MATCH(B129,RS_Lane,0)),"")),"Helmond"))</f>
        <v>Helmond</v>
      </c>
      <c r="V129" s="17"/>
      <c r="W129" s="38"/>
      <c r="X129" s="39"/>
      <c r="Y129" s="40" t="n">
        <f aca="false">IF(X129&lt;&gt;"",X129,IF(U129="Helmond",IF(COUNTIFS(RC_Lane,B129,RC_Band,E129,RC_CostPS,"&gt;0")=0,"",SUMIFS(RC_CostPS,RC_Lane,B129,RC_Band,E129)),IF(U129="Other","",IF(INDEX(RS_Rate,MATCH(B129,RS_Lane,0))="","",INDEX(RS_Rate,MATCH(B129,RS_Lane,0))))))</f>
        <v>319.8048</v>
      </c>
    </row>
    <row r="130" customFormat="false" ht="15" hidden="false" customHeight="false" outlineLevel="0" collapsed="false">
      <c r="A130" s="3" t="s">
        <v>397</v>
      </c>
      <c r="B130" s="25" t="s">
        <v>108</v>
      </c>
      <c r="C130" s="8" t="s">
        <v>109</v>
      </c>
      <c r="D130" s="8" t="s">
        <v>272</v>
      </c>
      <c r="E130" s="8" t="s">
        <v>178</v>
      </c>
      <c r="F130" s="19" t="n">
        <v>14.2</v>
      </c>
      <c r="G130" s="33" t="n">
        <f aca="false">F130*0.006477</f>
        <v>0.0919734</v>
      </c>
      <c r="H130" s="19" t="n">
        <f aca="false">F130*1.079436</f>
        <v>15.3279912</v>
      </c>
      <c r="I130" s="18" t="n">
        <f aca="false">MAX(1,ROUNDUP(G130/0.096,0))</f>
        <v>1</v>
      </c>
      <c r="J130" s="31" t="n">
        <v>46703</v>
      </c>
      <c r="K130" s="34" t="n">
        <f aca="false">J130-WEEKDAY(J130,2)+1</f>
        <v>46699</v>
      </c>
      <c r="L130" s="31" t="n">
        <f aca="false">J130</f>
        <v>46703</v>
      </c>
      <c r="M130" s="26" t="n">
        <f aca="false">INDEX(LR_Target,MATCH(B130,LR_Lane,0))</f>
        <v>2</v>
      </c>
      <c r="N130" s="31" t="n">
        <f aca="false">WORKDAY.INTL(L130,M130,INDEX(LR_Code,MATCH(B130,LR_Lane,0)),INDEX(DH_Table,0,MATCH(B130&amp;"*",DH_Head,0)))</f>
        <v>46706</v>
      </c>
      <c r="O130" s="35" t="n">
        <f aca="false">IF(W130&lt;&gt;"",W130,IF(U130="Helmond",IF(COUNTIFS(RC_Lane,B130,RC_Band,E130,RC_Transit,"&lt;&gt;")=0,"",SUMIFS(RC_Transit,RC_Lane,B130,RC_Band,E130)),IF(U130="Other","",IF(INDEX(RS_Transit,MATCH(B130,RS_Lane,0))="","",INDEX(RS_Transit,MATCH(B130,RS_Lane,0))))))</f>
        <v>1</v>
      </c>
      <c r="P130" s="36"/>
      <c r="Q130" s="31" t="n">
        <f aca="false">IF(P130&lt;&gt;"",P130,IF(O130="","",WORKDAY.INTL(L130,ROUNDUP(O130,0),INDEX(LR_Code,MATCH(B130,LR_Lane,0)),INDEX(DH_Table,0,MATCH(B130&amp;"*",DH_Head,0)))))</f>
        <v>46705</v>
      </c>
      <c r="R130" s="37" t="str">
        <f aca="false">IF(Q130="","",IF(Q130&lt;=N130,"Yes","No"))</f>
        <v>Yes</v>
      </c>
      <c r="S130" s="26" t="n">
        <f aca="false">IF(Q130="","",IF(Q130&lt;=N130,0,NETWORKDAYS.INTL(N130,Q130,INDEX(LR_Code,MATCH(B130,LR_Lane,0)),INDEX(DH_Table,0,MATCH(B130&amp;"*",DH_Head,0)))-1))</f>
        <v>0</v>
      </c>
      <c r="T130" s="4"/>
      <c r="U130" s="25" t="str">
        <f aca="false">IF(V130&lt;&gt;"",V130,IF(IFERROR(INDEX(RS_Flag,MATCH(B130,RS_Lane,0)),"")="Yes",IF(IFERROR(INDEX(RS_Loc,MATCH(B130,RS_Lane,0)),"")="","Regional stock",IFERROR(INDEX(RS_Loc,MATCH(B130,RS_Lane,0)),"")),"Helmond"))</f>
        <v>Helmond</v>
      </c>
      <c r="V130" s="17"/>
      <c r="W130" s="38"/>
      <c r="X130" s="39"/>
      <c r="Y130" s="40" t="n">
        <f aca="false">IF(X130&lt;&gt;"",X130,IF(U130="Helmond",IF(COUNTIFS(RC_Lane,B130,RC_Band,E130,RC_CostPS,"&gt;0")=0,"",SUMIFS(RC_CostPS,RC_Lane,B130,RC_Band,E130)),IF(U130="Other","",IF(INDEX(RS_Rate,MATCH(B130,RS_Lane,0))="","",INDEX(RS_Rate,MATCH(B130,RS_Lane,0))))))</f>
        <v>76.3</v>
      </c>
    </row>
    <row r="131" customFormat="false" ht="15" hidden="false" customHeight="false" outlineLevel="0" collapsed="false">
      <c r="A131" s="3" t="s">
        <v>398</v>
      </c>
      <c r="B131" s="25" t="s">
        <v>108</v>
      </c>
      <c r="C131" s="8" t="s">
        <v>109</v>
      </c>
      <c r="D131" s="8" t="s">
        <v>272</v>
      </c>
      <c r="E131" s="8" t="s">
        <v>178</v>
      </c>
      <c r="F131" s="19" t="n">
        <v>2.4</v>
      </c>
      <c r="G131" s="33" t="n">
        <f aca="false">F131*0.006477</f>
        <v>0.0155448</v>
      </c>
      <c r="H131" s="19" t="n">
        <f aca="false">F131*1.079436</f>
        <v>2.5906464</v>
      </c>
      <c r="I131" s="18" t="n">
        <f aca="false">MAX(1,ROUNDUP(G131/0.096,0))</f>
        <v>1</v>
      </c>
      <c r="J131" s="31" t="n">
        <v>46703</v>
      </c>
      <c r="K131" s="34" t="n">
        <f aca="false">J131-WEEKDAY(J131,2)+1</f>
        <v>46699</v>
      </c>
      <c r="L131" s="31" t="n">
        <f aca="false">J131</f>
        <v>46703</v>
      </c>
      <c r="M131" s="26" t="n">
        <f aca="false">INDEX(LR_Target,MATCH(B131,LR_Lane,0))</f>
        <v>2</v>
      </c>
      <c r="N131" s="31" t="n">
        <f aca="false">WORKDAY.INTL(L131,M131,INDEX(LR_Code,MATCH(B131,LR_Lane,0)),INDEX(DH_Table,0,MATCH(B131&amp;"*",DH_Head,0)))</f>
        <v>46706</v>
      </c>
      <c r="O131" s="35" t="n">
        <f aca="false">IF(W131&lt;&gt;"",W131,IF(U131="Helmond",IF(COUNTIFS(RC_Lane,B131,RC_Band,E131,RC_Transit,"&lt;&gt;")=0,"",SUMIFS(RC_Transit,RC_Lane,B131,RC_Band,E131)),IF(U131="Other","",IF(INDEX(RS_Transit,MATCH(B131,RS_Lane,0))="","",INDEX(RS_Transit,MATCH(B131,RS_Lane,0))))))</f>
        <v>1</v>
      </c>
      <c r="P131" s="36"/>
      <c r="Q131" s="31" t="n">
        <f aca="false">IF(P131&lt;&gt;"",P131,IF(O131="","",WORKDAY.INTL(L131,ROUNDUP(O131,0),INDEX(LR_Code,MATCH(B131,LR_Lane,0)),INDEX(DH_Table,0,MATCH(B131&amp;"*",DH_Head,0)))))</f>
        <v>46705</v>
      </c>
      <c r="R131" s="37" t="str">
        <f aca="false">IF(Q131="","",IF(Q131&lt;=N131,"Yes","No"))</f>
        <v>Yes</v>
      </c>
      <c r="S131" s="26" t="n">
        <f aca="false">IF(Q131="","",IF(Q131&lt;=N131,0,NETWORKDAYS.INTL(N131,Q131,INDEX(LR_Code,MATCH(B131,LR_Lane,0)),INDEX(DH_Table,0,MATCH(B131&amp;"*",DH_Head,0)))-1))</f>
        <v>0</v>
      </c>
      <c r="T131" s="4"/>
      <c r="U131" s="25" t="str">
        <f aca="false">IF(V131&lt;&gt;"",V131,IF(IFERROR(INDEX(RS_Flag,MATCH(B131,RS_Lane,0)),"")="Yes",IF(IFERROR(INDEX(RS_Loc,MATCH(B131,RS_Lane,0)),"")="","Regional stock",IFERROR(INDEX(RS_Loc,MATCH(B131,RS_Lane,0)),"")),"Helmond"))</f>
        <v>Helmond</v>
      </c>
      <c r="V131" s="17"/>
      <c r="W131" s="38"/>
      <c r="X131" s="39"/>
      <c r="Y131" s="40" t="n">
        <f aca="false">IF(X131&lt;&gt;"",X131,IF(U131="Helmond",IF(COUNTIFS(RC_Lane,B131,RC_Band,E131,RC_CostPS,"&gt;0")=0,"",SUMIFS(RC_CostPS,RC_Lane,B131,RC_Band,E131)),IF(U131="Other","",IF(INDEX(RS_Rate,MATCH(B131,RS_Lane,0))="","",INDEX(RS_Rate,MATCH(B131,RS_Lane,0))))))</f>
        <v>76.3</v>
      </c>
    </row>
    <row r="132" customFormat="false" ht="15" hidden="false" customHeight="false" outlineLevel="0" collapsed="false">
      <c r="A132" s="3" t="s">
        <v>399</v>
      </c>
      <c r="B132" s="25" t="s">
        <v>112</v>
      </c>
      <c r="C132" s="8" t="s">
        <v>113</v>
      </c>
      <c r="D132" s="8" t="s">
        <v>152</v>
      </c>
      <c r="E132" s="8" t="s">
        <v>178</v>
      </c>
      <c r="F132" s="19" t="n">
        <v>0.9</v>
      </c>
      <c r="G132" s="33" t="n">
        <f aca="false">F132*0.006477</f>
        <v>0.0058293</v>
      </c>
      <c r="H132" s="19" t="n">
        <f aca="false">F132*1.079436</f>
        <v>0.9714924</v>
      </c>
      <c r="I132" s="18" t="n">
        <f aca="false">MAX(1,ROUNDUP(G132/0.096,0))</f>
        <v>1</v>
      </c>
      <c r="J132" s="31" t="n">
        <v>46710</v>
      </c>
      <c r="K132" s="34" t="n">
        <f aca="false">J132-WEEKDAY(J132,2)+1</f>
        <v>46706</v>
      </c>
      <c r="L132" s="31" t="n">
        <f aca="false">J132</f>
        <v>46710</v>
      </c>
      <c r="M132" s="26" t="n">
        <f aca="false">INDEX(LR_Target,MATCH(B132,LR_Lane,0))</f>
        <v>2</v>
      </c>
      <c r="N132" s="31" t="n">
        <f aca="false">WORKDAY.INTL(L132,M132,INDEX(LR_Code,MATCH(B132,LR_Lane,0)),INDEX(DH_Table,0,MATCH(B132&amp;"*",DH_Head,0)))</f>
        <v>46714</v>
      </c>
      <c r="O132" s="35" t="n">
        <f aca="false">IF(W132&lt;&gt;"",W132,IF(U132="Helmond",IF(COUNTIFS(RC_Lane,B132,RC_Band,E132,RC_Transit,"&lt;&gt;")=0,"",SUMIFS(RC_Transit,RC_Lane,B132,RC_Band,E132)),IF(U132="Other","",IF(INDEX(RS_Transit,MATCH(B132,RS_Lane,0))="","",INDEX(RS_Transit,MATCH(B132,RS_Lane,0))))))</f>
        <v>1</v>
      </c>
      <c r="P132" s="36"/>
      <c r="Q132" s="31" t="n">
        <f aca="false">IF(P132&lt;&gt;"",P132,IF(O132="","",WORKDAY.INTL(L132,ROUNDUP(O132,0),INDEX(LR_Code,MATCH(B132,LR_Lane,0)),INDEX(DH_Table,0,MATCH(B132&amp;"*",DH_Head,0)))))</f>
        <v>46713</v>
      </c>
      <c r="R132" s="37" t="str">
        <f aca="false">IF(Q132="","",IF(Q132&lt;=N132,"Yes","No"))</f>
        <v>Yes</v>
      </c>
      <c r="S132" s="26" t="n">
        <f aca="false">IF(Q132="","",IF(Q132&lt;=N132,0,NETWORKDAYS.INTL(N132,Q132,INDEX(LR_Code,MATCH(B132,LR_Lane,0)),INDEX(DH_Table,0,MATCH(B132&amp;"*",DH_Head,0)))-1))</f>
        <v>0</v>
      </c>
      <c r="T132" s="4"/>
      <c r="U132" s="25" t="str">
        <f aca="false">IF(V132&lt;&gt;"",V132,IF(IFERROR(INDEX(RS_Flag,MATCH(B132,RS_Lane,0)),"")="Yes",IF(IFERROR(INDEX(RS_Loc,MATCH(B132,RS_Lane,0)),"")="","Regional stock",IFERROR(INDEX(RS_Loc,MATCH(B132,RS_Lane,0)),"")),"Helmond"))</f>
        <v>Helmond</v>
      </c>
      <c r="V132" s="17"/>
      <c r="W132" s="38"/>
      <c r="X132" s="39"/>
      <c r="Y132" s="40" t="n">
        <f aca="false">IF(X132&lt;&gt;"",X132,IF(U132="Helmond",IF(COUNTIFS(RC_Lane,B132,RC_Band,E132,RC_CostPS,"&gt;0")=0,"",SUMIFS(RC_CostPS,RC_Lane,B132,RC_Band,E132)),IF(U132="Other","",IF(INDEX(RS_Rate,MATCH(B132,RS_Lane,0))="","",INDEX(RS_Rate,MATCH(B132,RS_Lane,0))))))</f>
        <v>76.3</v>
      </c>
    </row>
    <row r="133" customFormat="false" ht="15" hidden="false" customHeight="false" outlineLevel="0" collapsed="false">
      <c r="A133" s="3" t="s">
        <v>400</v>
      </c>
      <c r="B133" s="25" t="s">
        <v>108</v>
      </c>
      <c r="C133" s="8" t="s">
        <v>109</v>
      </c>
      <c r="D133" s="8" t="s">
        <v>272</v>
      </c>
      <c r="E133" s="8" t="s">
        <v>185</v>
      </c>
      <c r="F133" s="19" t="n">
        <v>2625.2</v>
      </c>
      <c r="G133" s="33" t="n">
        <f aca="false">F133*0.006477</f>
        <v>17.0034204</v>
      </c>
      <c r="H133" s="19" t="n">
        <f aca="false">F133*1.079436</f>
        <v>2833.7353872</v>
      </c>
      <c r="I133" s="18" t="n">
        <f aca="false">MAX(1,ROUNDUP(G133/0.096,0))</f>
        <v>178</v>
      </c>
      <c r="J133" s="31" t="n">
        <v>46715</v>
      </c>
      <c r="K133" s="34" t="n">
        <f aca="false">J133-WEEKDAY(J133,2)+1</f>
        <v>46713</v>
      </c>
      <c r="L133" s="31" t="n">
        <f aca="false">J133</f>
        <v>46715</v>
      </c>
      <c r="M133" s="26" t="n">
        <f aca="false">INDEX(LR_Target,MATCH(B133,LR_Lane,0))</f>
        <v>2</v>
      </c>
      <c r="N133" s="31" t="n">
        <f aca="false">WORKDAY.INTL(L133,M133,INDEX(LR_Code,MATCH(B133,LR_Lane,0)),INDEX(DH_Table,0,MATCH(B133&amp;"*",DH_Head,0)))</f>
        <v>46719</v>
      </c>
      <c r="O133" s="35" t="n">
        <f aca="false">IF(W133&lt;&gt;"",W133,IF(U133="Helmond",IF(COUNTIFS(RC_Lane,B133,RC_Band,E133,RC_Transit,"&lt;&gt;")=0,"",SUMIFS(RC_Transit,RC_Lane,B133,RC_Band,E133)),IF(U133="Other","",IF(INDEX(RS_Transit,MATCH(B133,RS_Lane,0))="","",INDEX(RS_Transit,MATCH(B133,RS_Lane,0))))))</f>
        <v>6</v>
      </c>
      <c r="P133" s="36"/>
      <c r="Q133" s="31" t="n">
        <f aca="false">IF(P133&lt;&gt;"",P133,IF(O133="","",WORKDAY.INTL(L133,ROUNDUP(O133,0),INDEX(LR_Code,MATCH(B133,LR_Lane,0)),INDEX(DH_Table,0,MATCH(B133&amp;"*",DH_Head,0)))))</f>
        <v>46723</v>
      </c>
      <c r="R133" s="37" t="str">
        <f aca="false">IF(Q133="","",IF(Q133&lt;=N133,"Yes","No"))</f>
        <v>No</v>
      </c>
      <c r="S133" s="26" t="n">
        <f aca="false">IF(Q133="","",IF(Q133&lt;=N133,0,NETWORKDAYS.INTL(N133,Q133,INDEX(LR_Code,MATCH(B133,LR_Lane,0)),INDEX(DH_Table,0,MATCH(B133&amp;"*",DH_Head,0)))-1))</f>
        <v>4</v>
      </c>
      <c r="T133" s="4"/>
      <c r="U133" s="25" t="str">
        <f aca="false">IF(V133&lt;&gt;"",V133,IF(IFERROR(INDEX(RS_Flag,MATCH(B133,RS_Lane,0)),"")="Yes",IF(IFERROR(INDEX(RS_Loc,MATCH(B133,RS_Lane,0)),"")="","Regional stock",IFERROR(INDEX(RS_Loc,MATCH(B133,RS_Lane,0)),"")),"Helmond"))</f>
        <v>Helmond</v>
      </c>
      <c r="V133" s="17"/>
      <c r="W133" s="38"/>
      <c r="X133" s="39"/>
      <c r="Y133" s="40" t="n">
        <f aca="false">IF(X133&lt;&gt;"",X133,IF(U133="Helmond",IF(COUNTIFS(RC_Lane,B133,RC_Band,E133,RC_CostPS,"&gt;0")=0,"",SUMIFS(RC_CostPS,RC_Lane,B133,RC_Band,E133)),IF(U133="Other","",IF(INDEX(RS_Rate,MATCH(B133,RS_Lane,0))="","",INDEX(RS_Rate,MATCH(B133,RS_Lane,0))))))</f>
        <v>9432.402</v>
      </c>
    </row>
    <row r="134" customFormat="false" ht="15" hidden="false" customHeight="false" outlineLevel="0" collapsed="false">
      <c r="A134" s="3" t="s">
        <v>401</v>
      </c>
      <c r="B134" s="25" t="s">
        <v>117</v>
      </c>
      <c r="C134" s="8" t="s">
        <v>118</v>
      </c>
      <c r="D134" s="8" t="s">
        <v>154</v>
      </c>
      <c r="E134" s="8" t="s">
        <v>180</v>
      </c>
      <c r="F134" s="19" t="n">
        <v>68.6</v>
      </c>
      <c r="G134" s="33" t="n">
        <f aca="false">F134*0.006477</f>
        <v>0.4443222</v>
      </c>
      <c r="H134" s="19" t="n">
        <f aca="false">F134*1.079436</f>
        <v>74.0493096</v>
      </c>
      <c r="I134" s="18" t="n">
        <f aca="false">MAX(1,ROUNDUP(G134/0.096,0))</f>
        <v>5</v>
      </c>
      <c r="J134" s="31" t="n">
        <v>46715</v>
      </c>
      <c r="K134" s="34" t="n">
        <f aca="false">J134-WEEKDAY(J134,2)+1</f>
        <v>46713</v>
      </c>
      <c r="L134" s="31" t="n">
        <f aca="false">J134</f>
        <v>46715</v>
      </c>
      <c r="M134" s="26" t="n">
        <f aca="false">INDEX(LR_Target,MATCH(B134,LR_Lane,0))</f>
        <v>2</v>
      </c>
      <c r="N134" s="31" t="n">
        <f aca="false">WORKDAY.INTL(L134,M134,INDEX(LR_Code,MATCH(B134,LR_Lane,0)),INDEX(DH_Table,0,MATCH(B134&amp;"*",DH_Head,0)))</f>
        <v>46719</v>
      </c>
      <c r="O134" s="35" t="n">
        <f aca="false">IF(W134&lt;&gt;"",W134,IF(U134="Helmond",IF(COUNTIFS(RC_Lane,B134,RC_Band,E134,RC_Transit,"&lt;&gt;")=0,"",SUMIFS(RC_Transit,RC_Lane,B134,RC_Band,E134)),IF(U134="Other","",IF(INDEX(RS_Transit,MATCH(B134,RS_Lane,0))="","",INDEX(RS_Transit,MATCH(B134,RS_Lane,0))))))</f>
        <v>2</v>
      </c>
      <c r="P134" s="36"/>
      <c r="Q134" s="31" t="n">
        <f aca="false">IF(P134&lt;&gt;"",P134,IF(O134="","",WORKDAY.INTL(L134,ROUNDUP(O134,0),INDEX(LR_Code,MATCH(B134,LR_Lane,0)),INDEX(DH_Table,0,MATCH(B134&amp;"*",DH_Head,0)))))</f>
        <v>46719</v>
      </c>
      <c r="R134" s="37" t="str">
        <f aca="false">IF(Q134="","",IF(Q134&lt;=N134,"Yes","No"))</f>
        <v>Yes</v>
      </c>
      <c r="S134" s="26" t="n">
        <f aca="false">IF(Q134="","",IF(Q134&lt;=N134,0,NETWORKDAYS.INTL(N134,Q134,INDEX(LR_Code,MATCH(B134,LR_Lane,0)),INDEX(DH_Table,0,MATCH(B134&amp;"*",DH_Head,0)))-1))</f>
        <v>0</v>
      </c>
      <c r="T134" s="4"/>
      <c r="U134" s="25" t="str">
        <f aca="false">IF(V134&lt;&gt;"",V134,IF(IFERROR(INDEX(RS_Flag,MATCH(B134,RS_Lane,0)),"")="Yes",IF(IFERROR(INDEX(RS_Loc,MATCH(B134,RS_Lane,0)),"")="","Regional stock",IFERROR(INDEX(RS_Loc,MATCH(B134,RS_Lane,0)),"")),"Helmond"))</f>
        <v>Helmond</v>
      </c>
      <c r="V134" s="17"/>
      <c r="W134" s="38"/>
      <c r="X134" s="39"/>
      <c r="Y134" s="40" t="n">
        <f aca="false">IF(X134&lt;&gt;"",X134,IF(U134="Helmond",IF(COUNTIFS(RC_Lane,B134,RC_Band,E134,RC_CostPS,"&gt;0")=0,"",SUMIFS(RC_CostPS,RC_Lane,B134,RC_Band,E134)),IF(U134="Other","",IF(INDEX(RS_Rate,MATCH(B134,RS_Lane,0))="","",INDEX(RS_Rate,MATCH(B134,RS_Lane,0))))))</f>
        <v>162.5344</v>
      </c>
    </row>
    <row r="135" customFormat="false" ht="15" hidden="false" customHeight="false" outlineLevel="0" collapsed="false">
      <c r="A135" s="3" t="s">
        <v>402</v>
      </c>
      <c r="B135" s="25" t="s">
        <v>108</v>
      </c>
      <c r="C135" s="8" t="s">
        <v>109</v>
      </c>
      <c r="D135" s="8" t="s">
        <v>272</v>
      </c>
      <c r="E135" s="8" t="s">
        <v>183</v>
      </c>
      <c r="F135" s="19" t="n">
        <v>784.8</v>
      </c>
      <c r="G135" s="33" t="n">
        <f aca="false">F135*0.006477</f>
        <v>5.0831496</v>
      </c>
      <c r="H135" s="19" t="n">
        <f aca="false">F135*1.079436</f>
        <v>847.1413728</v>
      </c>
      <c r="I135" s="18" t="n">
        <f aca="false">MAX(1,ROUNDUP(G135/0.096,0))</f>
        <v>53</v>
      </c>
      <c r="J135" s="31" t="n">
        <v>46720</v>
      </c>
      <c r="K135" s="34" t="n">
        <f aca="false">J135-WEEKDAY(J135,2)+1</f>
        <v>46720</v>
      </c>
      <c r="L135" s="31" t="n">
        <f aca="false">J135</f>
        <v>46720</v>
      </c>
      <c r="M135" s="26" t="n">
        <f aca="false">INDEX(LR_Target,MATCH(B135,LR_Lane,0))</f>
        <v>2</v>
      </c>
      <c r="N135" s="31" t="n">
        <f aca="false">WORKDAY.INTL(L135,M135,INDEX(LR_Code,MATCH(B135,LR_Lane,0)),INDEX(DH_Table,0,MATCH(B135&amp;"*",DH_Head,0)))</f>
        <v>46722</v>
      </c>
      <c r="O135" s="35" t="n">
        <f aca="false">IF(W135&lt;&gt;"",W135,IF(U135="Helmond",IF(COUNTIFS(RC_Lane,B135,RC_Band,E135,RC_Transit,"&lt;&gt;")=0,"",SUMIFS(RC_Transit,RC_Lane,B135,RC_Band,E135)),IF(U135="Other","",IF(INDEX(RS_Transit,MATCH(B135,RS_Lane,0))="","",INDEX(RS_Transit,MATCH(B135,RS_Lane,0))))))</f>
        <v>4</v>
      </c>
      <c r="P135" s="36"/>
      <c r="Q135" s="31" t="n">
        <f aca="false">IF(P135&lt;&gt;"",P135,IF(O135="","",WORKDAY.INTL(L135,ROUNDUP(O135,0),INDEX(LR_Code,MATCH(B135,LR_Lane,0)),INDEX(DH_Table,0,MATCH(B135&amp;"*",DH_Head,0)))))</f>
        <v>46726</v>
      </c>
      <c r="R135" s="37" t="str">
        <f aca="false">IF(Q135="","",IF(Q135&lt;=N135,"Yes","No"))</f>
        <v>No</v>
      </c>
      <c r="S135" s="26" t="n">
        <f aca="false">IF(Q135="","",IF(Q135&lt;=N135,0,NETWORKDAYS.INTL(N135,Q135,INDEX(LR_Code,MATCH(B135,LR_Lane,0)),INDEX(DH_Table,0,MATCH(B135&amp;"*",DH_Head,0)))-1))</f>
        <v>2</v>
      </c>
      <c r="T135" s="4"/>
      <c r="U135" s="25" t="str">
        <f aca="false">IF(V135&lt;&gt;"",V135,IF(IFERROR(INDEX(RS_Flag,MATCH(B135,RS_Lane,0)),"")="Yes",IF(IFERROR(INDEX(RS_Loc,MATCH(B135,RS_Lane,0)),"")="","Regional stock",IFERROR(INDEX(RS_Loc,MATCH(B135,RS_Lane,0)),"")),"Helmond"))</f>
        <v>Helmond</v>
      </c>
      <c r="V135" s="17"/>
      <c r="W135" s="38"/>
      <c r="X135" s="39"/>
      <c r="Y135" s="40" t="n">
        <f aca="false">IF(X135&lt;&gt;"",X135,IF(U135="Helmond",IF(COUNTIFS(RC_Lane,B135,RC_Band,E135,RC_CostPS,"&gt;0")=0,"",SUMIFS(RC_CostPS,RC_Lane,B135,RC_Band,E135)),IF(U135="Other","",IF(INDEX(RS_Rate,MATCH(B135,RS_Lane,0))="","",INDEX(RS_Rate,MATCH(B135,RS_Lane,0))))))</f>
        <v>3212.032</v>
      </c>
    </row>
    <row r="136" customFormat="false" ht="15" hidden="false" customHeight="false" outlineLevel="0" collapsed="false">
      <c r="A136" s="3" t="s">
        <v>403</v>
      </c>
      <c r="B136" s="25" t="s">
        <v>112</v>
      </c>
      <c r="C136" s="8" t="s">
        <v>113</v>
      </c>
      <c r="D136" s="8" t="s">
        <v>152</v>
      </c>
      <c r="E136" s="8" t="s">
        <v>178</v>
      </c>
      <c r="F136" s="19" t="n">
        <v>11.8</v>
      </c>
      <c r="G136" s="33" t="n">
        <f aca="false">F136*0.006477</f>
        <v>0.0764286</v>
      </c>
      <c r="H136" s="19" t="n">
        <f aca="false">F136*1.079436</f>
        <v>12.7373448</v>
      </c>
      <c r="I136" s="18" t="n">
        <f aca="false">MAX(1,ROUNDUP(G136/0.096,0))</f>
        <v>1</v>
      </c>
      <c r="J136" s="31" t="n">
        <v>46720</v>
      </c>
      <c r="K136" s="34" t="n">
        <f aca="false">J136-WEEKDAY(J136,2)+1</f>
        <v>46720</v>
      </c>
      <c r="L136" s="31" t="n">
        <f aca="false">J136</f>
        <v>46720</v>
      </c>
      <c r="M136" s="26" t="n">
        <f aca="false">INDEX(LR_Target,MATCH(B136,LR_Lane,0))</f>
        <v>2</v>
      </c>
      <c r="N136" s="31" t="n">
        <f aca="false">WORKDAY.INTL(L136,M136,INDEX(LR_Code,MATCH(B136,LR_Lane,0)),INDEX(DH_Table,0,MATCH(B136&amp;"*",DH_Head,0)))</f>
        <v>46722</v>
      </c>
      <c r="O136" s="35" t="n">
        <f aca="false">IF(W136&lt;&gt;"",W136,IF(U136="Helmond",IF(COUNTIFS(RC_Lane,B136,RC_Band,E136,RC_Transit,"&lt;&gt;")=0,"",SUMIFS(RC_Transit,RC_Lane,B136,RC_Band,E136)),IF(U136="Other","",IF(INDEX(RS_Transit,MATCH(B136,RS_Lane,0))="","",INDEX(RS_Transit,MATCH(B136,RS_Lane,0))))))</f>
        <v>1</v>
      </c>
      <c r="P136" s="36"/>
      <c r="Q136" s="31" t="n">
        <f aca="false">IF(P136&lt;&gt;"",P136,IF(O136="","",WORKDAY.INTL(L136,ROUNDUP(O136,0),INDEX(LR_Code,MATCH(B136,LR_Lane,0)),INDEX(DH_Table,0,MATCH(B136&amp;"*",DH_Head,0)))))</f>
        <v>46721</v>
      </c>
      <c r="R136" s="37" t="str">
        <f aca="false">IF(Q136="","",IF(Q136&lt;=N136,"Yes","No"))</f>
        <v>Yes</v>
      </c>
      <c r="S136" s="26" t="n">
        <f aca="false">IF(Q136="","",IF(Q136&lt;=N136,0,NETWORKDAYS.INTL(N136,Q136,INDEX(LR_Code,MATCH(B136,LR_Lane,0)),INDEX(DH_Table,0,MATCH(B136&amp;"*",DH_Head,0)))-1))</f>
        <v>0</v>
      </c>
      <c r="T136" s="4"/>
      <c r="U136" s="25" t="str">
        <f aca="false">IF(V136&lt;&gt;"",V136,IF(IFERROR(INDEX(RS_Flag,MATCH(B136,RS_Lane,0)),"")="Yes",IF(IFERROR(INDEX(RS_Loc,MATCH(B136,RS_Lane,0)),"")="","Regional stock",IFERROR(INDEX(RS_Loc,MATCH(B136,RS_Lane,0)),"")),"Helmond"))</f>
        <v>Helmond</v>
      </c>
      <c r="V136" s="17"/>
      <c r="W136" s="38"/>
      <c r="X136" s="39"/>
      <c r="Y136" s="40" t="n">
        <f aca="false">IF(X136&lt;&gt;"",X136,IF(U136="Helmond",IF(COUNTIFS(RC_Lane,B136,RC_Band,E136,RC_CostPS,"&gt;0")=0,"",SUMIFS(RC_CostPS,RC_Lane,B136,RC_Band,E136)),IF(U136="Other","",IF(INDEX(RS_Rate,MATCH(B136,RS_Lane,0))="","",INDEX(RS_Rate,MATCH(B136,RS_Lane,0))))))</f>
        <v>76.3</v>
      </c>
    </row>
    <row r="137" customFormat="false" ht="15" hidden="false" customHeight="false" outlineLevel="0" collapsed="false">
      <c r="A137" s="3" t="s">
        <v>404</v>
      </c>
      <c r="B137" s="25" t="s">
        <v>112</v>
      </c>
      <c r="C137" s="8" t="s">
        <v>113</v>
      </c>
      <c r="D137" s="8" t="s">
        <v>152</v>
      </c>
      <c r="E137" s="8" t="s">
        <v>178</v>
      </c>
      <c r="F137" s="19" t="n">
        <v>6.6</v>
      </c>
      <c r="G137" s="33" t="n">
        <f aca="false">F137*0.006477</f>
        <v>0.0427482</v>
      </c>
      <c r="H137" s="19" t="n">
        <f aca="false">F137*1.079436</f>
        <v>7.1242776</v>
      </c>
      <c r="I137" s="18" t="n">
        <f aca="false">MAX(1,ROUNDUP(G137/0.096,0))</f>
        <v>1</v>
      </c>
      <c r="J137" s="31" t="n">
        <v>46720</v>
      </c>
      <c r="K137" s="34" t="n">
        <f aca="false">J137-WEEKDAY(J137,2)+1</f>
        <v>46720</v>
      </c>
      <c r="L137" s="31" t="n">
        <f aca="false">J137</f>
        <v>46720</v>
      </c>
      <c r="M137" s="26" t="n">
        <f aca="false">INDEX(LR_Target,MATCH(B137,LR_Lane,0))</f>
        <v>2</v>
      </c>
      <c r="N137" s="31" t="n">
        <f aca="false">WORKDAY.INTL(L137,M137,INDEX(LR_Code,MATCH(B137,LR_Lane,0)),INDEX(DH_Table,0,MATCH(B137&amp;"*",DH_Head,0)))</f>
        <v>46722</v>
      </c>
      <c r="O137" s="35" t="n">
        <f aca="false">IF(W137&lt;&gt;"",W137,IF(U137="Helmond",IF(COUNTIFS(RC_Lane,B137,RC_Band,E137,RC_Transit,"&lt;&gt;")=0,"",SUMIFS(RC_Transit,RC_Lane,B137,RC_Band,E137)),IF(U137="Other","",IF(INDEX(RS_Transit,MATCH(B137,RS_Lane,0))="","",INDEX(RS_Transit,MATCH(B137,RS_Lane,0))))))</f>
        <v>1</v>
      </c>
      <c r="P137" s="36"/>
      <c r="Q137" s="31" t="n">
        <f aca="false">IF(P137&lt;&gt;"",P137,IF(O137="","",WORKDAY.INTL(L137,ROUNDUP(O137,0),INDEX(LR_Code,MATCH(B137,LR_Lane,0)),INDEX(DH_Table,0,MATCH(B137&amp;"*",DH_Head,0)))))</f>
        <v>46721</v>
      </c>
      <c r="R137" s="37" t="str">
        <f aca="false">IF(Q137="","",IF(Q137&lt;=N137,"Yes","No"))</f>
        <v>Yes</v>
      </c>
      <c r="S137" s="26" t="n">
        <f aca="false">IF(Q137="","",IF(Q137&lt;=N137,0,NETWORKDAYS.INTL(N137,Q137,INDEX(LR_Code,MATCH(B137,LR_Lane,0)),INDEX(DH_Table,0,MATCH(B137&amp;"*",DH_Head,0)))-1))</f>
        <v>0</v>
      </c>
      <c r="T137" s="4"/>
      <c r="U137" s="25" t="str">
        <f aca="false">IF(V137&lt;&gt;"",V137,IF(IFERROR(INDEX(RS_Flag,MATCH(B137,RS_Lane,0)),"")="Yes",IF(IFERROR(INDEX(RS_Loc,MATCH(B137,RS_Lane,0)),"")="","Regional stock",IFERROR(INDEX(RS_Loc,MATCH(B137,RS_Lane,0)),"")),"Helmond"))</f>
        <v>Helmond</v>
      </c>
      <c r="V137" s="17"/>
      <c r="W137" s="38"/>
      <c r="X137" s="39"/>
      <c r="Y137" s="40" t="n">
        <f aca="false">IF(X137&lt;&gt;"",X137,IF(U137="Helmond",IF(COUNTIFS(RC_Lane,B137,RC_Band,E137,RC_CostPS,"&gt;0")=0,"",SUMIFS(RC_CostPS,RC_Lane,B137,RC_Band,E137)),IF(U137="Other","",IF(INDEX(RS_Rate,MATCH(B137,RS_Lane,0))="","",INDEX(RS_Rate,MATCH(B137,RS_Lane,0))))))</f>
        <v>76.3</v>
      </c>
    </row>
    <row r="138" customFormat="false" ht="15" hidden="false" customHeight="false" outlineLevel="0" collapsed="false">
      <c r="A138" s="3" t="s">
        <v>405</v>
      </c>
      <c r="B138" s="25" t="s">
        <v>115</v>
      </c>
      <c r="C138" s="8" t="s">
        <v>116</v>
      </c>
      <c r="D138" s="8" t="s">
        <v>153</v>
      </c>
      <c r="E138" s="8" t="s">
        <v>182</v>
      </c>
      <c r="F138" s="19" t="n">
        <v>269.7</v>
      </c>
      <c r="G138" s="33" t="n">
        <f aca="false">F138*0.006477</f>
        <v>1.7468469</v>
      </c>
      <c r="H138" s="19" t="n">
        <f aca="false">F138*1.079436</f>
        <v>291.1238892</v>
      </c>
      <c r="I138" s="18" t="n">
        <f aca="false">MAX(1,ROUNDUP(G138/0.096,0))</f>
        <v>19</v>
      </c>
      <c r="J138" s="31" t="n">
        <v>46720</v>
      </c>
      <c r="K138" s="34" t="n">
        <f aca="false">J138-WEEKDAY(J138,2)+1</f>
        <v>46720</v>
      </c>
      <c r="L138" s="31" t="n">
        <f aca="false">J138</f>
        <v>46720</v>
      </c>
      <c r="M138" s="26" t="n">
        <f aca="false">INDEX(LR_Target,MATCH(B138,LR_Lane,0))</f>
        <v>2</v>
      </c>
      <c r="N138" s="31" t="n">
        <f aca="false">WORKDAY.INTL(L138,M138,INDEX(LR_Code,MATCH(B138,LR_Lane,0)),INDEX(DH_Table,0,MATCH(B138&amp;"*",DH_Head,0)))</f>
        <v>46722</v>
      </c>
      <c r="O138" s="35" t="n">
        <f aca="false">IF(W138&lt;&gt;"",W138,IF(U138="Helmond",IF(COUNTIFS(RC_Lane,B138,RC_Band,E138,RC_Transit,"&lt;&gt;")=0,"",SUMIFS(RC_Transit,RC_Lane,B138,RC_Band,E138)),IF(U138="Other","",IF(INDEX(RS_Transit,MATCH(B138,RS_Lane,0))="","",INDEX(RS_Transit,MATCH(B138,RS_Lane,0))))))</f>
        <v>3</v>
      </c>
      <c r="P138" s="36"/>
      <c r="Q138" s="31" t="n">
        <f aca="false">IF(P138&lt;&gt;"",P138,IF(O138="","",WORKDAY.INTL(L138,ROUNDUP(O138,0),INDEX(LR_Code,MATCH(B138,LR_Lane,0)),INDEX(DH_Table,0,MATCH(B138&amp;"*",DH_Head,0)))))</f>
        <v>46723</v>
      </c>
      <c r="R138" s="37" t="str">
        <f aca="false">IF(Q138="","",IF(Q138&lt;=N138,"Yes","No"))</f>
        <v>No</v>
      </c>
      <c r="S138" s="26" t="n">
        <f aca="false">IF(Q138="","",IF(Q138&lt;=N138,0,NETWORKDAYS.INTL(N138,Q138,INDEX(LR_Code,MATCH(B138,LR_Lane,0)),INDEX(DH_Table,0,MATCH(B138&amp;"*",DH_Head,0)))-1))</f>
        <v>1</v>
      </c>
      <c r="T138" s="4"/>
      <c r="U138" s="25" t="str">
        <f aca="false">IF(V138&lt;&gt;"",V138,IF(IFERROR(INDEX(RS_Flag,MATCH(B138,RS_Lane,0)),"")="Yes",IF(IFERROR(INDEX(RS_Loc,MATCH(B138,RS_Lane,0)),"")="","Regional stock",IFERROR(INDEX(RS_Loc,MATCH(B138,RS_Lane,0)),"")),"Helmond"))</f>
        <v>Helmond</v>
      </c>
      <c r="V138" s="17"/>
      <c r="W138" s="38"/>
      <c r="X138" s="39"/>
      <c r="Y138" s="40" t="n">
        <f aca="false">IF(X138&lt;&gt;"",X138,IF(U138="Helmond",IF(COUNTIFS(RC_Lane,B138,RC_Band,E138,RC_CostPS,"&gt;0")=0,"",SUMIFS(RC_CostPS,RC_Lane,B138,RC_Band,E138)),IF(U138="Other","",IF(INDEX(RS_Rate,MATCH(B138,RS_Lane,0))="","",INDEX(RS_Rate,MATCH(B138,RS_Lane,0))))))</f>
        <v>1338.1094</v>
      </c>
    </row>
    <row r="139" customFormat="false" ht="15" hidden="false" customHeight="false" outlineLevel="0" collapsed="false">
      <c r="A139" s="3" t="s">
        <v>406</v>
      </c>
      <c r="B139" s="25" t="s">
        <v>115</v>
      </c>
      <c r="C139" s="8" t="s">
        <v>116</v>
      </c>
      <c r="D139" s="8" t="s">
        <v>153</v>
      </c>
      <c r="E139" s="8" t="s">
        <v>182</v>
      </c>
      <c r="F139" s="19" t="n">
        <v>312.4</v>
      </c>
      <c r="G139" s="33" t="n">
        <f aca="false">F139*0.006477</f>
        <v>2.0234148</v>
      </c>
      <c r="H139" s="19" t="n">
        <f aca="false">F139*1.079436</f>
        <v>337.2158064</v>
      </c>
      <c r="I139" s="18" t="n">
        <f aca="false">MAX(1,ROUNDUP(G139/0.096,0))</f>
        <v>22</v>
      </c>
      <c r="J139" s="31" t="n">
        <v>46722</v>
      </c>
      <c r="K139" s="34" t="n">
        <f aca="false">J139-WEEKDAY(J139,2)+1</f>
        <v>46720</v>
      </c>
      <c r="L139" s="31" t="n">
        <f aca="false">J139</f>
        <v>46722</v>
      </c>
      <c r="M139" s="26" t="n">
        <f aca="false">INDEX(LR_Target,MATCH(B139,LR_Lane,0))</f>
        <v>2</v>
      </c>
      <c r="N139" s="31" t="n">
        <f aca="false">WORKDAY.INTL(L139,M139,INDEX(LR_Code,MATCH(B139,LR_Lane,0)),INDEX(DH_Table,0,MATCH(B139&amp;"*",DH_Head,0)))</f>
        <v>46726</v>
      </c>
      <c r="O139" s="35" t="n">
        <f aca="false">IF(W139&lt;&gt;"",W139,IF(U139="Helmond",IF(COUNTIFS(RC_Lane,B139,RC_Band,E139,RC_Transit,"&lt;&gt;")=0,"",SUMIFS(RC_Transit,RC_Lane,B139,RC_Band,E139)),IF(U139="Other","",IF(INDEX(RS_Transit,MATCH(B139,RS_Lane,0))="","",INDEX(RS_Transit,MATCH(B139,RS_Lane,0))))))</f>
        <v>3</v>
      </c>
      <c r="P139" s="36"/>
      <c r="Q139" s="31" t="n">
        <f aca="false">IF(P139&lt;&gt;"",P139,IF(O139="","",WORKDAY.INTL(L139,ROUNDUP(O139,0),INDEX(LR_Code,MATCH(B139,LR_Lane,0)),INDEX(DH_Table,0,MATCH(B139&amp;"*",DH_Head,0)))))</f>
        <v>46727</v>
      </c>
      <c r="R139" s="37" t="str">
        <f aca="false">IF(Q139="","",IF(Q139&lt;=N139,"Yes","No"))</f>
        <v>No</v>
      </c>
      <c r="S139" s="26" t="n">
        <f aca="false">IF(Q139="","",IF(Q139&lt;=N139,0,NETWORKDAYS.INTL(N139,Q139,INDEX(LR_Code,MATCH(B139,LR_Lane,0)),INDEX(DH_Table,0,MATCH(B139&amp;"*",DH_Head,0)))-1))</f>
        <v>1</v>
      </c>
      <c r="T139" s="4"/>
      <c r="U139" s="25" t="str">
        <f aca="false">IF(V139&lt;&gt;"",V139,IF(IFERROR(INDEX(RS_Flag,MATCH(B139,RS_Lane,0)),"")="Yes",IF(IFERROR(INDEX(RS_Loc,MATCH(B139,RS_Lane,0)),"")="","Regional stock",IFERROR(INDEX(RS_Loc,MATCH(B139,RS_Lane,0)),"")),"Helmond"))</f>
        <v>Helmond</v>
      </c>
      <c r="V139" s="17"/>
      <c r="W139" s="38"/>
      <c r="X139" s="39"/>
      <c r="Y139" s="40" t="n">
        <f aca="false">IF(X139&lt;&gt;"",X139,IF(U139="Helmond",IF(COUNTIFS(RC_Lane,B139,RC_Band,E139,RC_CostPS,"&gt;0")=0,"",SUMIFS(RC_CostPS,RC_Lane,B139,RC_Band,E139)),IF(U139="Other","",IF(INDEX(RS_Rate,MATCH(B139,RS_Lane,0))="","",INDEX(RS_Rate,MATCH(B139,RS_Lane,0))))))</f>
        <v>1338.1094</v>
      </c>
    </row>
    <row r="140" customFormat="false" ht="15" hidden="false" customHeight="false" outlineLevel="0" collapsed="false">
      <c r="A140" s="3" t="s">
        <v>407</v>
      </c>
      <c r="B140" s="25" t="s">
        <v>119</v>
      </c>
      <c r="C140" s="8" t="s">
        <v>120</v>
      </c>
      <c r="D140" s="8" t="s">
        <v>155</v>
      </c>
      <c r="E140" s="8" t="s">
        <v>178</v>
      </c>
      <c r="F140" s="19" t="n">
        <v>10.3</v>
      </c>
      <c r="G140" s="33" t="n">
        <f aca="false">F140*0.006477</f>
        <v>0.0667131</v>
      </c>
      <c r="H140" s="19" t="n">
        <f aca="false">F140*1.079436</f>
        <v>11.1181908</v>
      </c>
      <c r="I140" s="18" t="n">
        <f aca="false">MAX(1,ROUNDUP(G140/0.096,0))</f>
        <v>1</v>
      </c>
      <c r="J140" s="31" t="n">
        <v>46724</v>
      </c>
      <c r="K140" s="34" t="n">
        <f aca="false">J140-WEEKDAY(J140,2)+1</f>
        <v>46720</v>
      </c>
      <c r="L140" s="31" t="n">
        <f aca="false">J140</f>
        <v>46724</v>
      </c>
      <c r="M140" s="26" t="n">
        <f aca="false">INDEX(LR_Target,MATCH(B140,LR_Lane,0))</f>
        <v>3</v>
      </c>
      <c r="N140" s="31" t="n">
        <f aca="false">WORKDAY.INTL(L140,M140,INDEX(LR_Code,MATCH(B140,LR_Lane,0)),INDEX(DH_Table,0,MATCH(B140&amp;"*",DH_Head,0)))</f>
        <v>46729</v>
      </c>
      <c r="O140" s="35" t="n">
        <f aca="false">IF(W140&lt;&gt;"",W140,IF(U140="Helmond",IF(COUNTIFS(RC_Lane,B140,RC_Band,E140,RC_Transit,"&lt;&gt;")=0,"",SUMIFS(RC_Transit,RC_Lane,B140,RC_Band,E140)),IF(U140="Other","",IF(INDEX(RS_Transit,MATCH(B140,RS_Lane,0))="","",INDEX(RS_Transit,MATCH(B140,RS_Lane,0))))))</f>
        <v>1</v>
      </c>
      <c r="P140" s="36"/>
      <c r="Q140" s="31" t="n">
        <f aca="false">IF(P140&lt;&gt;"",P140,IF(O140="","",WORKDAY.INTL(L140,ROUNDUP(O140,0),INDEX(LR_Code,MATCH(B140,LR_Lane,0)),INDEX(DH_Table,0,MATCH(B140&amp;"*",DH_Head,0)))))</f>
        <v>46727</v>
      </c>
      <c r="R140" s="37" t="str">
        <f aca="false">IF(Q140="","",IF(Q140&lt;=N140,"Yes","No"))</f>
        <v>Yes</v>
      </c>
      <c r="S140" s="26" t="n">
        <f aca="false">IF(Q140="","",IF(Q140&lt;=N140,0,NETWORKDAYS.INTL(N140,Q140,INDEX(LR_Code,MATCH(B140,LR_Lane,0)),INDEX(DH_Table,0,MATCH(B140&amp;"*",DH_Head,0)))-1))</f>
        <v>0</v>
      </c>
      <c r="T140" s="4"/>
      <c r="U140" s="25" t="str">
        <f aca="false">IF(V140&lt;&gt;"",V140,IF(IFERROR(INDEX(RS_Flag,MATCH(B140,RS_Lane,0)),"")="Yes",IF(IFERROR(INDEX(RS_Loc,MATCH(B140,RS_Lane,0)),"")="","Regional stock",IFERROR(INDEX(RS_Loc,MATCH(B140,RS_Lane,0)),"")),"Helmond"))</f>
        <v>Helmond</v>
      </c>
      <c r="V140" s="17"/>
      <c r="W140" s="38"/>
      <c r="X140" s="39"/>
      <c r="Y140" s="40" t="n">
        <f aca="false">IF(X140&lt;&gt;"",X140,IF(U140="Helmond",IF(COUNTIFS(RC_Lane,B140,RC_Band,E140,RC_CostPS,"&gt;0")=0,"",SUMIFS(RC_CostPS,RC_Lane,B140,RC_Band,E140)),IF(U140="Other","",IF(INDEX(RS_Rate,MATCH(B140,RS_Lane,0))="","",INDEX(RS_Rate,MATCH(B140,RS_Lane,0))))))</f>
        <v>76.3</v>
      </c>
    </row>
    <row r="141" customFormat="false" ht="15" hidden="false" customHeight="false" outlineLevel="0" collapsed="false">
      <c r="A141" s="3" t="s">
        <v>408</v>
      </c>
      <c r="B141" s="25" t="s">
        <v>108</v>
      </c>
      <c r="C141" s="8" t="s">
        <v>109</v>
      </c>
      <c r="D141" s="8" t="s">
        <v>270</v>
      </c>
      <c r="E141" s="8" t="s">
        <v>178</v>
      </c>
      <c r="F141" s="19" t="n">
        <v>14.8</v>
      </c>
      <c r="G141" s="33" t="n">
        <f aca="false">F141*0.006477</f>
        <v>0.0958596</v>
      </c>
      <c r="H141" s="19" t="n">
        <f aca="false">F141*1.079436</f>
        <v>15.9756528</v>
      </c>
      <c r="I141" s="18" t="n">
        <f aca="false">MAX(1,ROUNDUP(G141/0.096,0))</f>
        <v>1</v>
      </c>
      <c r="J141" s="31" t="n">
        <v>46727</v>
      </c>
      <c r="K141" s="34" t="n">
        <f aca="false">J141-WEEKDAY(J141,2)+1</f>
        <v>46727</v>
      </c>
      <c r="L141" s="31" t="n">
        <f aca="false">J141</f>
        <v>46727</v>
      </c>
      <c r="M141" s="26" t="n">
        <f aca="false">INDEX(LR_Target,MATCH(B141,LR_Lane,0))</f>
        <v>2</v>
      </c>
      <c r="N141" s="31" t="n">
        <f aca="false">WORKDAY.INTL(L141,M141,INDEX(LR_Code,MATCH(B141,LR_Lane,0)),INDEX(DH_Table,0,MATCH(B141&amp;"*",DH_Head,0)))</f>
        <v>46729</v>
      </c>
      <c r="O141" s="35" t="n">
        <f aca="false">IF(W141&lt;&gt;"",W141,IF(U141="Helmond",IF(COUNTIFS(RC_Lane,B141,RC_Band,E141,RC_Transit,"&lt;&gt;")=0,"",SUMIFS(RC_Transit,RC_Lane,B141,RC_Band,E141)),IF(U141="Other","",IF(INDEX(RS_Transit,MATCH(B141,RS_Lane,0))="","",INDEX(RS_Transit,MATCH(B141,RS_Lane,0))))))</f>
        <v>1</v>
      </c>
      <c r="P141" s="36"/>
      <c r="Q141" s="31" t="n">
        <f aca="false">IF(P141&lt;&gt;"",P141,IF(O141="","",WORKDAY.INTL(L141,ROUNDUP(O141,0),INDEX(LR_Code,MATCH(B141,LR_Lane,0)),INDEX(DH_Table,0,MATCH(B141&amp;"*",DH_Head,0)))))</f>
        <v>46728</v>
      </c>
      <c r="R141" s="37" t="str">
        <f aca="false">IF(Q141="","",IF(Q141&lt;=N141,"Yes","No"))</f>
        <v>Yes</v>
      </c>
      <c r="S141" s="26" t="n">
        <f aca="false">IF(Q141="","",IF(Q141&lt;=N141,0,NETWORKDAYS.INTL(N141,Q141,INDEX(LR_Code,MATCH(B141,LR_Lane,0)),INDEX(DH_Table,0,MATCH(B141&amp;"*",DH_Head,0)))-1))</f>
        <v>0</v>
      </c>
      <c r="T141" s="4"/>
      <c r="U141" s="25" t="str">
        <f aca="false">IF(V141&lt;&gt;"",V141,IF(IFERROR(INDEX(RS_Flag,MATCH(B141,RS_Lane,0)),"")="Yes",IF(IFERROR(INDEX(RS_Loc,MATCH(B141,RS_Lane,0)),"")="","Regional stock",IFERROR(INDEX(RS_Loc,MATCH(B141,RS_Lane,0)),"")),"Helmond"))</f>
        <v>Helmond</v>
      </c>
      <c r="V141" s="17"/>
      <c r="W141" s="38"/>
      <c r="X141" s="39"/>
      <c r="Y141" s="40" t="n">
        <f aca="false">IF(X141&lt;&gt;"",X141,IF(U141="Helmond",IF(COUNTIFS(RC_Lane,B141,RC_Band,E141,RC_CostPS,"&gt;0")=0,"",SUMIFS(RC_CostPS,RC_Lane,B141,RC_Band,E141)),IF(U141="Other","",IF(INDEX(RS_Rate,MATCH(B141,RS_Lane,0))="","",INDEX(RS_Rate,MATCH(B141,RS_Lane,0))))))</f>
        <v>76.3</v>
      </c>
    </row>
    <row r="142" customFormat="false" ht="15" hidden="false" customHeight="false" outlineLevel="0" collapsed="false">
      <c r="A142" s="3" t="s">
        <v>409</v>
      </c>
      <c r="B142" s="25" t="s">
        <v>108</v>
      </c>
      <c r="C142" s="8" t="s">
        <v>109</v>
      </c>
      <c r="D142" s="8" t="s">
        <v>272</v>
      </c>
      <c r="E142" s="8" t="s">
        <v>180</v>
      </c>
      <c r="F142" s="19" t="n">
        <v>71.7</v>
      </c>
      <c r="G142" s="33" t="n">
        <f aca="false">F142*0.006477</f>
        <v>0.4644009</v>
      </c>
      <c r="H142" s="19" t="n">
        <f aca="false">F142*1.079436</f>
        <v>77.3955612</v>
      </c>
      <c r="I142" s="18" t="n">
        <f aca="false">MAX(1,ROUNDUP(G142/0.096,0))</f>
        <v>5</v>
      </c>
      <c r="J142" s="31" t="n">
        <v>46728</v>
      </c>
      <c r="K142" s="34" t="n">
        <f aca="false">J142-WEEKDAY(J142,2)+1</f>
        <v>46727</v>
      </c>
      <c r="L142" s="31" t="n">
        <f aca="false">J142</f>
        <v>46728</v>
      </c>
      <c r="M142" s="26" t="n">
        <f aca="false">INDEX(LR_Target,MATCH(B142,LR_Lane,0))</f>
        <v>2</v>
      </c>
      <c r="N142" s="31" t="n">
        <f aca="false">WORKDAY.INTL(L142,M142,INDEX(LR_Code,MATCH(B142,LR_Lane,0)),INDEX(DH_Table,0,MATCH(B142&amp;"*",DH_Head,0)))</f>
        <v>46730</v>
      </c>
      <c r="O142" s="35" t="n">
        <f aca="false">IF(W142&lt;&gt;"",W142,IF(U142="Helmond",IF(COUNTIFS(RC_Lane,B142,RC_Band,E142,RC_Transit,"&lt;&gt;")=0,"",SUMIFS(RC_Transit,RC_Lane,B142,RC_Band,E142)),IF(U142="Other","",IF(INDEX(RS_Transit,MATCH(B142,RS_Lane,0))="","",INDEX(RS_Transit,MATCH(B142,RS_Lane,0))))))</f>
        <v>2</v>
      </c>
      <c r="P142" s="36"/>
      <c r="Q142" s="31" t="n">
        <f aca="false">IF(P142&lt;&gt;"",P142,IF(O142="","",WORKDAY.INTL(L142,ROUNDUP(O142,0),INDEX(LR_Code,MATCH(B142,LR_Lane,0)),INDEX(DH_Table,0,MATCH(B142&amp;"*",DH_Head,0)))))</f>
        <v>46730</v>
      </c>
      <c r="R142" s="37" t="str">
        <f aca="false">IF(Q142="","",IF(Q142&lt;=N142,"Yes","No"))</f>
        <v>Yes</v>
      </c>
      <c r="S142" s="26" t="n">
        <f aca="false">IF(Q142="","",IF(Q142&lt;=N142,0,NETWORKDAYS.INTL(N142,Q142,INDEX(LR_Code,MATCH(B142,LR_Lane,0)),INDEX(DH_Table,0,MATCH(B142&amp;"*",DH_Head,0)))-1))</f>
        <v>0</v>
      </c>
      <c r="T142" s="4"/>
      <c r="U142" s="25" t="str">
        <f aca="false">IF(V142&lt;&gt;"",V142,IF(IFERROR(INDEX(RS_Flag,MATCH(B142,RS_Lane,0)),"")="Yes",IF(IFERROR(INDEX(RS_Loc,MATCH(B142,RS_Lane,0)),"")="","Regional stock",IFERROR(INDEX(RS_Loc,MATCH(B142,RS_Lane,0)),"")),"Helmond"))</f>
        <v>Helmond</v>
      </c>
      <c r="V142" s="17"/>
      <c r="W142" s="38"/>
      <c r="X142" s="39"/>
      <c r="Y142" s="40" t="n">
        <f aca="false">IF(X142&lt;&gt;"",X142,IF(U142="Helmond",IF(COUNTIFS(RC_Lane,B142,RC_Band,E142,RC_CostPS,"&gt;0")=0,"",SUMIFS(RC_CostPS,RC_Lane,B142,RC_Band,E142)),IF(U142="Other","",IF(INDEX(RS_Rate,MATCH(B142,RS_Lane,0))="","",INDEX(RS_Rate,MATCH(B142,RS_Lane,0))))))</f>
        <v>299.9808</v>
      </c>
    </row>
    <row r="143" customFormat="false" ht="15" hidden="false" customHeight="false" outlineLevel="0" collapsed="false">
      <c r="A143" s="3" t="s">
        <v>410</v>
      </c>
      <c r="B143" s="25" t="s">
        <v>112</v>
      </c>
      <c r="C143" s="8" t="s">
        <v>113</v>
      </c>
      <c r="D143" s="8" t="s">
        <v>152</v>
      </c>
      <c r="E143" s="8" t="s">
        <v>178</v>
      </c>
      <c r="F143" s="19" t="n">
        <v>4.6</v>
      </c>
      <c r="G143" s="33" t="n">
        <f aca="false">F143*0.006477</f>
        <v>0.0297942</v>
      </c>
      <c r="H143" s="19" t="n">
        <f aca="false">F143*1.079436</f>
        <v>4.9654056</v>
      </c>
      <c r="I143" s="18" t="n">
        <f aca="false">MAX(1,ROUNDUP(G143/0.096,0))</f>
        <v>1</v>
      </c>
      <c r="J143" s="31" t="n">
        <v>46741</v>
      </c>
      <c r="K143" s="34" t="n">
        <f aca="false">J143-WEEKDAY(J143,2)+1</f>
        <v>46741</v>
      </c>
      <c r="L143" s="31" t="n">
        <f aca="false">J143</f>
        <v>46741</v>
      </c>
      <c r="M143" s="26" t="n">
        <f aca="false">INDEX(LR_Target,MATCH(B143,LR_Lane,0))</f>
        <v>2</v>
      </c>
      <c r="N143" s="31" t="n">
        <f aca="false">WORKDAY.INTL(L143,M143,INDEX(LR_Code,MATCH(B143,LR_Lane,0)),INDEX(DH_Table,0,MATCH(B143&amp;"*",DH_Head,0)))</f>
        <v>46743</v>
      </c>
      <c r="O143" s="35" t="n">
        <f aca="false">IF(W143&lt;&gt;"",W143,IF(U143="Helmond",IF(COUNTIFS(RC_Lane,B143,RC_Band,E143,RC_Transit,"&lt;&gt;")=0,"",SUMIFS(RC_Transit,RC_Lane,B143,RC_Band,E143)),IF(U143="Other","",IF(INDEX(RS_Transit,MATCH(B143,RS_Lane,0))="","",INDEX(RS_Transit,MATCH(B143,RS_Lane,0))))))</f>
        <v>1</v>
      </c>
      <c r="P143" s="36"/>
      <c r="Q143" s="31" t="n">
        <f aca="false">IF(P143&lt;&gt;"",P143,IF(O143="","",WORKDAY.INTL(L143,ROUNDUP(O143,0),INDEX(LR_Code,MATCH(B143,LR_Lane,0)),INDEX(DH_Table,0,MATCH(B143&amp;"*",DH_Head,0)))))</f>
        <v>46742</v>
      </c>
      <c r="R143" s="37" t="str">
        <f aca="false">IF(Q143="","",IF(Q143&lt;=N143,"Yes","No"))</f>
        <v>Yes</v>
      </c>
      <c r="S143" s="26" t="n">
        <f aca="false">IF(Q143="","",IF(Q143&lt;=N143,0,NETWORKDAYS.INTL(N143,Q143,INDEX(LR_Code,MATCH(B143,LR_Lane,0)),INDEX(DH_Table,0,MATCH(B143&amp;"*",DH_Head,0)))-1))</f>
        <v>0</v>
      </c>
      <c r="T143" s="4"/>
      <c r="U143" s="25" t="str">
        <f aca="false">IF(V143&lt;&gt;"",V143,IF(IFERROR(INDEX(RS_Flag,MATCH(B143,RS_Lane,0)),"")="Yes",IF(IFERROR(INDEX(RS_Loc,MATCH(B143,RS_Lane,0)),"")="","Regional stock",IFERROR(INDEX(RS_Loc,MATCH(B143,RS_Lane,0)),"")),"Helmond"))</f>
        <v>Helmond</v>
      </c>
      <c r="V143" s="17"/>
      <c r="W143" s="38"/>
      <c r="X143" s="39"/>
      <c r="Y143" s="40" t="n">
        <f aca="false">IF(X143&lt;&gt;"",X143,IF(U143="Helmond",IF(COUNTIFS(RC_Lane,B143,RC_Band,E143,RC_CostPS,"&gt;0")=0,"",SUMIFS(RC_CostPS,RC_Lane,B143,RC_Band,E143)),IF(U143="Other","",IF(INDEX(RS_Rate,MATCH(B143,RS_Lane,0))="","",INDEX(RS_Rate,MATCH(B143,RS_Lane,0))))))</f>
        <v>76.3</v>
      </c>
    </row>
    <row r="144" customFormat="false" ht="15" hidden="false" customHeight="false" outlineLevel="0" collapsed="false">
      <c r="A144" s="3" t="s">
        <v>411</v>
      </c>
      <c r="B144" s="25" t="s">
        <v>112</v>
      </c>
      <c r="C144" s="8" t="s">
        <v>113</v>
      </c>
      <c r="D144" s="8" t="s">
        <v>152</v>
      </c>
      <c r="E144" s="8" t="s">
        <v>178</v>
      </c>
      <c r="F144" s="19" t="n">
        <v>6.8</v>
      </c>
      <c r="G144" s="33" t="n">
        <f aca="false">F144*0.006477</f>
        <v>0.0440436</v>
      </c>
      <c r="H144" s="19" t="n">
        <f aca="false">F144*1.079436</f>
        <v>7.3401648</v>
      </c>
      <c r="I144" s="18" t="n">
        <f aca="false">MAX(1,ROUNDUP(G144/0.096,0))</f>
        <v>1</v>
      </c>
      <c r="J144" s="31" t="n">
        <v>46743</v>
      </c>
      <c r="K144" s="34" t="n">
        <f aca="false">J144-WEEKDAY(J144,2)+1</f>
        <v>46741</v>
      </c>
      <c r="L144" s="31" t="n">
        <f aca="false">J144</f>
        <v>46743</v>
      </c>
      <c r="M144" s="26" t="n">
        <f aca="false">INDEX(LR_Target,MATCH(B144,LR_Lane,0))</f>
        <v>2</v>
      </c>
      <c r="N144" s="31" t="n">
        <f aca="false">WORKDAY.INTL(L144,M144,INDEX(LR_Code,MATCH(B144,LR_Lane,0)),INDEX(DH_Table,0,MATCH(B144&amp;"*",DH_Head,0)))</f>
        <v>46745</v>
      </c>
      <c r="O144" s="35" t="n">
        <f aca="false">IF(W144&lt;&gt;"",W144,IF(U144="Helmond",IF(COUNTIFS(RC_Lane,B144,RC_Band,E144,RC_Transit,"&lt;&gt;")=0,"",SUMIFS(RC_Transit,RC_Lane,B144,RC_Band,E144)),IF(U144="Other","",IF(INDEX(RS_Transit,MATCH(B144,RS_Lane,0))="","",INDEX(RS_Transit,MATCH(B144,RS_Lane,0))))))</f>
        <v>1</v>
      </c>
      <c r="P144" s="36"/>
      <c r="Q144" s="31" t="n">
        <f aca="false">IF(P144&lt;&gt;"",P144,IF(O144="","",WORKDAY.INTL(L144,ROUNDUP(O144,0),INDEX(LR_Code,MATCH(B144,LR_Lane,0)),INDEX(DH_Table,0,MATCH(B144&amp;"*",DH_Head,0)))))</f>
        <v>46744</v>
      </c>
      <c r="R144" s="37" t="str">
        <f aca="false">IF(Q144="","",IF(Q144&lt;=N144,"Yes","No"))</f>
        <v>Yes</v>
      </c>
      <c r="S144" s="26" t="n">
        <f aca="false">IF(Q144="","",IF(Q144&lt;=N144,0,NETWORKDAYS.INTL(N144,Q144,INDEX(LR_Code,MATCH(B144,LR_Lane,0)),INDEX(DH_Table,0,MATCH(B144&amp;"*",DH_Head,0)))-1))</f>
        <v>0</v>
      </c>
      <c r="T144" s="4"/>
      <c r="U144" s="25" t="str">
        <f aca="false">IF(V144&lt;&gt;"",V144,IF(IFERROR(INDEX(RS_Flag,MATCH(B144,RS_Lane,0)),"")="Yes",IF(IFERROR(INDEX(RS_Loc,MATCH(B144,RS_Lane,0)),"")="","Regional stock",IFERROR(INDEX(RS_Loc,MATCH(B144,RS_Lane,0)),"")),"Helmond"))</f>
        <v>Helmond</v>
      </c>
      <c r="V144" s="17"/>
      <c r="W144" s="38"/>
      <c r="X144" s="39"/>
      <c r="Y144" s="40" t="n">
        <f aca="false">IF(X144&lt;&gt;"",X144,IF(U144="Helmond",IF(COUNTIFS(RC_Lane,B144,RC_Band,E144,RC_CostPS,"&gt;0")=0,"",SUMIFS(RC_CostPS,RC_Lane,B144,RC_Band,E144)),IF(U144="Other","",IF(INDEX(RS_Rate,MATCH(B144,RS_Lane,0))="","",INDEX(RS_Rate,MATCH(B144,RS_Lane,0))))))</f>
        <v>76.3</v>
      </c>
    </row>
    <row r="145" customFormat="false" ht="15" hidden="false" customHeight="false" outlineLevel="0" collapsed="false">
      <c r="A145" s="3" t="s">
        <v>412</v>
      </c>
      <c r="B145" s="25" t="s">
        <v>108</v>
      </c>
      <c r="C145" s="8" t="s">
        <v>109</v>
      </c>
      <c r="D145" s="8" t="s">
        <v>270</v>
      </c>
      <c r="E145" s="8" t="s">
        <v>178</v>
      </c>
      <c r="F145" s="19" t="n">
        <v>9.5</v>
      </c>
      <c r="G145" s="33" t="n">
        <f aca="false">F145*0.006477</f>
        <v>0.0615315</v>
      </c>
      <c r="H145" s="19" t="n">
        <f aca="false">F145*1.079436</f>
        <v>10.254642</v>
      </c>
      <c r="I145" s="18" t="n">
        <f aca="false">MAX(1,ROUNDUP(G145/0.096,0))</f>
        <v>1</v>
      </c>
      <c r="J145" s="31" t="n">
        <v>46750</v>
      </c>
      <c r="K145" s="34" t="n">
        <f aca="false">J145-WEEKDAY(J145,2)+1</f>
        <v>46748</v>
      </c>
      <c r="L145" s="31" t="n">
        <f aca="false">J145</f>
        <v>46750</v>
      </c>
      <c r="M145" s="26" t="n">
        <f aca="false">INDEX(LR_Target,MATCH(B145,LR_Lane,0))</f>
        <v>2</v>
      </c>
      <c r="N145" s="31" t="n">
        <f aca="false">WORKDAY.INTL(L145,M145,INDEX(LR_Code,MATCH(B145,LR_Lane,0)),INDEX(DH_Table,0,MATCH(B145&amp;"*",DH_Head,0)))</f>
        <v>46754</v>
      </c>
      <c r="O145" s="35" t="n">
        <f aca="false">IF(W145&lt;&gt;"",W145,IF(U145="Helmond",IF(COUNTIFS(RC_Lane,B145,RC_Band,E145,RC_Transit,"&lt;&gt;")=0,"",SUMIFS(RC_Transit,RC_Lane,B145,RC_Band,E145)),IF(U145="Other","",IF(INDEX(RS_Transit,MATCH(B145,RS_Lane,0))="","",INDEX(RS_Transit,MATCH(B145,RS_Lane,0))))))</f>
        <v>1</v>
      </c>
      <c r="P145" s="36"/>
      <c r="Q145" s="31" t="n">
        <f aca="false">IF(P145&lt;&gt;"",P145,IF(O145="","",WORKDAY.INTL(L145,ROUNDUP(O145,0),INDEX(LR_Code,MATCH(B145,LR_Lane,0)),INDEX(DH_Table,0,MATCH(B145&amp;"*",DH_Head,0)))))</f>
        <v>46751</v>
      </c>
      <c r="R145" s="37" t="str">
        <f aca="false">IF(Q145="","",IF(Q145&lt;=N145,"Yes","No"))</f>
        <v>Yes</v>
      </c>
      <c r="S145" s="26" t="n">
        <f aca="false">IF(Q145="","",IF(Q145&lt;=N145,0,NETWORKDAYS.INTL(N145,Q145,INDEX(LR_Code,MATCH(B145,LR_Lane,0)),INDEX(DH_Table,0,MATCH(B145&amp;"*",DH_Head,0)))-1))</f>
        <v>0</v>
      </c>
      <c r="T145" s="4"/>
      <c r="U145" s="25" t="str">
        <f aca="false">IF(V145&lt;&gt;"",V145,IF(IFERROR(INDEX(RS_Flag,MATCH(B145,RS_Lane,0)),"")="Yes",IF(IFERROR(INDEX(RS_Loc,MATCH(B145,RS_Lane,0)),"")="","Regional stock",IFERROR(INDEX(RS_Loc,MATCH(B145,RS_Lane,0)),"")),"Helmond"))</f>
        <v>Helmond</v>
      </c>
      <c r="V145" s="17"/>
      <c r="W145" s="38"/>
      <c r="X145" s="39"/>
      <c r="Y145" s="40" t="n">
        <f aca="false">IF(X145&lt;&gt;"",X145,IF(U145="Helmond",IF(COUNTIFS(RC_Lane,B145,RC_Band,E145,RC_CostPS,"&gt;0")=0,"",SUMIFS(RC_CostPS,RC_Lane,B145,RC_Band,E145)),IF(U145="Other","",IF(INDEX(RS_Rate,MATCH(B145,RS_Lane,0))="","",INDEX(RS_Rate,MATCH(B145,RS_Lane,0))))))</f>
        <v>76.3</v>
      </c>
    </row>
    <row r="146" customFormat="false" ht="15" hidden="false" customHeight="false" outlineLevel="0" collapsed="false">
      <c r="A146" s="20" t="str">
        <f aca="false">COUNTA(A5:A145)&amp;" shipments"</f>
        <v>141 shipments</v>
      </c>
      <c r="B146" s="21"/>
      <c r="C146" s="21"/>
      <c r="D146" s="21"/>
      <c r="E146" s="21"/>
      <c r="F146" s="22" t="n">
        <f aca="false">SUM(F5:F145)</f>
        <v>25815.2</v>
      </c>
      <c r="G146" s="23" t="n">
        <f aca="false">SUM(G5:G145)</f>
        <v>167.2050504</v>
      </c>
      <c r="H146" s="22" t="n">
        <f aca="false">SUM(H5:H145)</f>
        <v>27865.8562272</v>
      </c>
      <c r="I146" s="22" t="n">
        <f aca="false">SUM(I5:I145)</f>
        <v>1811</v>
      </c>
      <c r="J146" s="21"/>
      <c r="K146" s="21"/>
      <c r="L146" s="21"/>
      <c r="M146" s="21"/>
      <c r="N146" s="21"/>
      <c r="O146" s="21"/>
      <c r="P146" s="21"/>
      <c r="Q146" s="21"/>
      <c r="R146" s="21"/>
      <c r="S146" s="21"/>
      <c r="T146" s="21"/>
      <c r="U146" s="41" t="str">
        <f aca="false">COUNTIF(U5:U145,"&lt;&gt;Helmond")&amp;" not from Helmond"</f>
        <v>0 not from Helmond</v>
      </c>
      <c r="V146" s="21"/>
      <c r="W146" s="21"/>
      <c r="X146" s="21"/>
      <c r="Y146" s="42" t="n">
        <f aca="false">SUM(Y5:Y145)</f>
        <v>111608.9824</v>
      </c>
    </row>
  </sheetData>
  <sheetProtection sheet="true" formatColumns="false" formatRows="false" sort="false" autoFilter="false"/>
  <autoFilter ref="A4:Y145"/>
  <conditionalFormatting sqref="R5:R145">
    <cfRule type="expression" priority="2" aboveAverage="0" equalAverage="0" bottom="0" percent="0" rank="0" text="" dxfId="8">
      <formula>R5="Yes"</formula>
    </cfRule>
    <cfRule type="expression" priority="3" aboveAverage="0" equalAverage="0" bottom="0" percent="0" rank="0" text="" dxfId="9">
      <formula>R5="No"</formula>
    </cfRule>
  </conditionalFormatting>
  <dataValidations count="2">
    <dataValidation allowBlank="true" errorStyle="stop" operator="between" showDropDown="false" showErrorMessage="false" showInputMessage="false" sqref="P5:P145" type="date">
      <formula1>DATE(2027,1,1)</formula1>
      <formula2>DATE(2028,3,31)</formula2>
    </dataValidation>
    <dataValidation allowBlank="true" errorStyle="stop" operator="between" showDropDown="false" showErrorMessage="false" showInputMessage="false" sqref="V5:V145" type="list">
      <formula1>"Helmond,W1,W2,W3,Other"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3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3" min="3" style="0" width="20"/>
    <col collapsed="false" customWidth="true" hidden="false" outlineLevel="0" max="4" min="4" style="0" width="16"/>
    <col collapsed="false" customWidth="true" hidden="false" outlineLevel="0" max="5" min="5" style="0" width="17"/>
    <col collapsed="false" customWidth="true" hidden="false" outlineLevel="0" max="6" min="6" style="0" width="9"/>
    <col collapsed="false" customWidth="true" hidden="false" outlineLevel="0" max="7" min="7" style="0" width="8"/>
    <col collapsed="false" customWidth="true" hidden="false" outlineLevel="0" max="8" min="8" style="0" width="10"/>
    <col collapsed="false" customWidth="true" hidden="false" outlineLevel="0" max="9" min="9" style="0" width="8"/>
    <col collapsed="false" customWidth="true" hidden="false" outlineLevel="0" max="10" min="10" style="0" width="15"/>
    <col collapsed="false" customWidth="true" hidden="false" outlineLevel="0" max="11" min="11" style="0" width="11"/>
    <col collapsed="false" customWidth="true" hidden="false" outlineLevel="0" max="12" min="12" style="0" width="15"/>
    <col collapsed="false" customWidth="true" hidden="false" outlineLevel="0" max="13" min="13" style="0" width="10"/>
    <col collapsed="false" customWidth="true" hidden="false" outlineLevel="0" max="14" min="14" style="0" width="15"/>
    <col collapsed="false" customWidth="true" hidden="false" outlineLevel="0" max="15" min="15" style="0" width="9"/>
    <col collapsed="false" customWidth="true" hidden="false" outlineLevel="0" max="17" min="16" style="0" width="15"/>
    <col collapsed="false" customWidth="true" hidden="false" outlineLevel="0" max="18" min="18" style="0" width="8"/>
    <col collapsed="false" customWidth="true" hidden="false" outlineLevel="0" max="19" min="19" style="0" width="7"/>
    <col collapsed="false" customWidth="true" hidden="false" outlineLevel="0" max="20" min="20" style="0" width="26"/>
    <col collapsed="false" customWidth="true" hidden="false" outlineLevel="0" max="21" min="21" style="0" width="15"/>
    <col collapsed="false" customWidth="true" hidden="false" outlineLevel="0" max="22" min="22" style="0" width="13"/>
    <col collapsed="false" customWidth="true" hidden="false" outlineLevel="0" max="23" min="23" style="0" width="14"/>
    <col collapsed="false" customWidth="true" hidden="false" outlineLevel="0" max="24" min="24" style="0" width="15"/>
    <col collapsed="false" customWidth="true" hidden="false" outlineLevel="0" max="25" min="25" style="0" width="13"/>
  </cols>
  <sheetData>
    <row r="1" customFormat="false" ht="19.7" hidden="false" customHeight="false" outlineLevel="0" collapsed="false">
      <c r="A1" s="1" t="s">
        <v>413</v>
      </c>
    </row>
    <row r="2" customFormat="false" ht="15" hidden="false" customHeight="false" outlineLevel="0" collapsed="false">
      <c r="A2" s="2" t="s">
        <v>250</v>
      </c>
    </row>
    <row r="4" customFormat="false" ht="57.75" hidden="false" customHeight="true" outlineLevel="0" collapsed="false">
      <c r="A4" s="11" t="s">
        <v>251</v>
      </c>
      <c r="B4" s="11" t="s">
        <v>101</v>
      </c>
      <c r="C4" s="11" t="s">
        <v>191</v>
      </c>
      <c r="D4" s="11" t="s">
        <v>252</v>
      </c>
      <c r="E4" s="11" t="s">
        <v>174</v>
      </c>
      <c r="F4" s="11" t="s">
        <v>146</v>
      </c>
      <c r="G4" s="11" t="s">
        <v>253</v>
      </c>
      <c r="H4" s="11" t="s">
        <v>148</v>
      </c>
      <c r="I4" s="11" t="s">
        <v>254</v>
      </c>
      <c r="J4" s="11" t="s">
        <v>255</v>
      </c>
      <c r="K4" s="11" t="s">
        <v>256</v>
      </c>
      <c r="L4" s="11" t="s">
        <v>220</v>
      </c>
      <c r="M4" s="11" t="s">
        <v>257</v>
      </c>
      <c r="N4" s="11" t="s">
        <v>223</v>
      </c>
      <c r="O4" s="11" t="s">
        <v>258</v>
      </c>
      <c r="P4" s="12" t="s">
        <v>259</v>
      </c>
      <c r="Q4" s="11" t="s">
        <v>225</v>
      </c>
      <c r="R4" s="11" t="s">
        <v>260</v>
      </c>
      <c r="S4" s="11" t="s">
        <v>261</v>
      </c>
      <c r="T4" s="12" t="s">
        <v>262</v>
      </c>
      <c r="U4" s="11" t="s">
        <v>263</v>
      </c>
      <c r="V4" s="12" t="s">
        <v>264</v>
      </c>
      <c r="W4" s="12" t="s">
        <v>265</v>
      </c>
      <c r="X4" s="12" t="s">
        <v>266</v>
      </c>
      <c r="Y4" s="11" t="s">
        <v>267</v>
      </c>
    </row>
    <row r="5" customFormat="false" ht="15" hidden="false" customHeight="false" outlineLevel="0" collapsed="false">
      <c r="A5" s="3" t="s">
        <v>414</v>
      </c>
      <c r="B5" s="25" t="s">
        <v>112</v>
      </c>
      <c r="C5" s="8" t="s">
        <v>113</v>
      </c>
      <c r="D5" s="8" t="s">
        <v>152</v>
      </c>
      <c r="E5" s="8" t="s">
        <v>178</v>
      </c>
      <c r="F5" s="19" t="n">
        <v>7.7</v>
      </c>
      <c r="G5" s="33" t="n">
        <f aca="false">F5*0.006477</f>
        <v>0.0498729</v>
      </c>
      <c r="H5" s="19" t="n">
        <f aca="false">F5*1.079436</f>
        <v>8.3116572</v>
      </c>
      <c r="I5" s="18" t="n">
        <f aca="false">MAX(1,ROUNDUP(G5/0.096,0))</f>
        <v>1</v>
      </c>
      <c r="J5" s="31" t="n">
        <v>46391</v>
      </c>
      <c r="K5" s="34" t="n">
        <f aca="false">J5-WEEKDAY(J5,2)+1</f>
        <v>46391</v>
      </c>
      <c r="L5" s="31" t="n">
        <f aca="false">J5</f>
        <v>46391</v>
      </c>
      <c r="M5" s="26" t="n">
        <f aca="false">INDEX(LR_Target,MATCH(B5,LR_Lane,0))</f>
        <v>2</v>
      </c>
      <c r="N5" s="31" t="n">
        <f aca="false">WORKDAY.INTL(L5,M5,INDEX(LR_Code,MATCH(B5,LR_Lane,0)),INDEX(DH_Table,0,MATCH(B5&amp;"*",DH_Head,0)))</f>
        <v>46393</v>
      </c>
      <c r="O5" s="35" t="n">
        <f aca="false">IF(W5&lt;&gt;"",W5,IF(U5="Helmond",IF(COUNTIFS(RC_Lane,B5,RC_Band,E5,RC_Transit,"&lt;&gt;")=0,"",SUMIFS(RC_Transit,RC_Lane,B5,RC_Band,E5)),IF(U5="Other","",IF(INDEX(RS_Transit,MATCH(B5,RS_Lane,0))="","",INDEX(RS_Transit,MATCH(B5,RS_Lane,0))))))</f>
        <v>1</v>
      </c>
      <c r="P5" s="36"/>
      <c r="Q5" s="31" t="n">
        <f aca="false">IF(P5&lt;&gt;"",P5,IF(O5="","",WORKDAY.INTL(L5,ROUNDUP(O5,0),INDEX(LR_Code,MATCH(B5,LR_Lane,0)),INDEX(DH_Table,0,MATCH(B5&amp;"*",DH_Head,0)))))</f>
        <v>46392</v>
      </c>
      <c r="R5" s="37" t="str">
        <f aca="false">IF(Q5="","",IF(Q5&lt;=N5,"Yes","No"))</f>
        <v>Yes</v>
      </c>
      <c r="S5" s="26" t="n">
        <f aca="false">IF(Q5="","",IF(Q5&lt;=N5,0,NETWORKDAYS.INTL(N5,Q5,INDEX(LR_Code,MATCH(B5,LR_Lane,0)),INDEX(DH_Table,0,MATCH(B5&amp;"*",DH_Head,0)))-1))</f>
        <v>0</v>
      </c>
      <c r="T5" s="4"/>
      <c r="U5" s="25" t="str">
        <f aca="false">IF(V5&lt;&gt;"",V5,IF(IFERROR(INDEX(RS_Flag,MATCH(B5,RS_Lane,0)),"")="Yes",IF(IFERROR(INDEX(RS_Loc,MATCH(B5,RS_Lane,0)),"")="","Regional stock",IFERROR(INDEX(RS_Loc,MATCH(B5,RS_Lane,0)),"")),"Helmond"))</f>
        <v>Helmond</v>
      </c>
      <c r="V5" s="17"/>
      <c r="W5" s="38"/>
      <c r="X5" s="39"/>
      <c r="Y5" s="40" t="n">
        <f aca="false">IF(X5&lt;&gt;"",X5,IF(U5="Helmond",IF(COUNTIFS(RC_Lane,B5,RC_Band,E5,RC_CostPS,"&gt;0")=0,"",SUMIFS(RC_CostPS,RC_Lane,B5,RC_Band,E5)*(1-SUMIFS(RC_Disc,RC_Lane,B5,RC_Band,E5))),IF(U5="Other","",IF(INDEX(RS_Rate,MATCH(B5,RS_Lane,0))="","",INDEX(RS_Rate,MATCH(B5,RS_Lane,0))))))</f>
        <v>72.485</v>
      </c>
    </row>
    <row r="6" customFormat="false" ht="15" hidden="false" customHeight="false" outlineLevel="0" collapsed="false">
      <c r="A6" s="3" t="s">
        <v>415</v>
      </c>
      <c r="B6" s="25" t="s">
        <v>119</v>
      </c>
      <c r="C6" s="8" t="s">
        <v>120</v>
      </c>
      <c r="D6" s="8" t="s">
        <v>155</v>
      </c>
      <c r="E6" s="8" t="s">
        <v>178</v>
      </c>
      <c r="F6" s="19" t="n">
        <v>3.5</v>
      </c>
      <c r="G6" s="33" t="n">
        <f aca="false">F6*0.006477</f>
        <v>0.0226695</v>
      </c>
      <c r="H6" s="19" t="n">
        <f aca="false">F6*1.079436</f>
        <v>3.778026</v>
      </c>
      <c r="I6" s="18" t="n">
        <f aca="false">MAX(1,ROUNDUP(G6/0.096,0))</f>
        <v>1</v>
      </c>
      <c r="J6" s="31" t="n">
        <v>46391</v>
      </c>
      <c r="K6" s="34" t="n">
        <f aca="false">J6-WEEKDAY(J6,2)+1</f>
        <v>46391</v>
      </c>
      <c r="L6" s="31" t="n">
        <f aca="false">J6</f>
        <v>46391</v>
      </c>
      <c r="M6" s="26" t="n">
        <f aca="false">INDEX(LR_Target,MATCH(B6,LR_Lane,0))</f>
        <v>3</v>
      </c>
      <c r="N6" s="31" t="n">
        <f aca="false">WORKDAY.INTL(L6,M6,INDEX(LR_Code,MATCH(B6,LR_Lane,0)),INDEX(DH_Table,0,MATCH(B6&amp;"*",DH_Head,0)))</f>
        <v>46394</v>
      </c>
      <c r="O6" s="35" t="n">
        <f aca="false">IF(W6&lt;&gt;"",W6,IF(U6="Helmond",IF(COUNTIFS(RC_Lane,B6,RC_Band,E6,RC_Transit,"&lt;&gt;")=0,"",SUMIFS(RC_Transit,RC_Lane,B6,RC_Band,E6)),IF(U6="Other","",IF(INDEX(RS_Transit,MATCH(B6,RS_Lane,0))="","",INDEX(RS_Transit,MATCH(B6,RS_Lane,0))))))</f>
        <v>1</v>
      </c>
      <c r="P6" s="36"/>
      <c r="Q6" s="31" t="n">
        <f aca="false">IF(P6&lt;&gt;"",P6,IF(O6="","",WORKDAY.INTL(L6,ROUNDUP(O6,0),INDEX(LR_Code,MATCH(B6,LR_Lane,0)),INDEX(DH_Table,0,MATCH(B6&amp;"*",DH_Head,0)))))</f>
        <v>46392</v>
      </c>
      <c r="R6" s="37" t="str">
        <f aca="false">IF(Q6="","",IF(Q6&lt;=N6,"Yes","No"))</f>
        <v>Yes</v>
      </c>
      <c r="S6" s="26" t="n">
        <f aca="false">IF(Q6="","",IF(Q6&lt;=N6,0,NETWORKDAYS.INTL(N6,Q6,INDEX(LR_Code,MATCH(B6,LR_Lane,0)),INDEX(DH_Table,0,MATCH(B6&amp;"*",DH_Head,0)))-1))</f>
        <v>0</v>
      </c>
      <c r="T6" s="4"/>
      <c r="U6" s="25" t="str">
        <f aca="false">IF(V6&lt;&gt;"",V6,IF(IFERROR(INDEX(RS_Flag,MATCH(B6,RS_Lane,0)),"")="Yes",IF(IFERROR(INDEX(RS_Loc,MATCH(B6,RS_Lane,0)),"")="","Regional stock",IFERROR(INDEX(RS_Loc,MATCH(B6,RS_Lane,0)),"")),"Helmond"))</f>
        <v>Helmond</v>
      </c>
      <c r="V6" s="17"/>
      <c r="W6" s="38"/>
      <c r="X6" s="39"/>
      <c r="Y6" s="40" t="n">
        <f aca="false">IF(X6&lt;&gt;"",X6,IF(U6="Helmond",IF(COUNTIFS(RC_Lane,B6,RC_Band,E6,RC_CostPS,"&gt;0")=0,"",SUMIFS(RC_CostPS,RC_Lane,B6,RC_Band,E6)*(1-SUMIFS(RC_Disc,RC_Lane,B6,RC_Band,E6))),IF(U6="Other","",IF(INDEX(RS_Rate,MATCH(B6,RS_Lane,0))="","",INDEX(RS_Rate,MATCH(B6,RS_Lane,0))))))</f>
        <v>72.485</v>
      </c>
    </row>
    <row r="7" customFormat="false" ht="15" hidden="false" customHeight="false" outlineLevel="0" collapsed="false">
      <c r="A7" s="3" t="s">
        <v>416</v>
      </c>
      <c r="B7" s="25" t="s">
        <v>108</v>
      </c>
      <c r="C7" s="8" t="s">
        <v>109</v>
      </c>
      <c r="D7" s="8" t="s">
        <v>270</v>
      </c>
      <c r="E7" s="8" t="s">
        <v>182</v>
      </c>
      <c r="F7" s="19" t="n">
        <v>153.3</v>
      </c>
      <c r="G7" s="33" t="n">
        <f aca="false">F7*0.006477</f>
        <v>0.9929241</v>
      </c>
      <c r="H7" s="19" t="n">
        <f aca="false">F7*1.079436</f>
        <v>165.4775388</v>
      </c>
      <c r="I7" s="18" t="n">
        <f aca="false">MAX(1,ROUNDUP(G7/0.096,0))</f>
        <v>11</v>
      </c>
      <c r="J7" s="31" t="n">
        <v>46393</v>
      </c>
      <c r="K7" s="34" t="n">
        <f aca="false">J7-WEEKDAY(J7,2)+1</f>
        <v>46391</v>
      </c>
      <c r="L7" s="31" t="n">
        <f aca="false">J7</f>
        <v>46393</v>
      </c>
      <c r="M7" s="26" t="n">
        <f aca="false">INDEX(LR_Target,MATCH(B7,LR_Lane,0))</f>
        <v>2</v>
      </c>
      <c r="N7" s="31" t="n">
        <f aca="false">WORKDAY.INTL(L7,M7,INDEX(LR_Code,MATCH(B7,LR_Lane,0)),INDEX(DH_Table,0,MATCH(B7&amp;"*",DH_Head,0)))</f>
        <v>46397</v>
      </c>
      <c r="O7" s="35" t="n">
        <f aca="false">IF(W7&lt;&gt;"",W7,IF(U7="Helmond",IF(COUNTIFS(RC_Lane,B7,RC_Band,E7,RC_Transit,"&lt;&gt;")=0,"",SUMIFS(RC_Transit,RC_Lane,B7,RC_Band,E7)),IF(U7="Other","",IF(INDEX(RS_Transit,MATCH(B7,RS_Lane,0))="","",INDEX(RS_Transit,MATCH(B7,RS_Lane,0))))))</f>
        <v>3</v>
      </c>
      <c r="P7" s="36"/>
      <c r="Q7" s="31" t="n">
        <f aca="false">IF(P7&lt;&gt;"",P7,IF(O7="","",WORKDAY.INTL(L7,ROUNDUP(O7,0),INDEX(LR_Code,MATCH(B7,LR_Lane,0)),INDEX(DH_Table,0,MATCH(B7&amp;"*",DH_Head,0)))))</f>
        <v>46398</v>
      </c>
      <c r="R7" s="37" t="str">
        <f aca="false">IF(Q7="","",IF(Q7&lt;=N7,"Yes","No"))</f>
        <v>No</v>
      </c>
      <c r="S7" s="26" t="n">
        <f aca="false">IF(Q7="","",IF(Q7&lt;=N7,0,NETWORKDAYS.INTL(N7,Q7,INDEX(LR_Code,MATCH(B7,LR_Lane,0)),INDEX(DH_Table,0,MATCH(B7&amp;"*",DH_Head,0)))-1))</f>
        <v>1</v>
      </c>
      <c r="T7" s="4"/>
      <c r="U7" s="25" t="str">
        <f aca="false">IF(V7&lt;&gt;"",V7,IF(IFERROR(INDEX(RS_Flag,MATCH(B7,RS_Lane,0)),"")="Yes",IF(IFERROR(INDEX(RS_Loc,MATCH(B7,RS_Lane,0)),"")="","Regional stock",IFERROR(INDEX(RS_Loc,MATCH(B7,RS_Lane,0)),"")),"Helmond"))</f>
        <v>Helmond</v>
      </c>
      <c r="V7" s="17"/>
      <c r="W7" s="38"/>
      <c r="X7" s="39"/>
      <c r="Y7" s="40" t="n">
        <f aca="false">IF(X7&lt;&gt;"",X7,IF(U7="Helmond",IF(COUNTIFS(RC_Lane,B7,RC_Band,E7,RC_CostPS,"&gt;0")=0,"",SUMIFS(RC_CostPS,RC_Lane,B7,RC_Band,E7)*(1-SUMIFS(RC_Disc,RC_Lane,B7,RC_Band,E7))),IF(U7="Other","",IF(INDEX(RS_Rate,MATCH(B7,RS_Lane,0))="","",INDEX(RS_Rate,MATCH(B7,RS_Lane,0))))))</f>
        <v>1009.7531</v>
      </c>
    </row>
    <row r="8" customFormat="false" ht="15" hidden="false" customHeight="false" outlineLevel="0" collapsed="false">
      <c r="A8" s="3" t="s">
        <v>417</v>
      </c>
      <c r="B8" s="25" t="s">
        <v>119</v>
      </c>
      <c r="C8" s="8" t="s">
        <v>120</v>
      </c>
      <c r="D8" s="8" t="s">
        <v>155</v>
      </c>
      <c r="E8" s="8" t="s">
        <v>178</v>
      </c>
      <c r="F8" s="19" t="n">
        <v>2.2</v>
      </c>
      <c r="G8" s="33" t="n">
        <f aca="false">F8*0.006477</f>
        <v>0.0142494</v>
      </c>
      <c r="H8" s="19" t="n">
        <f aca="false">F8*1.079436</f>
        <v>2.3747592</v>
      </c>
      <c r="I8" s="18" t="n">
        <f aca="false">MAX(1,ROUNDUP(G8/0.096,0))</f>
        <v>1</v>
      </c>
      <c r="J8" s="31" t="n">
        <v>46393</v>
      </c>
      <c r="K8" s="34" t="n">
        <f aca="false">J8-WEEKDAY(J8,2)+1</f>
        <v>46391</v>
      </c>
      <c r="L8" s="31" t="n">
        <f aca="false">J8</f>
        <v>46393</v>
      </c>
      <c r="M8" s="26" t="n">
        <f aca="false">INDEX(LR_Target,MATCH(B8,LR_Lane,0))</f>
        <v>3</v>
      </c>
      <c r="N8" s="31" t="n">
        <f aca="false">WORKDAY.INTL(L8,M8,INDEX(LR_Code,MATCH(B8,LR_Lane,0)),INDEX(DH_Table,0,MATCH(B8&amp;"*",DH_Head,0)))</f>
        <v>46398</v>
      </c>
      <c r="O8" s="35" t="n">
        <f aca="false">IF(W8&lt;&gt;"",W8,IF(U8="Helmond",IF(COUNTIFS(RC_Lane,B8,RC_Band,E8,RC_Transit,"&lt;&gt;")=0,"",SUMIFS(RC_Transit,RC_Lane,B8,RC_Band,E8)),IF(U8="Other","",IF(INDEX(RS_Transit,MATCH(B8,RS_Lane,0))="","",INDEX(RS_Transit,MATCH(B8,RS_Lane,0))))))</f>
        <v>1</v>
      </c>
      <c r="P8" s="36"/>
      <c r="Q8" s="31" t="n">
        <f aca="false">IF(P8&lt;&gt;"",P8,IF(O8="","",WORKDAY.INTL(L8,ROUNDUP(O8,0),INDEX(LR_Code,MATCH(B8,LR_Lane,0)),INDEX(DH_Table,0,MATCH(B8&amp;"*",DH_Head,0)))))</f>
        <v>46394</v>
      </c>
      <c r="R8" s="37" t="str">
        <f aca="false">IF(Q8="","",IF(Q8&lt;=N8,"Yes","No"))</f>
        <v>Yes</v>
      </c>
      <c r="S8" s="26" t="n">
        <f aca="false">IF(Q8="","",IF(Q8&lt;=N8,0,NETWORKDAYS.INTL(N8,Q8,INDEX(LR_Code,MATCH(B8,LR_Lane,0)),INDEX(DH_Table,0,MATCH(B8&amp;"*",DH_Head,0)))-1))</f>
        <v>0</v>
      </c>
      <c r="T8" s="4"/>
      <c r="U8" s="25" t="str">
        <f aca="false">IF(V8&lt;&gt;"",V8,IF(IFERROR(INDEX(RS_Flag,MATCH(B8,RS_Lane,0)),"")="Yes",IF(IFERROR(INDEX(RS_Loc,MATCH(B8,RS_Lane,0)),"")="","Regional stock",IFERROR(INDEX(RS_Loc,MATCH(B8,RS_Lane,0)),"")),"Helmond"))</f>
        <v>Helmond</v>
      </c>
      <c r="V8" s="17"/>
      <c r="W8" s="38"/>
      <c r="X8" s="39"/>
      <c r="Y8" s="40" t="n">
        <f aca="false">IF(X8&lt;&gt;"",X8,IF(U8="Helmond",IF(COUNTIFS(RC_Lane,B8,RC_Band,E8,RC_CostPS,"&gt;0")=0,"",SUMIFS(RC_CostPS,RC_Lane,B8,RC_Band,E8)*(1-SUMIFS(RC_Disc,RC_Lane,B8,RC_Band,E8))),IF(U8="Other","",IF(INDEX(RS_Rate,MATCH(B8,RS_Lane,0))="","",INDEX(RS_Rate,MATCH(B8,RS_Lane,0))))))</f>
        <v>72.485</v>
      </c>
    </row>
    <row r="9" customFormat="false" ht="15" hidden="false" customHeight="false" outlineLevel="0" collapsed="false">
      <c r="A9" s="3" t="s">
        <v>418</v>
      </c>
      <c r="B9" s="25" t="s">
        <v>108</v>
      </c>
      <c r="C9" s="8" t="s">
        <v>109</v>
      </c>
      <c r="D9" s="8" t="s">
        <v>272</v>
      </c>
      <c r="E9" s="8" t="s">
        <v>178</v>
      </c>
      <c r="F9" s="19" t="n">
        <v>10.9</v>
      </c>
      <c r="G9" s="33" t="n">
        <f aca="false">F9*0.006477</f>
        <v>0.0705993</v>
      </c>
      <c r="H9" s="19" t="n">
        <f aca="false">F9*1.079436</f>
        <v>11.7658524</v>
      </c>
      <c r="I9" s="18" t="n">
        <f aca="false">MAX(1,ROUNDUP(G9/0.096,0))</f>
        <v>1</v>
      </c>
      <c r="J9" s="31" t="n">
        <v>46395</v>
      </c>
      <c r="K9" s="34" t="n">
        <f aca="false">J9-WEEKDAY(J9,2)+1</f>
        <v>46391</v>
      </c>
      <c r="L9" s="31" t="n">
        <f aca="false">J9</f>
        <v>46395</v>
      </c>
      <c r="M9" s="26" t="n">
        <f aca="false">INDEX(LR_Target,MATCH(B9,LR_Lane,0))</f>
        <v>2</v>
      </c>
      <c r="N9" s="31" t="n">
        <f aca="false">WORKDAY.INTL(L9,M9,INDEX(LR_Code,MATCH(B9,LR_Lane,0)),INDEX(DH_Table,0,MATCH(B9&amp;"*",DH_Head,0)))</f>
        <v>46398</v>
      </c>
      <c r="O9" s="35" t="n">
        <f aca="false">IF(W9&lt;&gt;"",W9,IF(U9="Helmond",IF(COUNTIFS(RC_Lane,B9,RC_Band,E9,RC_Transit,"&lt;&gt;")=0,"",SUMIFS(RC_Transit,RC_Lane,B9,RC_Band,E9)),IF(U9="Other","",IF(INDEX(RS_Transit,MATCH(B9,RS_Lane,0))="","",INDEX(RS_Transit,MATCH(B9,RS_Lane,0))))))</f>
        <v>1</v>
      </c>
      <c r="P9" s="36"/>
      <c r="Q9" s="31" t="n">
        <f aca="false">IF(P9&lt;&gt;"",P9,IF(O9="","",WORKDAY.INTL(L9,ROUNDUP(O9,0),INDEX(LR_Code,MATCH(B9,LR_Lane,0)),INDEX(DH_Table,0,MATCH(B9&amp;"*",DH_Head,0)))))</f>
        <v>46397</v>
      </c>
      <c r="R9" s="37" t="str">
        <f aca="false">IF(Q9="","",IF(Q9&lt;=N9,"Yes","No"))</f>
        <v>Yes</v>
      </c>
      <c r="S9" s="26" t="n">
        <f aca="false">IF(Q9="","",IF(Q9&lt;=N9,0,NETWORKDAYS.INTL(N9,Q9,INDEX(LR_Code,MATCH(B9,LR_Lane,0)),INDEX(DH_Table,0,MATCH(B9&amp;"*",DH_Head,0)))-1))</f>
        <v>0</v>
      </c>
      <c r="T9" s="4"/>
      <c r="U9" s="25" t="str">
        <f aca="false">IF(V9&lt;&gt;"",V9,IF(IFERROR(INDEX(RS_Flag,MATCH(B9,RS_Lane,0)),"")="Yes",IF(IFERROR(INDEX(RS_Loc,MATCH(B9,RS_Lane,0)),"")="","Regional stock",IFERROR(INDEX(RS_Loc,MATCH(B9,RS_Lane,0)),"")),"Helmond"))</f>
        <v>Helmond</v>
      </c>
      <c r="V9" s="17"/>
      <c r="W9" s="38"/>
      <c r="X9" s="39"/>
      <c r="Y9" s="40" t="n">
        <f aca="false">IF(X9&lt;&gt;"",X9,IF(U9="Helmond",IF(COUNTIFS(RC_Lane,B9,RC_Band,E9,RC_CostPS,"&gt;0")=0,"",SUMIFS(RC_CostPS,RC_Lane,B9,RC_Band,E9)*(1-SUMIFS(RC_Disc,RC_Lane,B9,RC_Band,E9))),IF(U9="Other","",IF(INDEX(RS_Rate,MATCH(B9,RS_Lane,0))="","",INDEX(RS_Rate,MATCH(B9,RS_Lane,0))))))</f>
        <v>72.485</v>
      </c>
    </row>
    <row r="10" customFormat="false" ht="15" hidden="false" customHeight="false" outlineLevel="0" collapsed="false">
      <c r="A10" s="3" t="s">
        <v>419</v>
      </c>
      <c r="B10" s="25" t="s">
        <v>112</v>
      </c>
      <c r="C10" s="8" t="s">
        <v>113</v>
      </c>
      <c r="D10" s="8" t="s">
        <v>152</v>
      </c>
      <c r="E10" s="8" t="s">
        <v>178</v>
      </c>
      <c r="F10" s="19" t="n">
        <v>7.4</v>
      </c>
      <c r="G10" s="33" t="n">
        <f aca="false">F10*0.006477</f>
        <v>0.0479298</v>
      </c>
      <c r="H10" s="19" t="n">
        <f aca="false">F10*1.079436</f>
        <v>7.9878264</v>
      </c>
      <c r="I10" s="18" t="n">
        <f aca="false">MAX(1,ROUNDUP(G10/0.096,0))</f>
        <v>1</v>
      </c>
      <c r="J10" s="31" t="n">
        <v>46399</v>
      </c>
      <c r="K10" s="34" t="n">
        <f aca="false">J10-WEEKDAY(J10,2)+1</f>
        <v>46398</v>
      </c>
      <c r="L10" s="31" t="n">
        <f aca="false">J10</f>
        <v>46399</v>
      </c>
      <c r="M10" s="26" t="n">
        <f aca="false">INDEX(LR_Target,MATCH(B10,LR_Lane,0))</f>
        <v>2</v>
      </c>
      <c r="N10" s="31" t="n">
        <f aca="false">WORKDAY.INTL(L10,M10,INDEX(LR_Code,MATCH(B10,LR_Lane,0)),INDEX(DH_Table,0,MATCH(B10&amp;"*",DH_Head,0)))</f>
        <v>46401</v>
      </c>
      <c r="O10" s="35" t="n">
        <f aca="false">IF(W10&lt;&gt;"",W10,IF(U10="Helmond",IF(COUNTIFS(RC_Lane,B10,RC_Band,E10,RC_Transit,"&lt;&gt;")=0,"",SUMIFS(RC_Transit,RC_Lane,B10,RC_Band,E10)),IF(U10="Other","",IF(INDEX(RS_Transit,MATCH(B10,RS_Lane,0))="","",INDEX(RS_Transit,MATCH(B10,RS_Lane,0))))))</f>
        <v>1</v>
      </c>
      <c r="P10" s="36"/>
      <c r="Q10" s="31" t="n">
        <f aca="false">IF(P10&lt;&gt;"",P10,IF(O10="","",WORKDAY.INTL(L10,ROUNDUP(O10,0),INDEX(LR_Code,MATCH(B10,LR_Lane,0)),INDEX(DH_Table,0,MATCH(B10&amp;"*",DH_Head,0)))))</f>
        <v>46400</v>
      </c>
      <c r="R10" s="37" t="str">
        <f aca="false">IF(Q10="","",IF(Q10&lt;=N10,"Yes","No"))</f>
        <v>Yes</v>
      </c>
      <c r="S10" s="26" t="n">
        <f aca="false">IF(Q10="","",IF(Q10&lt;=N10,0,NETWORKDAYS.INTL(N10,Q10,INDEX(LR_Code,MATCH(B10,LR_Lane,0)),INDEX(DH_Table,0,MATCH(B10&amp;"*",DH_Head,0)))-1))</f>
        <v>0</v>
      </c>
      <c r="T10" s="4"/>
      <c r="U10" s="25" t="str">
        <f aca="false">IF(V10&lt;&gt;"",V10,IF(IFERROR(INDEX(RS_Flag,MATCH(B10,RS_Lane,0)),"")="Yes",IF(IFERROR(INDEX(RS_Loc,MATCH(B10,RS_Lane,0)),"")="","Regional stock",IFERROR(INDEX(RS_Loc,MATCH(B10,RS_Lane,0)),"")),"Helmond"))</f>
        <v>Helmond</v>
      </c>
      <c r="V10" s="17"/>
      <c r="W10" s="38"/>
      <c r="X10" s="39"/>
      <c r="Y10" s="40" t="n">
        <f aca="false">IF(X10&lt;&gt;"",X10,IF(U10="Helmond",IF(COUNTIFS(RC_Lane,B10,RC_Band,E10,RC_CostPS,"&gt;0")=0,"",SUMIFS(RC_CostPS,RC_Lane,B10,RC_Band,E10)*(1-SUMIFS(RC_Disc,RC_Lane,B10,RC_Band,E10))),IF(U10="Other","",IF(INDEX(RS_Rate,MATCH(B10,RS_Lane,0))="","",INDEX(RS_Rate,MATCH(B10,RS_Lane,0))))))</f>
        <v>72.485</v>
      </c>
    </row>
    <row r="11" customFormat="false" ht="15" hidden="false" customHeight="false" outlineLevel="0" collapsed="false">
      <c r="A11" s="3" t="s">
        <v>420</v>
      </c>
      <c r="B11" s="25" t="s">
        <v>112</v>
      </c>
      <c r="C11" s="8" t="s">
        <v>113</v>
      </c>
      <c r="D11" s="8" t="s">
        <v>152</v>
      </c>
      <c r="E11" s="8" t="s">
        <v>178</v>
      </c>
      <c r="F11" s="19" t="n">
        <v>11</v>
      </c>
      <c r="G11" s="33" t="n">
        <f aca="false">F11*0.006477</f>
        <v>0.071247</v>
      </c>
      <c r="H11" s="19" t="n">
        <f aca="false">F11*1.079436</f>
        <v>11.873796</v>
      </c>
      <c r="I11" s="18" t="n">
        <f aca="false">MAX(1,ROUNDUP(G11/0.096,0))</f>
        <v>1</v>
      </c>
      <c r="J11" s="31" t="n">
        <v>46399</v>
      </c>
      <c r="K11" s="34" t="n">
        <f aca="false">J11-WEEKDAY(J11,2)+1</f>
        <v>46398</v>
      </c>
      <c r="L11" s="31" t="n">
        <f aca="false">J11</f>
        <v>46399</v>
      </c>
      <c r="M11" s="26" t="n">
        <f aca="false">INDEX(LR_Target,MATCH(B11,LR_Lane,0))</f>
        <v>2</v>
      </c>
      <c r="N11" s="31" t="n">
        <f aca="false">WORKDAY.INTL(L11,M11,INDEX(LR_Code,MATCH(B11,LR_Lane,0)),INDEX(DH_Table,0,MATCH(B11&amp;"*",DH_Head,0)))</f>
        <v>46401</v>
      </c>
      <c r="O11" s="35" t="n">
        <f aca="false">IF(W11&lt;&gt;"",W11,IF(U11="Helmond",IF(COUNTIFS(RC_Lane,B11,RC_Band,E11,RC_Transit,"&lt;&gt;")=0,"",SUMIFS(RC_Transit,RC_Lane,B11,RC_Band,E11)),IF(U11="Other","",IF(INDEX(RS_Transit,MATCH(B11,RS_Lane,0))="","",INDEX(RS_Transit,MATCH(B11,RS_Lane,0))))))</f>
        <v>1</v>
      </c>
      <c r="P11" s="36"/>
      <c r="Q11" s="31" t="n">
        <f aca="false">IF(P11&lt;&gt;"",P11,IF(O11="","",WORKDAY.INTL(L11,ROUNDUP(O11,0),INDEX(LR_Code,MATCH(B11,LR_Lane,0)),INDEX(DH_Table,0,MATCH(B11&amp;"*",DH_Head,0)))))</f>
        <v>46400</v>
      </c>
      <c r="R11" s="37" t="str">
        <f aca="false">IF(Q11="","",IF(Q11&lt;=N11,"Yes","No"))</f>
        <v>Yes</v>
      </c>
      <c r="S11" s="26" t="n">
        <f aca="false">IF(Q11="","",IF(Q11&lt;=N11,0,NETWORKDAYS.INTL(N11,Q11,INDEX(LR_Code,MATCH(B11,LR_Lane,0)),INDEX(DH_Table,0,MATCH(B11&amp;"*",DH_Head,0)))-1))</f>
        <v>0</v>
      </c>
      <c r="T11" s="4"/>
      <c r="U11" s="25" t="str">
        <f aca="false">IF(V11&lt;&gt;"",V11,IF(IFERROR(INDEX(RS_Flag,MATCH(B11,RS_Lane,0)),"")="Yes",IF(IFERROR(INDEX(RS_Loc,MATCH(B11,RS_Lane,0)),"")="","Regional stock",IFERROR(INDEX(RS_Loc,MATCH(B11,RS_Lane,0)),"")),"Helmond"))</f>
        <v>Helmond</v>
      </c>
      <c r="V11" s="17"/>
      <c r="W11" s="38"/>
      <c r="X11" s="39"/>
      <c r="Y11" s="40" t="n">
        <f aca="false">IF(X11&lt;&gt;"",X11,IF(U11="Helmond",IF(COUNTIFS(RC_Lane,B11,RC_Band,E11,RC_CostPS,"&gt;0")=0,"",SUMIFS(RC_CostPS,RC_Lane,B11,RC_Band,E11)*(1-SUMIFS(RC_Disc,RC_Lane,B11,RC_Band,E11))),IF(U11="Other","",IF(INDEX(RS_Rate,MATCH(B11,RS_Lane,0))="","",INDEX(RS_Rate,MATCH(B11,RS_Lane,0))))))</f>
        <v>72.485</v>
      </c>
    </row>
    <row r="12" customFormat="false" ht="15" hidden="false" customHeight="false" outlineLevel="0" collapsed="false">
      <c r="A12" s="3" t="s">
        <v>421</v>
      </c>
      <c r="B12" s="25" t="s">
        <v>115</v>
      </c>
      <c r="C12" s="8" t="s">
        <v>116</v>
      </c>
      <c r="D12" s="8" t="s">
        <v>153</v>
      </c>
      <c r="E12" s="8" t="s">
        <v>178</v>
      </c>
      <c r="F12" s="19" t="n">
        <v>4.8</v>
      </c>
      <c r="G12" s="33" t="n">
        <f aca="false">F12*0.006477</f>
        <v>0.0310896</v>
      </c>
      <c r="H12" s="19" t="n">
        <f aca="false">F12*1.079436</f>
        <v>5.1812928</v>
      </c>
      <c r="I12" s="18" t="n">
        <f aca="false">MAX(1,ROUNDUP(G12/0.096,0))</f>
        <v>1</v>
      </c>
      <c r="J12" s="31" t="n">
        <v>46399</v>
      </c>
      <c r="K12" s="34" t="n">
        <f aca="false">J12-WEEKDAY(J12,2)+1</f>
        <v>46398</v>
      </c>
      <c r="L12" s="31" t="n">
        <f aca="false">J12</f>
        <v>46399</v>
      </c>
      <c r="M12" s="26" t="n">
        <f aca="false">INDEX(LR_Target,MATCH(B12,LR_Lane,0))</f>
        <v>2</v>
      </c>
      <c r="N12" s="31" t="n">
        <f aca="false">WORKDAY.INTL(L12,M12,INDEX(LR_Code,MATCH(B12,LR_Lane,0)),INDEX(DH_Table,0,MATCH(B12&amp;"*",DH_Head,0)))</f>
        <v>46401</v>
      </c>
      <c r="O12" s="35" t="n">
        <f aca="false">IF(W12&lt;&gt;"",W12,IF(U12="Helmond",IF(COUNTIFS(RC_Lane,B12,RC_Band,E12,RC_Transit,"&lt;&gt;")=0,"",SUMIFS(RC_Transit,RC_Lane,B12,RC_Band,E12)),IF(U12="Other","",IF(INDEX(RS_Transit,MATCH(B12,RS_Lane,0))="","",INDEX(RS_Transit,MATCH(B12,RS_Lane,0))))))</f>
        <v>1</v>
      </c>
      <c r="P12" s="36"/>
      <c r="Q12" s="31" t="n">
        <f aca="false">IF(P12&lt;&gt;"",P12,IF(O12="","",WORKDAY.INTL(L12,ROUNDUP(O12,0),INDEX(LR_Code,MATCH(B12,LR_Lane,0)),INDEX(DH_Table,0,MATCH(B12&amp;"*",DH_Head,0)))))</f>
        <v>46400</v>
      </c>
      <c r="R12" s="37" t="str">
        <f aca="false">IF(Q12="","",IF(Q12&lt;=N12,"Yes","No"))</f>
        <v>Yes</v>
      </c>
      <c r="S12" s="26" t="n">
        <f aca="false">IF(Q12="","",IF(Q12&lt;=N12,0,NETWORKDAYS.INTL(N12,Q12,INDEX(LR_Code,MATCH(B12,LR_Lane,0)),INDEX(DH_Table,0,MATCH(B12&amp;"*",DH_Head,0)))-1))</f>
        <v>0</v>
      </c>
      <c r="T12" s="4"/>
      <c r="U12" s="25" t="str">
        <f aca="false">IF(V12&lt;&gt;"",V12,IF(IFERROR(INDEX(RS_Flag,MATCH(B12,RS_Lane,0)),"")="Yes",IF(IFERROR(INDEX(RS_Loc,MATCH(B12,RS_Lane,0)),"")="","Regional stock",IFERROR(INDEX(RS_Loc,MATCH(B12,RS_Lane,0)),"")),"Helmond"))</f>
        <v>Helmond</v>
      </c>
      <c r="V12" s="17"/>
      <c r="W12" s="38"/>
      <c r="X12" s="39"/>
      <c r="Y12" s="40" t="n">
        <f aca="false">IF(X12&lt;&gt;"",X12,IF(U12="Helmond",IF(COUNTIFS(RC_Lane,B12,RC_Band,E12,RC_CostPS,"&gt;0")=0,"",SUMIFS(RC_CostPS,RC_Lane,B12,RC_Band,E12)*(1-SUMIFS(RC_Disc,RC_Lane,B12,RC_Band,E12))),IF(U12="Other","",IF(INDEX(RS_Rate,MATCH(B12,RS_Lane,0))="","",INDEX(RS_Rate,MATCH(B12,RS_Lane,0))))))</f>
        <v>72.485</v>
      </c>
    </row>
    <row r="13" customFormat="false" ht="15" hidden="false" customHeight="false" outlineLevel="0" collapsed="false">
      <c r="A13" s="3" t="s">
        <v>422</v>
      </c>
      <c r="B13" s="25" t="s">
        <v>108</v>
      </c>
      <c r="C13" s="8" t="s">
        <v>109</v>
      </c>
      <c r="D13" s="8" t="s">
        <v>270</v>
      </c>
      <c r="E13" s="8" t="s">
        <v>178</v>
      </c>
      <c r="F13" s="19" t="n">
        <v>9.4</v>
      </c>
      <c r="G13" s="33" t="n">
        <f aca="false">F13*0.006477</f>
        <v>0.0608838</v>
      </c>
      <c r="H13" s="19" t="n">
        <f aca="false">F13*1.079436</f>
        <v>10.1466984</v>
      </c>
      <c r="I13" s="18" t="n">
        <f aca="false">MAX(1,ROUNDUP(G13/0.096,0))</f>
        <v>1</v>
      </c>
      <c r="J13" s="31" t="n">
        <v>46400</v>
      </c>
      <c r="K13" s="34" t="n">
        <f aca="false">J13-WEEKDAY(J13,2)+1</f>
        <v>46398</v>
      </c>
      <c r="L13" s="31" t="n">
        <f aca="false">J13</f>
        <v>46400</v>
      </c>
      <c r="M13" s="26" t="n">
        <f aca="false">INDEX(LR_Target,MATCH(B13,LR_Lane,0))</f>
        <v>2</v>
      </c>
      <c r="N13" s="31" t="n">
        <f aca="false">WORKDAY.INTL(L13,M13,INDEX(LR_Code,MATCH(B13,LR_Lane,0)),INDEX(DH_Table,0,MATCH(B13&amp;"*",DH_Head,0)))</f>
        <v>46404</v>
      </c>
      <c r="O13" s="35" t="n">
        <f aca="false">IF(W13&lt;&gt;"",W13,IF(U13="Helmond",IF(COUNTIFS(RC_Lane,B13,RC_Band,E13,RC_Transit,"&lt;&gt;")=0,"",SUMIFS(RC_Transit,RC_Lane,B13,RC_Band,E13)),IF(U13="Other","",IF(INDEX(RS_Transit,MATCH(B13,RS_Lane,0))="","",INDEX(RS_Transit,MATCH(B13,RS_Lane,0))))))</f>
        <v>1</v>
      </c>
      <c r="P13" s="36"/>
      <c r="Q13" s="31" t="n">
        <f aca="false">IF(P13&lt;&gt;"",P13,IF(O13="","",WORKDAY.INTL(L13,ROUNDUP(O13,0),INDEX(LR_Code,MATCH(B13,LR_Lane,0)),INDEX(DH_Table,0,MATCH(B13&amp;"*",DH_Head,0)))))</f>
        <v>46401</v>
      </c>
      <c r="R13" s="37" t="str">
        <f aca="false">IF(Q13="","",IF(Q13&lt;=N13,"Yes","No"))</f>
        <v>Yes</v>
      </c>
      <c r="S13" s="26" t="n">
        <f aca="false">IF(Q13="","",IF(Q13&lt;=N13,0,NETWORKDAYS.INTL(N13,Q13,INDEX(LR_Code,MATCH(B13,LR_Lane,0)),INDEX(DH_Table,0,MATCH(B13&amp;"*",DH_Head,0)))-1))</f>
        <v>0</v>
      </c>
      <c r="T13" s="4"/>
      <c r="U13" s="25" t="str">
        <f aca="false">IF(V13&lt;&gt;"",V13,IF(IFERROR(INDEX(RS_Flag,MATCH(B13,RS_Lane,0)),"")="Yes",IF(IFERROR(INDEX(RS_Loc,MATCH(B13,RS_Lane,0)),"")="","Regional stock",IFERROR(INDEX(RS_Loc,MATCH(B13,RS_Lane,0)),"")),"Helmond"))</f>
        <v>Helmond</v>
      </c>
      <c r="V13" s="17"/>
      <c r="W13" s="38"/>
      <c r="X13" s="39"/>
      <c r="Y13" s="40" t="n">
        <f aca="false">IF(X13&lt;&gt;"",X13,IF(U13="Helmond",IF(COUNTIFS(RC_Lane,B13,RC_Band,E13,RC_CostPS,"&gt;0")=0,"",SUMIFS(RC_CostPS,RC_Lane,B13,RC_Band,E13)*(1-SUMIFS(RC_Disc,RC_Lane,B13,RC_Band,E13))),IF(U13="Other","",IF(INDEX(RS_Rate,MATCH(B13,RS_Lane,0))="","",INDEX(RS_Rate,MATCH(B13,RS_Lane,0))))))</f>
        <v>72.485</v>
      </c>
    </row>
    <row r="14" customFormat="false" ht="15" hidden="false" customHeight="false" outlineLevel="0" collapsed="false">
      <c r="A14" s="3" t="s">
        <v>423</v>
      </c>
      <c r="B14" s="25" t="s">
        <v>112</v>
      </c>
      <c r="C14" s="8" t="s">
        <v>113</v>
      </c>
      <c r="D14" s="8" t="s">
        <v>152</v>
      </c>
      <c r="E14" s="8" t="s">
        <v>178</v>
      </c>
      <c r="F14" s="19" t="n">
        <v>3.2</v>
      </c>
      <c r="G14" s="33" t="n">
        <f aca="false">F14*0.006477</f>
        <v>0.0207264</v>
      </c>
      <c r="H14" s="19" t="n">
        <f aca="false">F14*1.079436</f>
        <v>3.4541952</v>
      </c>
      <c r="I14" s="18" t="n">
        <f aca="false">MAX(1,ROUNDUP(G14/0.096,0))</f>
        <v>1</v>
      </c>
      <c r="J14" s="31" t="n">
        <v>46400</v>
      </c>
      <c r="K14" s="34" t="n">
        <f aca="false">J14-WEEKDAY(J14,2)+1</f>
        <v>46398</v>
      </c>
      <c r="L14" s="31" t="n">
        <f aca="false">J14</f>
        <v>46400</v>
      </c>
      <c r="M14" s="26" t="n">
        <f aca="false">INDEX(LR_Target,MATCH(B14,LR_Lane,0))</f>
        <v>2</v>
      </c>
      <c r="N14" s="31" t="n">
        <f aca="false">WORKDAY.INTL(L14,M14,INDEX(LR_Code,MATCH(B14,LR_Lane,0)),INDEX(DH_Table,0,MATCH(B14&amp;"*",DH_Head,0)))</f>
        <v>46402</v>
      </c>
      <c r="O14" s="35" t="n">
        <f aca="false">IF(W14&lt;&gt;"",W14,IF(U14="Helmond",IF(COUNTIFS(RC_Lane,B14,RC_Band,E14,RC_Transit,"&lt;&gt;")=0,"",SUMIFS(RC_Transit,RC_Lane,B14,RC_Band,E14)),IF(U14="Other","",IF(INDEX(RS_Transit,MATCH(B14,RS_Lane,0))="","",INDEX(RS_Transit,MATCH(B14,RS_Lane,0))))))</f>
        <v>1</v>
      </c>
      <c r="P14" s="36"/>
      <c r="Q14" s="31" t="n">
        <f aca="false">IF(P14&lt;&gt;"",P14,IF(O14="","",WORKDAY.INTL(L14,ROUNDUP(O14,0),INDEX(LR_Code,MATCH(B14,LR_Lane,0)),INDEX(DH_Table,0,MATCH(B14&amp;"*",DH_Head,0)))))</f>
        <v>46401</v>
      </c>
      <c r="R14" s="37" t="str">
        <f aca="false">IF(Q14="","",IF(Q14&lt;=N14,"Yes","No"))</f>
        <v>Yes</v>
      </c>
      <c r="S14" s="26" t="n">
        <f aca="false">IF(Q14="","",IF(Q14&lt;=N14,0,NETWORKDAYS.INTL(N14,Q14,INDEX(LR_Code,MATCH(B14,LR_Lane,0)),INDEX(DH_Table,0,MATCH(B14&amp;"*",DH_Head,0)))-1))</f>
        <v>0</v>
      </c>
      <c r="T14" s="4"/>
      <c r="U14" s="25" t="str">
        <f aca="false">IF(V14&lt;&gt;"",V14,IF(IFERROR(INDEX(RS_Flag,MATCH(B14,RS_Lane,0)),"")="Yes",IF(IFERROR(INDEX(RS_Loc,MATCH(B14,RS_Lane,0)),"")="","Regional stock",IFERROR(INDEX(RS_Loc,MATCH(B14,RS_Lane,0)),"")),"Helmond"))</f>
        <v>Helmond</v>
      </c>
      <c r="V14" s="17"/>
      <c r="W14" s="38"/>
      <c r="X14" s="39"/>
      <c r="Y14" s="40" t="n">
        <f aca="false">IF(X14&lt;&gt;"",X14,IF(U14="Helmond",IF(COUNTIFS(RC_Lane,B14,RC_Band,E14,RC_CostPS,"&gt;0")=0,"",SUMIFS(RC_CostPS,RC_Lane,B14,RC_Band,E14)*(1-SUMIFS(RC_Disc,RC_Lane,B14,RC_Band,E14))),IF(U14="Other","",IF(INDEX(RS_Rate,MATCH(B14,RS_Lane,0))="","",INDEX(RS_Rate,MATCH(B14,RS_Lane,0))))))</f>
        <v>72.485</v>
      </c>
    </row>
    <row r="15" customFormat="false" ht="15" hidden="false" customHeight="false" outlineLevel="0" collapsed="false">
      <c r="A15" s="3" t="s">
        <v>424</v>
      </c>
      <c r="B15" s="25" t="s">
        <v>117</v>
      </c>
      <c r="C15" s="8" t="s">
        <v>118</v>
      </c>
      <c r="D15" s="8" t="s">
        <v>154</v>
      </c>
      <c r="E15" s="8" t="s">
        <v>180</v>
      </c>
      <c r="F15" s="19" t="n">
        <v>68.9</v>
      </c>
      <c r="G15" s="33" t="n">
        <f aca="false">F15*0.006477</f>
        <v>0.4462653</v>
      </c>
      <c r="H15" s="19" t="n">
        <f aca="false">F15*1.079436</f>
        <v>74.3731404</v>
      </c>
      <c r="I15" s="18" t="n">
        <f aca="false">MAX(1,ROUNDUP(G15/0.096,0))</f>
        <v>5</v>
      </c>
      <c r="J15" s="31" t="n">
        <v>46400</v>
      </c>
      <c r="K15" s="34" t="n">
        <f aca="false">J15-WEEKDAY(J15,2)+1</f>
        <v>46398</v>
      </c>
      <c r="L15" s="31" t="n">
        <f aca="false">J15</f>
        <v>46400</v>
      </c>
      <c r="M15" s="26" t="n">
        <f aca="false">INDEX(LR_Target,MATCH(B15,LR_Lane,0))</f>
        <v>2</v>
      </c>
      <c r="N15" s="31" t="n">
        <f aca="false">WORKDAY.INTL(L15,M15,INDEX(LR_Code,MATCH(B15,LR_Lane,0)),INDEX(DH_Table,0,MATCH(B15&amp;"*",DH_Head,0)))</f>
        <v>46404</v>
      </c>
      <c r="O15" s="35" t="n">
        <f aca="false">IF(W15&lt;&gt;"",W15,IF(U15="Helmond",IF(COUNTIFS(RC_Lane,B15,RC_Band,E15,RC_Transit,"&lt;&gt;")=0,"",SUMIFS(RC_Transit,RC_Lane,B15,RC_Band,E15)),IF(U15="Other","",IF(INDEX(RS_Transit,MATCH(B15,RS_Lane,0))="","",INDEX(RS_Transit,MATCH(B15,RS_Lane,0))))))</f>
        <v>2</v>
      </c>
      <c r="P15" s="36"/>
      <c r="Q15" s="31" t="n">
        <f aca="false">IF(P15&lt;&gt;"",P15,IF(O15="","",WORKDAY.INTL(L15,ROUNDUP(O15,0),INDEX(LR_Code,MATCH(B15,LR_Lane,0)),INDEX(DH_Table,0,MATCH(B15&amp;"*",DH_Head,0)))))</f>
        <v>46404</v>
      </c>
      <c r="R15" s="37" t="str">
        <f aca="false">IF(Q15="","",IF(Q15&lt;=N15,"Yes","No"))</f>
        <v>Yes</v>
      </c>
      <c r="S15" s="26" t="n">
        <f aca="false">IF(Q15="","",IF(Q15&lt;=N15,0,NETWORKDAYS.INTL(N15,Q15,INDEX(LR_Code,MATCH(B15,LR_Lane,0)),INDEX(DH_Table,0,MATCH(B15&amp;"*",DH_Head,0)))-1))</f>
        <v>0</v>
      </c>
      <c r="T15" s="4"/>
      <c r="U15" s="25" t="str">
        <f aca="false">IF(V15&lt;&gt;"",V15,IF(IFERROR(INDEX(RS_Flag,MATCH(B15,RS_Lane,0)),"")="Yes",IF(IFERROR(INDEX(RS_Loc,MATCH(B15,RS_Lane,0)),"")="","Regional stock",IFERROR(INDEX(RS_Loc,MATCH(B15,RS_Lane,0)),"")),"Helmond"))</f>
        <v>Helmond</v>
      </c>
      <c r="V15" s="17"/>
      <c r="W15" s="38"/>
      <c r="X15" s="39"/>
      <c r="Y15" s="40" t="n">
        <f aca="false">IF(X15&lt;&gt;"",X15,IF(U15="Helmond",IF(COUNTIFS(RC_Lane,B15,RC_Band,E15,RC_CostPS,"&gt;0")=0,"",SUMIFS(RC_CostPS,RC_Lane,B15,RC_Band,E15)*(1-SUMIFS(RC_Disc,RC_Lane,B15,RC_Band,E15))),IF(U15="Other","",IF(INDEX(RS_Rate,MATCH(B15,RS_Lane,0))="","",INDEX(RS_Rate,MATCH(B15,RS_Lane,0))))))</f>
        <v>154.40768</v>
      </c>
    </row>
    <row r="16" customFormat="false" ht="15" hidden="false" customHeight="false" outlineLevel="0" collapsed="false">
      <c r="A16" s="3" t="s">
        <v>425</v>
      </c>
      <c r="B16" s="25" t="s">
        <v>108</v>
      </c>
      <c r="C16" s="8" t="s">
        <v>109</v>
      </c>
      <c r="D16" s="8" t="s">
        <v>270</v>
      </c>
      <c r="E16" s="8" t="s">
        <v>178</v>
      </c>
      <c r="F16" s="19" t="n">
        <v>13.8</v>
      </c>
      <c r="G16" s="33" t="n">
        <f aca="false">F16*0.006477</f>
        <v>0.0893826</v>
      </c>
      <c r="H16" s="19" t="n">
        <f aca="false">F16*1.079436</f>
        <v>14.8962168</v>
      </c>
      <c r="I16" s="18" t="n">
        <f aca="false">MAX(1,ROUNDUP(G16/0.096,0))</f>
        <v>1</v>
      </c>
      <c r="J16" s="31" t="n">
        <v>46401</v>
      </c>
      <c r="K16" s="34" t="n">
        <f aca="false">J16-WEEKDAY(J16,2)+1</f>
        <v>46398</v>
      </c>
      <c r="L16" s="31" t="n">
        <f aca="false">J16</f>
        <v>46401</v>
      </c>
      <c r="M16" s="26" t="n">
        <f aca="false">INDEX(LR_Target,MATCH(B16,LR_Lane,0))</f>
        <v>2</v>
      </c>
      <c r="N16" s="31" t="n">
        <f aca="false">WORKDAY.INTL(L16,M16,INDEX(LR_Code,MATCH(B16,LR_Lane,0)),INDEX(DH_Table,0,MATCH(B16&amp;"*",DH_Head,0)))</f>
        <v>46405</v>
      </c>
      <c r="O16" s="35" t="n">
        <f aca="false">IF(W16&lt;&gt;"",W16,IF(U16="Helmond",IF(COUNTIFS(RC_Lane,B16,RC_Band,E16,RC_Transit,"&lt;&gt;")=0,"",SUMIFS(RC_Transit,RC_Lane,B16,RC_Band,E16)),IF(U16="Other","",IF(INDEX(RS_Transit,MATCH(B16,RS_Lane,0))="","",INDEX(RS_Transit,MATCH(B16,RS_Lane,0))))))</f>
        <v>1</v>
      </c>
      <c r="P16" s="36"/>
      <c r="Q16" s="31" t="n">
        <f aca="false">IF(P16&lt;&gt;"",P16,IF(O16="","",WORKDAY.INTL(L16,ROUNDUP(O16,0),INDEX(LR_Code,MATCH(B16,LR_Lane,0)),INDEX(DH_Table,0,MATCH(B16&amp;"*",DH_Head,0)))))</f>
        <v>46404</v>
      </c>
      <c r="R16" s="37" t="str">
        <f aca="false">IF(Q16="","",IF(Q16&lt;=N16,"Yes","No"))</f>
        <v>Yes</v>
      </c>
      <c r="S16" s="26" t="n">
        <f aca="false">IF(Q16="","",IF(Q16&lt;=N16,0,NETWORKDAYS.INTL(N16,Q16,INDEX(LR_Code,MATCH(B16,LR_Lane,0)),INDEX(DH_Table,0,MATCH(B16&amp;"*",DH_Head,0)))-1))</f>
        <v>0</v>
      </c>
      <c r="T16" s="4"/>
      <c r="U16" s="25" t="str">
        <f aca="false">IF(V16&lt;&gt;"",V16,IF(IFERROR(INDEX(RS_Flag,MATCH(B16,RS_Lane,0)),"")="Yes",IF(IFERROR(INDEX(RS_Loc,MATCH(B16,RS_Lane,0)),"")="","Regional stock",IFERROR(INDEX(RS_Loc,MATCH(B16,RS_Lane,0)),"")),"Helmond"))</f>
        <v>Helmond</v>
      </c>
      <c r="V16" s="17"/>
      <c r="W16" s="38"/>
      <c r="X16" s="39"/>
      <c r="Y16" s="40" t="n">
        <f aca="false">IF(X16&lt;&gt;"",X16,IF(U16="Helmond",IF(COUNTIFS(RC_Lane,B16,RC_Band,E16,RC_CostPS,"&gt;0")=0,"",SUMIFS(RC_CostPS,RC_Lane,B16,RC_Band,E16)*(1-SUMIFS(RC_Disc,RC_Lane,B16,RC_Band,E16))),IF(U16="Other","",IF(INDEX(RS_Rate,MATCH(B16,RS_Lane,0))="","",INDEX(RS_Rate,MATCH(B16,RS_Lane,0))))))</f>
        <v>72.485</v>
      </c>
    </row>
    <row r="17" customFormat="false" ht="15" hidden="false" customHeight="false" outlineLevel="0" collapsed="false">
      <c r="A17" s="3" t="s">
        <v>426</v>
      </c>
      <c r="B17" s="25" t="s">
        <v>115</v>
      </c>
      <c r="C17" s="8" t="s">
        <v>116</v>
      </c>
      <c r="D17" s="8" t="s">
        <v>153</v>
      </c>
      <c r="E17" s="8" t="s">
        <v>183</v>
      </c>
      <c r="F17" s="19" t="n">
        <v>653</v>
      </c>
      <c r="G17" s="33" t="n">
        <f aca="false">F17*0.006477</f>
        <v>4.229481</v>
      </c>
      <c r="H17" s="19" t="n">
        <f aca="false">F17*1.079436</f>
        <v>704.871708</v>
      </c>
      <c r="I17" s="18" t="n">
        <f aca="false">MAX(1,ROUNDUP(G17/0.096,0))</f>
        <v>45</v>
      </c>
      <c r="J17" s="31" t="n">
        <v>46402</v>
      </c>
      <c r="K17" s="34" t="n">
        <f aca="false">J17-WEEKDAY(J17,2)+1</f>
        <v>46398</v>
      </c>
      <c r="L17" s="31" t="n">
        <f aca="false">J17</f>
        <v>46402</v>
      </c>
      <c r="M17" s="26" t="n">
        <f aca="false">INDEX(LR_Target,MATCH(B17,LR_Lane,0))</f>
        <v>2</v>
      </c>
      <c r="N17" s="31" t="n">
        <f aca="false">WORKDAY.INTL(L17,M17,INDEX(LR_Code,MATCH(B17,LR_Lane,0)),INDEX(DH_Table,0,MATCH(B17&amp;"*",DH_Head,0)))</f>
        <v>46405</v>
      </c>
      <c r="O17" s="35" t="n">
        <f aca="false">IF(W17&lt;&gt;"",W17,IF(U17="Helmond",IF(COUNTIFS(RC_Lane,B17,RC_Band,E17,RC_Transit,"&lt;&gt;")=0,"",SUMIFS(RC_Transit,RC_Lane,B17,RC_Band,E17)),IF(U17="Other","",IF(INDEX(RS_Transit,MATCH(B17,RS_Lane,0))="","",INDEX(RS_Transit,MATCH(B17,RS_Lane,0))))))</f>
        <v>4</v>
      </c>
      <c r="P17" s="36"/>
      <c r="Q17" s="31" t="n">
        <f aca="false">IF(P17&lt;&gt;"",P17,IF(O17="","",WORKDAY.INTL(L17,ROUNDUP(O17,0),INDEX(LR_Code,MATCH(B17,LR_Lane,0)),INDEX(DH_Table,0,MATCH(B17&amp;"*",DH_Head,0)))))</f>
        <v>46407</v>
      </c>
      <c r="R17" s="37" t="str">
        <f aca="false">IF(Q17="","",IF(Q17&lt;=N17,"Yes","No"))</f>
        <v>No</v>
      </c>
      <c r="S17" s="26" t="n">
        <f aca="false">IF(Q17="","",IF(Q17&lt;=N17,0,NETWORKDAYS.INTL(N17,Q17,INDEX(LR_Code,MATCH(B17,LR_Lane,0)),INDEX(DH_Table,0,MATCH(B17&amp;"*",DH_Head,0)))-1))</f>
        <v>2</v>
      </c>
      <c r="T17" s="4"/>
      <c r="U17" s="25" t="str">
        <f aca="false">IF(V17&lt;&gt;"",V17,IF(IFERROR(INDEX(RS_Flag,MATCH(B17,RS_Lane,0)),"")="Yes",IF(IFERROR(INDEX(RS_Loc,MATCH(B17,RS_Lane,0)),"")="","Regional stock",IFERROR(INDEX(RS_Loc,MATCH(B17,RS_Lane,0)),"")),"Helmond"))</f>
        <v>Helmond</v>
      </c>
      <c r="V17" s="17"/>
      <c r="W17" s="38"/>
      <c r="X17" s="39"/>
      <c r="Y17" s="40" t="n">
        <f aca="false">IF(X17&lt;&gt;"",X17,IF(U17="Helmond",IF(COUNTIFS(RC_Lane,B17,RC_Band,E17,RC_CostPS,"&gt;0")=0,"",SUMIFS(RC_CostPS,RC_Lane,B17,RC_Band,E17)*(1-SUMIFS(RC_Disc,RC_Lane,B17,RC_Band,E17))),IF(U17="Other","",IF(INDEX(RS_Rate,MATCH(B17,RS_Lane,0))="","",INDEX(RS_Rate,MATCH(B17,RS_Lane,0))))))</f>
        <v>3210.88144</v>
      </c>
    </row>
    <row r="18" customFormat="false" ht="15" hidden="false" customHeight="false" outlineLevel="0" collapsed="false">
      <c r="A18" s="3" t="s">
        <v>427</v>
      </c>
      <c r="B18" s="25" t="s">
        <v>119</v>
      </c>
      <c r="C18" s="8" t="s">
        <v>120</v>
      </c>
      <c r="D18" s="8" t="s">
        <v>155</v>
      </c>
      <c r="E18" s="8" t="s">
        <v>178</v>
      </c>
      <c r="F18" s="19" t="n">
        <v>5.4</v>
      </c>
      <c r="G18" s="33" t="n">
        <f aca="false">F18*0.006477</f>
        <v>0.0349758</v>
      </c>
      <c r="H18" s="19" t="n">
        <f aca="false">F18*1.079436</f>
        <v>5.8289544</v>
      </c>
      <c r="I18" s="18" t="n">
        <f aca="false">MAX(1,ROUNDUP(G18/0.096,0))</f>
        <v>1</v>
      </c>
      <c r="J18" s="31" t="n">
        <v>46405</v>
      </c>
      <c r="K18" s="34" t="n">
        <f aca="false">J18-WEEKDAY(J18,2)+1</f>
        <v>46405</v>
      </c>
      <c r="L18" s="31" t="n">
        <f aca="false">J18</f>
        <v>46405</v>
      </c>
      <c r="M18" s="26" t="n">
        <f aca="false">INDEX(LR_Target,MATCH(B18,LR_Lane,0))</f>
        <v>3</v>
      </c>
      <c r="N18" s="31" t="n">
        <f aca="false">WORKDAY.INTL(L18,M18,INDEX(LR_Code,MATCH(B18,LR_Lane,0)),INDEX(DH_Table,0,MATCH(B18&amp;"*",DH_Head,0)))</f>
        <v>46408</v>
      </c>
      <c r="O18" s="35" t="n">
        <f aca="false">IF(W18&lt;&gt;"",W18,IF(U18="Helmond",IF(COUNTIFS(RC_Lane,B18,RC_Band,E18,RC_Transit,"&lt;&gt;")=0,"",SUMIFS(RC_Transit,RC_Lane,B18,RC_Band,E18)),IF(U18="Other","",IF(INDEX(RS_Transit,MATCH(B18,RS_Lane,0))="","",INDEX(RS_Transit,MATCH(B18,RS_Lane,0))))))</f>
        <v>1</v>
      </c>
      <c r="P18" s="36"/>
      <c r="Q18" s="31" t="n">
        <f aca="false">IF(P18&lt;&gt;"",P18,IF(O18="","",WORKDAY.INTL(L18,ROUNDUP(O18,0),INDEX(LR_Code,MATCH(B18,LR_Lane,0)),INDEX(DH_Table,0,MATCH(B18&amp;"*",DH_Head,0)))))</f>
        <v>46406</v>
      </c>
      <c r="R18" s="37" t="str">
        <f aca="false">IF(Q18="","",IF(Q18&lt;=N18,"Yes","No"))</f>
        <v>Yes</v>
      </c>
      <c r="S18" s="26" t="n">
        <f aca="false">IF(Q18="","",IF(Q18&lt;=N18,0,NETWORKDAYS.INTL(N18,Q18,INDEX(LR_Code,MATCH(B18,LR_Lane,0)),INDEX(DH_Table,0,MATCH(B18&amp;"*",DH_Head,0)))-1))</f>
        <v>0</v>
      </c>
      <c r="T18" s="4"/>
      <c r="U18" s="25" t="str">
        <f aca="false">IF(V18&lt;&gt;"",V18,IF(IFERROR(INDEX(RS_Flag,MATCH(B18,RS_Lane,0)),"")="Yes",IF(IFERROR(INDEX(RS_Loc,MATCH(B18,RS_Lane,0)),"")="","Regional stock",IFERROR(INDEX(RS_Loc,MATCH(B18,RS_Lane,0)),"")),"Helmond"))</f>
        <v>Helmond</v>
      </c>
      <c r="V18" s="17"/>
      <c r="W18" s="38"/>
      <c r="X18" s="39"/>
      <c r="Y18" s="40" t="n">
        <f aca="false">IF(X18&lt;&gt;"",X18,IF(U18="Helmond",IF(COUNTIFS(RC_Lane,B18,RC_Band,E18,RC_CostPS,"&gt;0")=0,"",SUMIFS(RC_CostPS,RC_Lane,B18,RC_Band,E18)*(1-SUMIFS(RC_Disc,RC_Lane,B18,RC_Band,E18))),IF(U18="Other","",IF(INDEX(RS_Rate,MATCH(B18,RS_Lane,0))="","",INDEX(RS_Rate,MATCH(B18,RS_Lane,0))))))</f>
        <v>72.485</v>
      </c>
    </row>
    <row r="19" customFormat="false" ht="15" hidden="false" customHeight="false" outlineLevel="0" collapsed="false">
      <c r="A19" s="3" t="s">
        <v>428</v>
      </c>
      <c r="B19" s="25" t="s">
        <v>108</v>
      </c>
      <c r="C19" s="8" t="s">
        <v>109</v>
      </c>
      <c r="D19" s="8" t="s">
        <v>272</v>
      </c>
      <c r="E19" s="8" t="s">
        <v>180</v>
      </c>
      <c r="F19" s="19" t="n">
        <v>80.2</v>
      </c>
      <c r="G19" s="33" t="n">
        <f aca="false">F19*0.006477</f>
        <v>0.5194554</v>
      </c>
      <c r="H19" s="19" t="n">
        <f aca="false">F19*1.079436</f>
        <v>86.5707672</v>
      </c>
      <c r="I19" s="18" t="n">
        <f aca="false">MAX(1,ROUNDUP(G19/0.096,0))</f>
        <v>6</v>
      </c>
      <c r="J19" s="31" t="n">
        <v>46406</v>
      </c>
      <c r="K19" s="34" t="n">
        <f aca="false">J19-WEEKDAY(J19,2)+1</f>
        <v>46405</v>
      </c>
      <c r="L19" s="31" t="n">
        <f aca="false">J19</f>
        <v>46406</v>
      </c>
      <c r="M19" s="26" t="n">
        <f aca="false">INDEX(LR_Target,MATCH(B19,LR_Lane,0))</f>
        <v>2</v>
      </c>
      <c r="N19" s="31" t="n">
        <f aca="false">WORKDAY.INTL(L19,M19,INDEX(LR_Code,MATCH(B19,LR_Lane,0)),INDEX(DH_Table,0,MATCH(B19&amp;"*",DH_Head,0)))</f>
        <v>46408</v>
      </c>
      <c r="O19" s="35" t="n">
        <f aca="false">IF(W19&lt;&gt;"",W19,IF(U19="Helmond",IF(COUNTIFS(RC_Lane,B19,RC_Band,E19,RC_Transit,"&lt;&gt;")=0,"",SUMIFS(RC_Transit,RC_Lane,B19,RC_Band,E19)),IF(U19="Other","",IF(INDEX(RS_Transit,MATCH(B19,RS_Lane,0))="","",INDEX(RS_Transit,MATCH(B19,RS_Lane,0))))))</f>
        <v>2</v>
      </c>
      <c r="P19" s="36"/>
      <c r="Q19" s="31" t="n">
        <f aca="false">IF(P19&lt;&gt;"",P19,IF(O19="","",WORKDAY.INTL(L19,ROUNDUP(O19,0),INDEX(LR_Code,MATCH(B19,LR_Lane,0)),INDEX(DH_Table,0,MATCH(B19&amp;"*",DH_Head,0)))))</f>
        <v>46408</v>
      </c>
      <c r="R19" s="37" t="str">
        <f aca="false">IF(Q19="","",IF(Q19&lt;=N19,"Yes","No"))</f>
        <v>Yes</v>
      </c>
      <c r="S19" s="26" t="n">
        <f aca="false">IF(Q19="","",IF(Q19&lt;=N19,0,NETWORKDAYS.INTL(N19,Q19,INDEX(LR_Code,MATCH(B19,LR_Lane,0)),INDEX(DH_Table,0,MATCH(B19&amp;"*",DH_Head,0)))-1))</f>
        <v>0</v>
      </c>
      <c r="T19" s="4"/>
      <c r="U19" s="25" t="str">
        <f aca="false">IF(V19&lt;&gt;"",V19,IF(IFERROR(INDEX(RS_Flag,MATCH(B19,RS_Lane,0)),"")="Yes",IF(IFERROR(INDEX(RS_Loc,MATCH(B19,RS_Lane,0)),"")="","Regional stock",IFERROR(INDEX(RS_Loc,MATCH(B19,RS_Lane,0)),"")),"Helmond"))</f>
        <v>Helmond</v>
      </c>
      <c r="V19" s="17"/>
      <c r="W19" s="38"/>
      <c r="X19" s="39"/>
      <c r="Y19" s="40" t="n">
        <f aca="false">IF(X19&lt;&gt;"",X19,IF(U19="Helmond",IF(COUNTIFS(RC_Lane,B19,RC_Band,E19,RC_CostPS,"&gt;0")=0,"",SUMIFS(RC_CostPS,RC_Lane,B19,RC_Band,E19)*(1-SUMIFS(RC_Disc,RC_Lane,B19,RC_Band,E19))),IF(U19="Other","",IF(INDEX(RS_Rate,MATCH(B19,RS_Lane,0))="","",INDEX(RS_Rate,MATCH(B19,RS_Lane,0))))))</f>
        <v>284.98176</v>
      </c>
    </row>
    <row r="20" customFormat="false" ht="15" hidden="false" customHeight="false" outlineLevel="0" collapsed="false">
      <c r="A20" s="3" t="s">
        <v>429</v>
      </c>
      <c r="B20" s="25" t="s">
        <v>112</v>
      </c>
      <c r="C20" s="8" t="s">
        <v>113</v>
      </c>
      <c r="D20" s="8" t="s">
        <v>152</v>
      </c>
      <c r="E20" s="8" t="s">
        <v>178</v>
      </c>
      <c r="F20" s="19" t="n">
        <v>8.1</v>
      </c>
      <c r="G20" s="33" t="n">
        <f aca="false">F20*0.006477</f>
        <v>0.0524637</v>
      </c>
      <c r="H20" s="19" t="n">
        <f aca="false">F20*1.079436</f>
        <v>8.7434316</v>
      </c>
      <c r="I20" s="18" t="n">
        <f aca="false">MAX(1,ROUNDUP(G20/0.096,0))</f>
        <v>1</v>
      </c>
      <c r="J20" s="31" t="n">
        <v>46406</v>
      </c>
      <c r="K20" s="34" t="n">
        <f aca="false">J20-WEEKDAY(J20,2)+1</f>
        <v>46405</v>
      </c>
      <c r="L20" s="31" t="n">
        <f aca="false">J20</f>
        <v>46406</v>
      </c>
      <c r="M20" s="26" t="n">
        <f aca="false">INDEX(LR_Target,MATCH(B20,LR_Lane,0))</f>
        <v>2</v>
      </c>
      <c r="N20" s="31" t="n">
        <f aca="false">WORKDAY.INTL(L20,M20,INDEX(LR_Code,MATCH(B20,LR_Lane,0)),INDEX(DH_Table,0,MATCH(B20&amp;"*",DH_Head,0)))</f>
        <v>46408</v>
      </c>
      <c r="O20" s="35" t="n">
        <f aca="false">IF(W20&lt;&gt;"",W20,IF(U20="Helmond",IF(COUNTIFS(RC_Lane,B20,RC_Band,E20,RC_Transit,"&lt;&gt;")=0,"",SUMIFS(RC_Transit,RC_Lane,B20,RC_Band,E20)),IF(U20="Other","",IF(INDEX(RS_Transit,MATCH(B20,RS_Lane,0))="","",INDEX(RS_Transit,MATCH(B20,RS_Lane,0))))))</f>
        <v>1</v>
      </c>
      <c r="P20" s="36"/>
      <c r="Q20" s="31" t="n">
        <f aca="false">IF(P20&lt;&gt;"",P20,IF(O20="","",WORKDAY.INTL(L20,ROUNDUP(O20,0),INDEX(LR_Code,MATCH(B20,LR_Lane,0)),INDEX(DH_Table,0,MATCH(B20&amp;"*",DH_Head,0)))))</f>
        <v>46407</v>
      </c>
      <c r="R20" s="37" t="str">
        <f aca="false">IF(Q20="","",IF(Q20&lt;=N20,"Yes","No"))</f>
        <v>Yes</v>
      </c>
      <c r="S20" s="26" t="n">
        <f aca="false">IF(Q20="","",IF(Q20&lt;=N20,0,NETWORKDAYS.INTL(N20,Q20,INDEX(LR_Code,MATCH(B20,LR_Lane,0)),INDEX(DH_Table,0,MATCH(B20&amp;"*",DH_Head,0)))-1))</f>
        <v>0</v>
      </c>
      <c r="T20" s="4"/>
      <c r="U20" s="25" t="str">
        <f aca="false">IF(V20&lt;&gt;"",V20,IF(IFERROR(INDEX(RS_Flag,MATCH(B20,RS_Lane,0)),"")="Yes",IF(IFERROR(INDEX(RS_Loc,MATCH(B20,RS_Lane,0)),"")="","Regional stock",IFERROR(INDEX(RS_Loc,MATCH(B20,RS_Lane,0)),"")),"Helmond"))</f>
        <v>Helmond</v>
      </c>
      <c r="V20" s="17"/>
      <c r="W20" s="38"/>
      <c r="X20" s="39"/>
      <c r="Y20" s="40" t="n">
        <f aca="false">IF(X20&lt;&gt;"",X20,IF(U20="Helmond",IF(COUNTIFS(RC_Lane,B20,RC_Band,E20,RC_CostPS,"&gt;0")=0,"",SUMIFS(RC_CostPS,RC_Lane,B20,RC_Band,E20)*(1-SUMIFS(RC_Disc,RC_Lane,B20,RC_Band,E20))),IF(U20="Other","",IF(INDEX(RS_Rate,MATCH(B20,RS_Lane,0))="","",INDEX(RS_Rate,MATCH(B20,RS_Lane,0))))))</f>
        <v>72.485</v>
      </c>
    </row>
    <row r="21" customFormat="false" ht="15" hidden="false" customHeight="false" outlineLevel="0" collapsed="false">
      <c r="A21" s="3" t="s">
        <v>430</v>
      </c>
      <c r="B21" s="25" t="s">
        <v>112</v>
      </c>
      <c r="C21" s="8" t="s">
        <v>113</v>
      </c>
      <c r="D21" s="8" t="s">
        <v>152</v>
      </c>
      <c r="E21" s="8" t="s">
        <v>182</v>
      </c>
      <c r="F21" s="19" t="n">
        <v>316.7</v>
      </c>
      <c r="G21" s="33" t="n">
        <f aca="false">F21*0.006477</f>
        <v>2.0512659</v>
      </c>
      <c r="H21" s="19" t="n">
        <f aca="false">F21*1.079436</f>
        <v>341.8573812</v>
      </c>
      <c r="I21" s="18" t="n">
        <f aca="false">MAX(1,ROUNDUP(G21/0.096,0))</f>
        <v>22</v>
      </c>
      <c r="J21" s="31" t="n">
        <v>46407</v>
      </c>
      <c r="K21" s="34" t="n">
        <f aca="false">J21-WEEKDAY(J21,2)+1</f>
        <v>46405</v>
      </c>
      <c r="L21" s="31" t="n">
        <f aca="false">J21</f>
        <v>46407</v>
      </c>
      <c r="M21" s="26" t="n">
        <f aca="false">INDEX(LR_Target,MATCH(B21,LR_Lane,0))</f>
        <v>2</v>
      </c>
      <c r="N21" s="31" t="n">
        <f aca="false">WORKDAY.INTL(L21,M21,INDEX(LR_Code,MATCH(B21,LR_Lane,0)),INDEX(DH_Table,0,MATCH(B21&amp;"*",DH_Head,0)))</f>
        <v>46409</v>
      </c>
      <c r="O21" s="35" t="n">
        <f aca="false">IF(W21&lt;&gt;"",W21,IF(U21="Helmond",IF(COUNTIFS(RC_Lane,B21,RC_Band,E21,RC_Transit,"&lt;&gt;")=0,"",SUMIFS(RC_Transit,RC_Lane,B21,RC_Band,E21)),IF(U21="Other","",IF(INDEX(RS_Transit,MATCH(B21,RS_Lane,0))="","",INDEX(RS_Transit,MATCH(B21,RS_Lane,0))))))</f>
        <v>3</v>
      </c>
      <c r="P21" s="36"/>
      <c r="Q21" s="31" t="n">
        <f aca="false">IF(P21&lt;&gt;"",P21,IF(O21="","",WORKDAY.INTL(L21,ROUNDUP(O21,0),INDEX(LR_Code,MATCH(B21,LR_Lane,0)),INDEX(DH_Table,0,MATCH(B21&amp;"*",DH_Head,0)))))</f>
        <v>46412</v>
      </c>
      <c r="R21" s="37" t="str">
        <f aca="false">IF(Q21="","",IF(Q21&lt;=N21,"Yes","No"))</f>
        <v>No</v>
      </c>
      <c r="S21" s="26" t="n">
        <f aca="false">IF(Q21="","",IF(Q21&lt;=N21,0,NETWORKDAYS.INTL(N21,Q21,INDEX(LR_Code,MATCH(B21,LR_Lane,0)),INDEX(DH_Table,0,MATCH(B21&amp;"*",DH_Head,0)))-1))</f>
        <v>1</v>
      </c>
      <c r="T21" s="4"/>
      <c r="U21" s="25" t="str">
        <f aca="false">IF(V21&lt;&gt;"",V21,IF(IFERROR(INDEX(RS_Flag,MATCH(B21,RS_Lane,0)),"")="Yes",IF(IFERROR(INDEX(RS_Loc,MATCH(B21,RS_Lane,0)),"")="","Regional stock",IFERROR(INDEX(RS_Loc,MATCH(B21,RS_Lane,0)),"")),"Helmond"))</f>
        <v>Helmond</v>
      </c>
      <c r="V21" s="17"/>
      <c r="W21" s="38"/>
      <c r="X21" s="39"/>
      <c r="Y21" s="40" t="n">
        <f aca="false">IF(X21&lt;&gt;"",X21,IF(U21="Helmond",IF(COUNTIFS(RC_Lane,B21,RC_Band,E21,RC_CostPS,"&gt;0")=0,"",SUMIFS(RC_CostPS,RC_Lane,B21,RC_Band,E21)*(1-SUMIFS(RC_Disc,RC_Lane,B21,RC_Band,E21))),IF(U21="Other","",IF(INDEX(RS_Rate,MATCH(B21,RS_Lane,0))="","",INDEX(RS_Rate,MATCH(B21,RS_Lane,0))))))</f>
        <v>1428.70443</v>
      </c>
    </row>
    <row r="22" customFormat="false" ht="15" hidden="false" customHeight="false" outlineLevel="0" collapsed="false">
      <c r="A22" s="3" t="s">
        <v>431</v>
      </c>
      <c r="B22" s="25" t="s">
        <v>121</v>
      </c>
      <c r="C22" s="8" t="s">
        <v>122</v>
      </c>
      <c r="D22" s="8" t="s">
        <v>278</v>
      </c>
      <c r="E22" s="8" t="s">
        <v>182</v>
      </c>
      <c r="F22" s="19" t="n">
        <v>299.9</v>
      </c>
      <c r="G22" s="33" t="n">
        <f aca="false">F22*0.006477</f>
        <v>1.9424523</v>
      </c>
      <c r="H22" s="19" t="n">
        <f aca="false">F22*1.079436</f>
        <v>323.7228564</v>
      </c>
      <c r="I22" s="18" t="n">
        <f aca="false">MAX(1,ROUNDUP(G22/0.096,0))</f>
        <v>21</v>
      </c>
      <c r="J22" s="31" t="n">
        <v>46407</v>
      </c>
      <c r="K22" s="34" t="n">
        <f aca="false">J22-WEEKDAY(J22,2)+1</f>
        <v>46405</v>
      </c>
      <c r="L22" s="31" t="n">
        <f aca="false">J22</f>
        <v>46407</v>
      </c>
      <c r="M22" s="26" t="n">
        <f aca="false">INDEX(LR_Target,MATCH(B22,LR_Lane,0))</f>
        <v>3</v>
      </c>
      <c r="N22" s="31" t="n">
        <f aca="false">WORKDAY.INTL(L22,M22,INDEX(LR_Code,MATCH(B22,LR_Lane,0)),INDEX(DH_Table,0,MATCH(B22&amp;"*",DH_Head,0)))</f>
        <v>46412</v>
      </c>
      <c r="O22" s="35" t="n">
        <f aca="false">IF(W22&lt;&gt;"",W22,IF(U22="Helmond",IF(COUNTIFS(RC_Lane,B22,RC_Band,E22,RC_Transit,"&lt;&gt;")=0,"",SUMIFS(RC_Transit,RC_Lane,B22,RC_Band,E22)),IF(U22="Other","",IF(INDEX(RS_Transit,MATCH(B22,RS_Lane,0))="","",INDEX(RS_Transit,MATCH(B22,RS_Lane,0))))))</f>
        <v>3</v>
      </c>
      <c r="P22" s="36"/>
      <c r="Q22" s="31" t="n">
        <f aca="false">IF(P22&lt;&gt;"",P22,IF(O22="","",WORKDAY.INTL(L22,ROUNDUP(O22,0),INDEX(LR_Code,MATCH(B22,LR_Lane,0)),INDEX(DH_Table,0,MATCH(B22&amp;"*",DH_Head,0)))))</f>
        <v>46412</v>
      </c>
      <c r="R22" s="37" t="str">
        <f aca="false">IF(Q22="","",IF(Q22&lt;=N22,"Yes","No"))</f>
        <v>Yes</v>
      </c>
      <c r="S22" s="26" t="n">
        <f aca="false">IF(Q22="","",IF(Q22&lt;=N22,0,NETWORKDAYS.INTL(N22,Q22,INDEX(LR_Code,MATCH(B22,LR_Lane,0)),INDEX(DH_Table,0,MATCH(B22&amp;"*",DH_Head,0)))-1))</f>
        <v>0</v>
      </c>
      <c r="T22" s="4"/>
      <c r="U22" s="25" t="str">
        <f aca="false">IF(V22&lt;&gt;"",V22,IF(IFERROR(INDEX(RS_Flag,MATCH(B22,RS_Lane,0)),"")="Yes",IF(IFERROR(INDEX(RS_Loc,MATCH(B22,RS_Lane,0)),"")="","Regional stock",IFERROR(INDEX(RS_Loc,MATCH(B22,RS_Lane,0)),"")),"Helmond"))</f>
        <v>Helmond</v>
      </c>
      <c r="V22" s="17"/>
      <c r="W22" s="38"/>
      <c r="X22" s="39"/>
      <c r="Y22" s="40" t="n">
        <f aca="false">IF(X22&lt;&gt;"",X22,IF(U22="Helmond",IF(COUNTIFS(RC_Lane,B22,RC_Band,E22,RC_CostPS,"&gt;0")=0,"",SUMIFS(RC_CostPS,RC_Lane,B22,RC_Band,E22)*(1-SUMIFS(RC_Disc,RC_Lane,B22,RC_Band,E22))),IF(U22="Other","",IF(INDEX(RS_Rate,MATCH(B22,RS_Lane,0))="","",INDEX(RS_Rate,MATCH(B22,RS_Lane,0))))))</f>
        <v>691.60209</v>
      </c>
    </row>
    <row r="23" customFormat="false" ht="15" hidden="false" customHeight="false" outlineLevel="0" collapsed="false">
      <c r="A23" s="3" t="s">
        <v>432</v>
      </c>
      <c r="B23" s="25" t="s">
        <v>124</v>
      </c>
      <c r="C23" s="8" t="s">
        <v>125</v>
      </c>
      <c r="D23" s="8" t="s">
        <v>157</v>
      </c>
      <c r="E23" s="8" t="s">
        <v>182</v>
      </c>
      <c r="F23" s="19" t="n">
        <v>181.2</v>
      </c>
      <c r="G23" s="33" t="n">
        <f aca="false">F23*0.006477</f>
        <v>1.1736324</v>
      </c>
      <c r="H23" s="19" t="n">
        <f aca="false">F23*1.079436</f>
        <v>195.5938032</v>
      </c>
      <c r="I23" s="18" t="n">
        <f aca="false">MAX(1,ROUNDUP(G23/0.096,0))</f>
        <v>13</v>
      </c>
      <c r="J23" s="31" t="n">
        <v>46407</v>
      </c>
      <c r="K23" s="34" t="n">
        <f aca="false">J23-WEEKDAY(J23,2)+1</f>
        <v>46405</v>
      </c>
      <c r="L23" s="31" t="n">
        <f aca="false">J23</f>
        <v>46407</v>
      </c>
      <c r="M23" s="26" t="n">
        <f aca="false">INDEX(LR_Target,MATCH(B23,LR_Lane,0))</f>
        <v>5</v>
      </c>
      <c r="N23" s="31" t="n">
        <f aca="false">WORKDAY.INTL(L23,M23,INDEX(LR_Code,MATCH(B23,LR_Lane,0)),INDEX(DH_Table,0,MATCH(B23&amp;"*",DH_Head,0)))</f>
        <v>46414</v>
      </c>
      <c r="O23" s="35" t="n">
        <f aca="false">IF(W23&lt;&gt;"",W23,IF(U23="Helmond",IF(COUNTIFS(RC_Lane,B23,RC_Band,E23,RC_Transit,"&lt;&gt;")=0,"",SUMIFS(RC_Transit,RC_Lane,B23,RC_Band,E23)),IF(U23="Other","",IF(INDEX(RS_Transit,MATCH(B23,RS_Lane,0))="","",INDEX(RS_Transit,MATCH(B23,RS_Lane,0))))))</f>
        <v>3</v>
      </c>
      <c r="P23" s="36"/>
      <c r="Q23" s="31" t="n">
        <f aca="false">IF(P23&lt;&gt;"",P23,IF(O23="","",WORKDAY.INTL(L23,ROUNDUP(O23,0),INDEX(LR_Code,MATCH(B23,LR_Lane,0)),INDEX(DH_Table,0,MATCH(B23&amp;"*",DH_Head,0)))))</f>
        <v>46412</v>
      </c>
      <c r="R23" s="37" t="str">
        <f aca="false">IF(Q23="","",IF(Q23&lt;=N23,"Yes","No"))</f>
        <v>Yes</v>
      </c>
      <c r="S23" s="26" t="n">
        <f aca="false">IF(Q23="","",IF(Q23&lt;=N23,0,NETWORKDAYS.INTL(N23,Q23,INDEX(LR_Code,MATCH(B23,LR_Lane,0)),INDEX(DH_Table,0,MATCH(B23&amp;"*",DH_Head,0)))-1))</f>
        <v>0</v>
      </c>
      <c r="T23" s="4"/>
      <c r="U23" s="25" t="str">
        <f aca="false">IF(V23&lt;&gt;"",V23,IF(IFERROR(INDEX(RS_Flag,MATCH(B23,RS_Lane,0)),"")="Yes",IF(IFERROR(INDEX(RS_Loc,MATCH(B23,RS_Lane,0)),"")="","Regional stock",IFERROR(INDEX(RS_Loc,MATCH(B23,RS_Lane,0)),"")),"Helmond"))</f>
        <v>Helmond</v>
      </c>
      <c r="V23" s="17"/>
      <c r="W23" s="38"/>
      <c r="X23" s="39"/>
      <c r="Y23" s="40" t="n">
        <f aca="false">IF(X23&lt;&gt;"",X23,IF(U23="Helmond",IF(COUNTIFS(RC_Lane,B23,RC_Band,E23,RC_CostPS,"&gt;0")=0,"",SUMIFS(RC_CostPS,RC_Lane,B23,RC_Band,E23)*(1-SUMIFS(RC_Disc,RC_Lane,B23,RC_Band,E23))),IF(U23="Other","",IF(INDEX(RS_Rate,MATCH(B23,RS_Lane,0))="","",INDEX(RS_Rate,MATCH(B23,RS_Lane,0))))))</f>
        <v>1403.50435</v>
      </c>
    </row>
    <row r="24" customFormat="false" ht="15" hidden="false" customHeight="false" outlineLevel="0" collapsed="false">
      <c r="A24" s="3" t="s">
        <v>433</v>
      </c>
      <c r="B24" s="25" t="s">
        <v>112</v>
      </c>
      <c r="C24" s="8" t="s">
        <v>113</v>
      </c>
      <c r="D24" s="8" t="s">
        <v>152</v>
      </c>
      <c r="E24" s="8" t="s">
        <v>178</v>
      </c>
      <c r="F24" s="19" t="n">
        <v>10.2</v>
      </c>
      <c r="G24" s="33" t="n">
        <f aca="false">F24*0.006477</f>
        <v>0.0660654</v>
      </c>
      <c r="H24" s="19" t="n">
        <f aca="false">F24*1.079436</f>
        <v>11.0102472</v>
      </c>
      <c r="I24" s="18" t="n">
        <f aca="false">MAX(1,ROUNDUP(G24/0.096,0))</f>
        <v>1</v>
      </c>
      <c r="J24" s="31" t="n">
        <v>46409</v>
      </c>
      <c r="K24" s="34" t="n">
        <f aca="false">J24-WEEKDAY(J24,2)+1</f>
        <v>46405</v>
      </c>
      <c r="L24" s="31" t="n">
        <f aca="false">J24</f>
        <v>46409</v>
      </c>
      <c r="M24" s="26" t="n">
        <f aca="false">INDEX(LR_Target,MATCH(B24,LR_Lane,0))</f>
        <v>2</v>
      </c>
      <c r="N24" s="31" t="n">
        <f aca="false">WORKDAY.INTL(L24,M24,INDEX(LR_Code,MATCH(B24,LR_Lane,0)),INDEX(DH_Table,0,MATCH(B24&amp;"*",DH_Head,0)))</f>
        <v>46413</v>
      </c>
      <c r="O24" s="35" t="n">
        <f aca="false">IF(W24&lt;&gt;"",W24,IF(U24="Helmond",IF(COUNTIFS(RC_Lane,B24,RC_Band,E24,RC_Transit,"&lt;&gt;")=0,"",SUMIFS(RC_Transit,RC_Lane,B24,RC_Band,E24)),IF(U24="Other","",IF(INDEX(RS_Transit,MATCH(B24,RS_Lane,0))="","",INDEX(RS_Transit,MATCH(B24,RS_Lane,0))))))</f>
        <v>1</v>
      </c>
      <c r="P24" s="36"/>
      <c r="Q24" s="31" t="n">
        <f aca="false">IF(P24&lt;&gt;"",P24,IF(O24="","",WORKDAY.INTL(L24,ROUNDUP(O24,0),INDEX(LR_Code,MATCH(B24,LR_Lane,0)),INDEX(DH_Table,0,MATCH(B24&amp;"*",DH_Head,0)))))</f>
        <v>46412</v>
      </c>
      <c r="R24" s="37" t="str">
        <f aca="false">IF(Q24="","",IF(Q24&lt;=N24,"Yes","No"))</f>
        <v>Yes</v>
      </c>
      <c r="S24" s="26" t="n">
        <f aca="false">IF(Q24="","",IF(Q24&lt;=N24,0,NETWORKDAYS.INTL(N24,Q24,INDEX(LR_Code,MATCH(B24,LR_Lane,0)),INDEX(DH_Table,0,MATCH(B24&amp;"*",DH_Head,0)))-1))</f>
        <v>0</v>
      </c>
      <c r="T24" s="4"/>
      <c r="U24" s="25" t="str">
        <f aca="false">IF(V24&lt;&gt;"",V24,IF(IFERROR(INDEX(RS_Flag,MATCH(B24,RS_Lane,0)),"")="Yes",IF(IFERROR(INDEX(RS_Loc,MATCH(B24,RS_Lane,0)),"")="","Regional stock",IFERROR(INDEX(RS_Loc,MATCH(B24,RS_Lane,0)),"")),"Helmond"))</f>
        <v>Helmond</v>
      </c>
      <c r="V24" s="17"/>
      <c r="W24" s="38"/>
      <c r="X24" s="39"/>
      <c r="Y24" s="40" t="n">
        <f aca="false">IF(X24&lt;&gt;"",X24,IF(U24="Helmond",IF(COUNTIFS(RC_Lane,B24,RC_Band,E24,RC_CostPS,"&gt;0")=0,"",SUMIFS(RC_CostPS,RC_Lane,B24,RC_Band,E24)*(1-SUMIFS(RC_Disc,RC_Lane,B24,RC_Band,E24))),IF(U24="Other","",IF(INDEX(RS_Rate,MATCH(B24,RS_Lane,0))="","",INDEX(RS_Rate,MATCH(B24,RS_Lane,0))))))</f>
        <v>72.485</v>
      </c>
    </row>
    <row r="25" customFormat="false" ht="15" hidden="false" customHeight="false" outlineLevel="0" collapsed="false">
      <c r="A25" s="3" t="s">
        <v>434</v>
      </c>
      <c r="B25" s="25" t="s">
        <v>108</v>
      </c>
      <c r="C25" s="8" t="s">
        <v>109</v>
      </c>
      <c r="D25" s="8" t="s">
        <v>272</v>
      </c>
      <c r="E25" s="8" t="s">
        <v>185</v>
      </c>
      <c r="F25" s="19" t="n">
        <v>2321.9</v>
      </c>
      <c r="G25" s="33" t="n">
        <f aca="false">F25*0.006477</f>
        <v>15.0389463</v>
      </c>
      <c r="H25" s="19" t="n">
        <f aca="false">F25*1.079436</f>
        <v>2506.3424484</v>
      </c>
      <c r="I25" s="18" t="n">
        <f aca="false">MAX(1,ROUNDUP(G25/0.096,0))</f>
        <v>157</v>
      </c>
      <c r="J25" s="31" t="n">
        <v>46412</v>
      </c>
      <c r="K25" s="34" t="n">
        <f aca="false">J25-WEEKDAY(J25,2)+1</f>
        <v>46412</v>
      </c>
      <c r="L25" s="31" t="n">
        <f aca="false">J25</f>
        <v>46412</v>
      </c>
      <c r="M25" s="26" t="n">
        <f aca="false">INDEX(LR_Target,MATCH(B25,LR_Lane,0))</f>
        <v>2</v>
      </c>
      <c r="N25" s="31" t="n">
        <f aca="false">WORKDAY.INTL(L25,M25,INDEX(LR_Code,MATCH(B25,LR_Lane,0)),INDEX(DH_Table,0,MATCH(B25&amp;"*",DH_Head,0)))</f>
        <v>46414</v>
      </c>
      <c r="O25" s="35" t="n">
        <f aca="false">IF(W25&lt;&gt;"",W25,IF(U25="Helmond",IF(COUNTIFS(RC_Lane,B25,RC_Band,E25,RC_Transit,"&lt;&gt;")=0,"",SUMIFS(RC_Transit,RC_Lane,B25,RC_Band,E25)),IF(U25="Other","",IF(INDEX(RS_Transit,MATCH(B25,RS_Lane,0))="","",INDEX(RS_Transit,MATCH(B25,RS_Lane,0))))))</f>
        <v>6</v>
      </c>
      <c r="P25" s="36"/>
      <c r="Q25" s="31" t="n">
        <f aca="false">IF(P25&lt;&gt;"",P25,IF(O25="","",WORKDAY.INTL(L25,ROUNDUP(O25,0),INDEX(LR_Code,MATCH(B25,LR_Lane,0)),INDEX(DH_Table,0,MATCH(B25&amp;"*",DH_Head,0)))))</f>
        <v>46420</v>
      </c>
      <c r="R25" s="37" t="str">
        <f aca="false">IF(Q25="","",IF(Q25&lt;=N25,"Yes","No"))</f>
        <v>No</v>
      </c>
      <c r="S25" s="26" t="n">
        <f aca="false">IF(Q25="","",IF(Q25&lt;=N25,0,NETWORKDAYS.INTL(N25,Q25,INDEX(LR_Code,MATCH(B25,LR_Lane,0)),INDEX(DH_Table,0,MATCH(B25&amp;"*",DH_Head,0)))-1))</f>
        <v>4</v>
      </c>
      <c r="T25" s="4"/>
      <c r="U25" s="25" t="str">
        <f aca="false">IF(V25&lt;&gt;"",V25,IF(IFERROR(INDEX(RS_Flag,MATCH(B25,RS_Lane,0)),"")="Yes",IF(IFERROR(INDEX(RS_Loc,MATCH(B25,RS_Lane,0)),"")="","Regional stock",IFERROR(INDEX(RS_Loc,MATCH(B25,RS_Lane,0)),"")),"Helmond"))</f>
        <v>Helmond</v>
      </c>
      <c r="V25" s="17"/>
      <c r="W25" s="38"/>
      <c r="X25" s="39"/>
      <c r="Y25" s="40" t="n">
        <f aca="false">IF(X25&lt;&gt;"",X25,IF(U25="Helmond",IF(COUNTIFS(RC_Lane,B25,RC_Band,E25,RC_CostPS,"&gt;0")=0,"",SUMIFS(RC_CostPS,RC_Lane,B25,RC_Band,E25)*(1-SUMIFS(RC_Disc,RC_Lane,B25,RC_Band,E25))),IF(U25="Other","",IF(INDEX(RS_Rate,MATCH(B25,RS_Lane,0))="","",INDEX(RS_Rate,MATCH(B25,RS_Lane,0))))))</f>
        <v>8960.7819</v>
      </c>
    </row>
    <row r="26" customFormat="false" ht="15" hidden="false" customHeight="false" outlineLevel="0" collapsed="false">
      <c r="A26" s="3" t="s">
        <v>435</v>
      </c>
      <c r="B26" s="25" t="s">
        <v>108</v>
      </c>
      <c r="C26" s="8" t="s">
        <v>109</v>
      </c>
      <c r="D26" s="8" t="s">
        <v>272</v>
      </c>
      <c r="E26" s="8" t="s">
        <v>183</v>
      </c>
      <c r="F26" s="19" t="n">
        <v>1411.2</v>
      </c>
      <c r="G26" s="33" t="n">
        <f aca="false">F26*0.006477</f>
        <v>9.1403424</v>
      </c>
      <c r="H26" s="19" t="n">
        <f aca="false">F26*1.079436</f>
        <v>1523.3000832</v>
      </c>
      <c r="I26" s="18" t="n">
        <f aca="false">MAX(1,ROUNDUP(G26/0.096,0))</f>
        <v>96</v>
      </c>
      <c r="J26" s="31" t="n">
        <v>46412</v>
      </c>
      <c r="K26" s="34" t="n">
        <f aca="false">J26-WEEKDAY(J26,2)+1</f>
        <v>46412</v>
      </c>
      <c r="L26" s="31" t="n">
        <f aca="false">J26</f>
        <v>46412</v>
      </c>
      <c r="M26" s="26" t="n">
        <f aca="false">INDEX(LR_Target,MATCH(B26,LR_Lane,0))</f>
        <v>2</v>
      </c>
      <c r="N26" s="31" t="n">
        <f aca="false">WORKDAY.INTL(L26,M26,INDEX(LR_Code,MATCH(B26,LR_Lane,0)),INDEX(DH_Table,0,MATCH(B26&amp;"*",DH_Head,0)))</f>
        <v>46414</v>
      </c>
      <c r="O26" s="35" t="n">
        <f aca="false">IF(W26&lt;&gt;"",W26,IF(U26="Helmond",IF(COUNTIFS(RC_Lane,B26,RC_Band,E26,RC_Transit,"&lt;&gt;")=0,"",SUMIFS(RC_Transit,RC_Lane,B26,RC_Band,E26)),IF(U26="Other","",IF(INDEX(RS_Transit,MATCH(B26,RS_Lane,0))="","",INDEX(RS_Transit,MATCH(B26,RS_Lane,0))))))</f>
        <v>4</v>
      </c>
      <c r="P26" s="36"/>
      <c r="Q26" s="31" t="n">
        <f aca="false">IF(P26&lt;&gt;"",P26,IF(O26="","",WORKDAY.INTL(L26,ROUNDUP(O26,0),INDEX(LR_Code,MATCH(B26,LR_Lane,0)),INDEX(DH_Table,0,MATCH(B26&amp;"*",DH_Head,0)))))</f>
        <v>46418</v>
      </c>
      <c r="R26" s="37" t="str">
        <f aca="false">IF(Q26="","",IF(Q26&lt;=N26,"Yes","No"))</f>
        <v>No</v>
      </c>
      <c r="S26" s="26" t="n">
        <f aca="false">IF(Q26="","",IF(Q26&lt;=N26,0,NETWORKDAYS.INTL(N26,Q26,INDEX(LR_Code,MATCH(B26,LR_Lane,0)),INDEX(DH_Table,0,MATCH(B26&amp;"*",DH_Head,0)))-1))</f>
        <v>2</v>
      </c>
      <c r="T26" s="4"/>
      <c r="U26" s="25" t="str">
        <f aca="false">IF(V26&lt;&gt;"",V26,IF(IFERROR(INDEX(RS_Flag,MATCH(B26,RS_Lane,0)),"")="Yes",IF(IFERROR(INDEX(RS_Loc,MATCH(B26,RS_Lane,0)),"")="","Regional stock",IFERROR(INDEX(RS_Loc,MATCH(B26,RS_Lane,0)),"")),"Helmond"))</f>
        <v>Helmond</v>
      </c>
      <c r="V26" s="17"/>
      <c r="W26" s="38"/>
      <c r="X26" s="39"/>
      <c r="Y26" s="40" t="n">
        <f aca="false">IF(X26&lt;&gt;"",X26,IF(U26="Helmond",IF(COUNTIFS(RC_Lane,B26,RC_Band,E26,RC_CostPS,"&gt;0")=0,"",SUMIFS(RC_CostPS,RC_Lane,B26,RC_Band,E26)*(1-SUMIFS(RC_Disc,RC_Lane,B26,RC_Band,E26))),IF(U26="Other","",IF(INDEX(RS_Rate,MATCH(B26,RS_Lane,0))="","",INDEX(RS_Rate,MATCH(B26,RS_Lane,0))))))</f>
        <v>3051.4304</v>
      </c>
    </row>
    <row r="27" customFormat="false" ht="15" hidden="false" customHeight="false" outlineLevel="0" collapsed="false">
      <c r="A27" s="3" t="s">
        <v>436</v>
      </c>
      <c r="B27" s="25" t="s">
        <v>108</v>
      </c>
      <c r="C27" s="8" t="s">
        <v>109</v>
      </c>
      <c r="D27" s="8" t="s">
        <v>272</v>
      </c>
      <c r="E27" s="8" t="s">
        <v>178</v>
      </c>
      <c r="F27" s="19" t="n">
        <v>10.8</v>
      </c>
      <c r="G27" s="33" t="n">
        <f aca="false">F27*0.006477</f>
        <v>0.0699516</v>
      </c>
      <c r="H27" s="19" t="n">
        <f aca="false">F27*1.079436</f>
        <v>11.6579088</v>
      </c>
      <c r="I27" s="18" t="n">
        <f aca="false">MAX(1,ROUNDUP(G27/0.096,0))</f>
        <v>1</v>
      </c>
      <c r="J27" s="31" t="n">
        <v>46414</v>
      </c>
      <c r="K27" s="34" t="n">
        <f aca="false">J27-WEEKDAY(J27,2)+1</f>
        <v>46412</v>
      </c>
      <c r="L27" s="31" t="n">
        <f aca="false">J27</f>
        <v>46414</v>
      </c>
      <c r="M27" s="26" t="n">
        <f aca="false">INDEX(LR_Target,MATCH(B27,LR_Lane,0))</f>
        <v>2</v>
      </c>
      <c r="N27" s="31" t="n">
        <f aca="false">WORKDAY.INTL(L27,M27,INDEX(LR_Code,MATCH(B27,LR_Lane,0)),INDEX(DH_Table,0,MATCH(B27&amp;"*",DH_Head,0)))</f>
        <v>46418</v>
      </c>
      <c r="O27" s="35" t="n">
        <f aca="false">IF(W27&lt;&gt;"",W27,IF(U27="Helmond",IF(COUNTIFS(RC_Lane,B27,RC_Band,E27,RC_Transit,"&lt;&gt;")=0,"",SUMIFS(RC_Transit,RC_Lane,B27,RC_Band,E27)),IF(U27="Other","",IF(INDEX(RS_Transit,MATCH(B27,RS_Lane,0))="","",INDEX(RS_Transit,MATCH(B27,RS_Lane,0))))))</f>
        <v>1</v>
      </c>
      <c r="P27" s="36"/>
      <c r="Q27" s="31" t="n">
        <f aca="false">IF(P27&lt;&gt;"",P27,IF(O27="","",WORKDAY.INTL(L27,ROUNDUP(O27,0),INDEX(LR_Code,MATCH(B27,LR_Lane,0)),INDEX(DH_Table,0,MATCH(B27&amp;"*",DH_Head,0)))))</f>
        <v>46415</v>
      </c>
      <c r="R27" s="37" t="str">
        <f aca="false">IF(Q27="","",IF(Q27&lt;=N27,"Yes","No"))</f>
        <v>Yes</v>
      </c>
      <c r="S27" s="26" t="n">
        <f aca="false">IF(Q27="","",IF(Q27&lt;=N27,0,NETWORKDAYS.INTL(N27,Q27,INDEX(LR_Code,MATCH(B27,LR_Lane,0)),INDEX(DH_Table,0,MATCH(B27&amp;"*",DH_Head,0)))-1))</f>
        <v>0</v>
      </c>
      <c r="T27" s="4"/>
      <c r="U27" s="25" t="str">
        <f aca="false">IF(V27&lt;&gt;"",V27,IF(IFERROR(INDEX(RS_Flag,MATCH(B27,RS_Lane,0)),"")="Yes",IF(IFERROR(INDEX(RS_Loc,MATCH(B27,RS_Lane,0)),"")="","Regional stock",IFERROR(INDEX(RS_Loc,MATCH(B27,RS_Lane,0)),"")),"Helmond"))</f>
        <v>Helmond</v>
      </c>
      <c r="V27" s="17"/>
      <c r="W27" s="38"/>
      <c r="X27" s="39"/>
      <c r="Y27" s="40" t="n">
        <f aca="false">IF(X27&lt;&gt;"",X27,IF(U27="Helmond",IF(COUNTIFS(RC_Lane,B27,RC_Band,E27,RC_CostPS,"&gt;0")=0,"",SUMIFS(RC_CostPS,RC_Lane,B27,RC_Band,E27)*(1-SUMIFS(RC_Disc,RC_Lane,B27,RC_Band,E27))),IF(U27="Other","",IF(INDEX(RS_Rate,MATCH(B27,RS_Lane,0))="","",INDEX(RS_Rate,MATCH(B27,RS_Lane,0))))))</f>
        <v>72.485</v>
      </c>
    </row>
    <row r="28" customFormat="false" ht="15" hidden="false" customHeight="false" outlineLevel="0" collapsed="false">
      <c r="A28" s="3" t="s">
        <v>437</v>
      </c>
      <c r="B28" s="25" t="s">
        <v>119</v>
      </c>
      <c r="C28" s="8" t="s">
        <v>120</v>
      </c>
      <c r="D28" s="8" t="s">
        <v>155</v>
      </c>
      <c r="E28" s="8" t="s">
        <v>182</v>
      </c>
      <c r="F28" s="19" t="n">
        <v>144.1</v>
      </c>
      <c r="G28" s="33" t="n">
        <f aca="false">F28*0.006477</f>
        <v>0.9333357</v>
      </c>
      <c r="H28" s="19" t="n">
        <f aca="false">F28*1.079436</f>
        <v>155.5467276</v>
      </c>
      <c r="I28" s="18" t="n">
        <f aca="false">MAX(1,ROUNDUP(G28/0.096,0))</f>
        <v>10</v>
      </c>
      <c r="J28" s="31" t="n">
        <v>46414</v>
      </c>
      <c r="K28" s="34" t="n">
        <f aca="false">J28-WEEKDAY(J28,2)+1</f>
        <v>46412</v>
      </c>
      <c r="L28" s="31" t="n">
        <f aca="false">J28</f>
        <v>46414</v>
      </c>
      <c r="M28" s="26" t="n">
        <f aca="false">INDEX(LR_Target,MATCH(B28,LR_Lane,0))</f>
        <v>3</v>
      </c>
      <c r="N28" s="31" t="n">
        <f aca="false">WORKDAY.INTL(L28,M28,INDEX(LR_Code,MATCH(B28,LR_Lane,0)),INDEX(DH_Table,0,MATCH(B28&amp;"*",DH_Head,0)))</f>
        <v>46419</v>
      </c>
      <c r="O28" s="35" t="n">
        <f aca="false">IF(W28&lt;&gt;"",W28,IF(U28="Helmond",IF(COUNTIFS(RC_Lane,B28,RC_Band,E28,RC_Transit,"&lt;&gt;")=0,"",SUMIFS(RC_Transit,RC_Lane,B28,RC_Band,E28)),IF(U28="Other","",IF(INDEX(RS_Transit,MATCH(B28,RS_Lane,0))="","",INDEX(RS_Transit,MATCH(B28,RS_Lane,0))))))</f>
        <v>3</v>
      </c>
      <c r="P28" s="36"/>
      <c r="Q28" s="31" t="n">
        <f aca="false">IF(P28&lt;&gt;"",P28,IF(O28="","",WORKDAY.INTL(L28,ROUNDUP(O28,0),INDEX(LR_Code,MATCH(B28,LR_Lane,0)),INDEX(DH_Table,0,MATCH(B28&amp;"*",DH_Head,0)))))</f>
        <v>46419</v>
      </c>
      <c r="R28" s="37" t="str">
        <f aca="false">IF(Q28="","",IF(Q28&lt;=N28,"Yes","No"))</f>
        <v>Yes</v>
      </c>
      <c r="S28" s="26" t="n">
        <f aca="false">IF(Q28="","",IF(Q28&lt;=N28,0,NETWORKDAYS.INTL(N28,Q28,INDEX(LR_Code,MATCH(B28,LR_Lane,0)),INDEX(DH_Table,0,MATCH(B28&amp;"*",DH_Head,0)))-1))</f>
        <v>0</v>
      </c>
      <c r="T28" s="4"/>
      <c r="U28" s="25" t="str">
        <f aca="false">IF(V28&lt;&gt;"",V28,IF(IFERROR(INDEX(RS_Flag,MATCH(B28,RS_Lane,0)),"")="Yes",IF(IFERROR(INDEX(RS_Loc,MATCH(B28,RS_Lane,0)),"")="","Regional stock",IFERROR(INDEX(RS_Loc,MATCH(B28,RS_Lane,0)),"")),"Helmond"))</f>
        <v>Helmond</v>
      </c>
      <c r="V28" s="17"/>
      <c r="W28" s="38"/>
      <c r="X28" s="39"/>
      <c r="Y28" s="40" t="n">
        <f aca="false">IF(X28&lt;&gt;"",X28,IF(U28="Helmond",IF(COUNTIFS(RC_Lane,B28,RC_Band,E28,RC_CostPS,"&gt;0")=0,"",SUMIFS(RC_CostPS,RC_Lane,B28,RC_Band,E28)*(1-SUMIFS(RC_Disc,RC_Lane,B28,RC_Band,E28))),IF(U28="Other","",IF(INDEX(RS_Rate,MATCH(B28,RS_Lane,0))="","",INDEX(RS_Rate,MATCH(B28,RS_Lane,0))))))</f>
        <v>1400.35434</v>
      </c>
    </row>
    <row r="29" customFormat="false" ht="15" hidden="false" customHeight="false" outlineLevel="0" collapsed="false">
      <c r="A29" s="3" t="s">
        <v>438</v>
      </c>
      <c r="B29" s="25" t="s">
        <v>108</v>
      </c>
      <c r="C29" s="8" t="s">
        <v>109</v>
      </c>
      <c r="D29" s="8" t="s">
        <v>272</v>
      </c>
      <c r="E29" s="8" t="s">
        <v>178</v>
      </c>
      <c r="F29" s="19" t="n">
        <v>10.9</v>
      </c>
      <c r="G29" s="33" t="n">
        <f aca="false">F29*0.006477</f>
        <v>0.0705993</v>
      </c>
      <c r="H29" s="19" t="n">
        <f aca="false">F29*1.079436</f>
        <v>11.7658524</v>
      </c>
      <c r="I29" s="18" t="n">
        <f aca="false">MAX(1,ROUNDUP(G29/0.096,0))</f>
        <v>1</v>
      </c>
      <c r="J29" s="31" t="n">
        <v>46415</v>
      </c>
      <c r="K29" s="34" t="n">
        <f aca="false">J29-WEEKDAY(J29,2)+1</f>
        <v>46412</v>
      </c>
      <c r="L29" s="31" t="n">
        <f aca="false">J29</f>
        <v>46415</v>
      </c>
      <c r="M29" s="26" t="n">
        <f aca="false">INDEX(LR_Target,MATCH(B29,LR_Lane,0))</f>
        <v>2</v>
      </c>
      <c r="N29" s="31" t="n">
        <f aca="false">WORKDAY.INTL(L29,M29,INDEX(LR_Code,MATCH(B29,LR_Lane,0)),INDEX(DH_Table,0,MATCH(B29&amp;"*",DH_Head,0)))</f>
        <v>46419</v>
      </c>
      <c r="O29" s="35" t="n">
        <f aca="false">IF(W29&lt;&gt;"",W29,IF(U29="Helmond",IF(COUNTIFS(RC_Lane,B29,RC_Band,E29,RC_Transit,"&lt;&gt;")=0,"",SUMIFS(RC_Transit,RC_Lane,B29,RC_Band,E29)),IF(U29="Other","",IF(INDEX(RS_Transit,MATCH(B29,RS_Lane,0))="","",INDEX(RS_Transit,MATCH(B29,RS_Lane,0))))))</f>
        <v>1</v>
      </c>
      <c r="P29" s="36"/>
      <c r="Q29" s="31" t="n">
        <f aca="false">IF(P29&lt;&gt;"",P29,IF(O29="","",WORKDAY.INTL(L29,ROUNDUP(O29,0),INDEX(LR_Code,MATCH(B29,LR_Lane,0)),INDEX(DH_Table,0,MATCH(B29&amp;"*",DH_Head,0)))))</f>
        <v>46418</v>
      </c>
      <c r="R29" s="37" t="str">
        <f aca="false">IF(Q29="","",IF(Q29&lt;=N29,"Yes","No"))</f>
        <v>Yes</v>
      </c>
      <c r="S29" s="26" t="n">
        <f aca="false">IF(Q29="","",IF(Q29&lt;=N29,0,NETWORKDAYS.INTL(N29,Q29,INDEX(LR_Code,MATCH(B29,LR_Lane,0)),INDEX(DH_Table,0,MATCH(B29&amp;"*",DH_Head,0)))-1))</f>
        <v>0</v>
      </c>
      <c r="T29" s="4"/>
      <c r="U29" s="25" t="str">
        <f aca="false">IF(V29&lt;&gt;"",V29,IF(IFERROR(INDEX(RS_Flag,MATCH(B29,RS_Lane,0)),"")="Yes",IF(IFERROR(INDEX(RS_Loc,MATCH(B29,RS_Lane,0)),"")="","Regional stock",IFERROR(INDEX(RS_Loc,MATCH(B29,RS_Lane,0)),"")),"Helmond"))</f>
        <v>Helmond</v>
      </c>
      <c r="V29" s="17"/>
      <c r="W29" s="38"/>
      <c r="X29" s="39"/>
      <c r="Y29" s="40" t="n">
        <f aca="false">IF(X29&lt;&gt;"",X29,IF(U29="Helmond",IF(COUNTIFS(RC_Lane,B29,RC_Band,E29,RC_CostPS,"&gt;0")=0,"",SUMIFS(RC_CostPS,RC_Lane,B29,RC_Band,E29)*(1-SUMIFS(RC_Disc,RC_Lane,B29,RC_Band,E29))),IF(U29="Other","",IF(INDEX(RS_Rate,MATCH(B29,RS_Lane,0))="","",INDEX(RS_Rate,MATCH(B29,RS_Lane,0))))))</f>
        <v>72.485</v>
      </c>
    </row>
    <row r="30" customFormat="false" ht="15" hidden="false" customHeight="false" outlineLevel="0" collapsed="false">
      <c r="A30" s="3" t="s">
        <v>439</v>
      </c>
      <c r="B30" s="25" t="s">
        <v>126</v>
      </c>
      <c r="C30" s="8" t="s">
        <v>127</v>
      </c>
      <c r="D30" s="8" t="s">
        <v>158</v>
      </c>
      <c r="E30" s="8" t="s">
        <v>178</v>
      </c>
      <c r="F30" s="19" t="n">
        <v>17.6</v>
      </c>
      <c r="G30" s="33" t="n">
        <f aca="false">F30*0.006477</f>
        <v>0.1139952</v>
      </c>
      <c r="H30" s="19" t="n">
        <f aca="false">F30*1.079436</f>
        <v>18.9980736</v>
      </c>
      <c r="I30" s="18" t="n">
        <f aca="false">MAX(1,ROUNDUP(G30/0.096,0))</f>
        <v>2</v>
      </c>
      <c r="J30" s="31" t="n">
        <v>46415</v>
      </c>
      <c r="K30" s="34" t="n">
        <f aca="false">J30-WEEKDAY(J30,2)+1</f>
        <v>46412</v>
      </c>
      <c r="L30" s="31" t="n">
        <f aca="false">J30</f>
        <v>46415</v>
      </c>
      <c r="M30" s="26" t="n">
        <f aca="false">INDEX(LR_Target,MATCH(B30,LR_Lane,0))</f>
        <v>4</v>
      </c>
      <c r="N30" s="31" t="n">
        <f aca="false">WORKDAY.INTL(L30,M30,INDEX(LR_Code,MATCH(B30,LR_Lane,0)),INDEX(DH_Table,0,MATCH(B30&amp;"*",DH_Head,0)))</f>
        <v>46421</v>
      </c>
      <c r="O30" s="35" t="n">
        <f aca="false">IF(W30&lt;&gt;"",W30,IF(U30="Helmond",IF(COUNTIFS(RC_Lane,B30,RC_Band,E30,RC_Transit,"&lt;&gt;")=0,"",SUMIFS(RC_Transit,RC_Lane,B30,RC_Band,E30)),IF(U30="Other","",IF(INDEX(RS_Transit,MATCH(B30,RS_Lane,0))="","",INDEX(RS_Transit,MATCH(B30,RS_Lane,0))))))</f>
        <v>1</v>
      </c>
      <c r="P30" s="36"/>
      <c r="Q30" s="31" t="n">
        <f aca="false">IF(P30&lt;&gt;"",P30,IF(O30="","",WORKDAY.INTL(L30,ROUNDUP(O30,0),INDEX(LR_Code,MATCH(B30,LR_Lane,0)),INDEX(DH_Table,0,MATCH(B30&amp;"*",DH_Head,0)))))</f>
        <v>46418</v>
      </c>
      <c r="R30" s="37" t="str">
        <f aca="false">IF(Q30="","",IF(Q30&lt;=N30,"Yes","No"))</f>
        <v>Yes</v>
      </c>
      <c r="S30" s="26" t="n">
        <f aca="false">IF(Q30="","",IF(Q30&lt;=N30,0,NETWORKDAYS.INTL(N30,Q30,INDEX(LR_Code,MATCH(B30,LR_Lane,0)),INDEX(DH_Table,0,MATCH(B30&amp;"*",DH_Head,0)))-1))</f>
        <v>0</v>
      </c>
      <c r="T30" s="4"/>
      <c r="U30" s="25" t="str">
        <f aca="false">IF(V30&lt;&gt;"",V30,IF(IFERROR(INDEX(RS_Flag,MATCH(B30,RS_Lane,0)),"")="Yes",IF(IFERROR(INDEX(RS_Loc,MATCH(B30,RS_Lane,0)),"")="","Regional stock",IFERROR(INDEX(RS_Loc,MATCH(B30,RS_Lane,0)),"")),"Helmond"))</f>
        <v>Helmond</v>
      </c>
      <c r="V30" s="17"/>
      <c r="W30" s="38"/>
      <c r="X30" s="39"/>
      <c r="Y30" s="40" t="n">
        <f aca="false">IF(X30&lt;&gt;"",X30,IF(U30="Helmond",IF(COUNTIFS(RC_Lane,B30,RC_Band,E30,RC_CostPS,"&gt;0")=0,"",SUMIFS(RC_CostPS,RC_Lane,B30,RC_Band,E30)*(1-SUMIFS(RC_Disc,RC_Lane,B30,RC_Band,E30))),IF(U30="Other","",IF(INDEX(RS_Rate,MATCH(B30,RS_Lane,0))="","",INDEX(RS_Rate,MATCH(B30,RS_Lane,0))))))</f>
        <v>72.485</v>
      </c>
    </row>
    <row r="31" customFormat="false" ht="15" hidden="false" customHeight="false" outlineLevel="0" collapsed="false">
      <c r="A31" s="3" t="s">
        <v>440</v>
      </c>
      <c r="B31" s="25" t="s">
        <v>108</v>
      </c>
      <c r="C31" s="8" t="s">
        <v>109</v>
      </c>
      <c r="D31" s="8" t="s">
        <v>272</v>
      </c>
      <c r="E31" s="8" t="s">
        <v>178</v>
      </c>
      <c r="F31" s="19" t="n">
        <v>11.2</v>
      </c>
      <c r="G31" s="33" t="n">
        <f aca="false">F31*0.006477</f>
        <v>0.0725424</v>
      </c>
      <c r="H31" s="19" t="n">
        <f aca="false">F31*1.079436</f>
        <v>12.0896832</v>
      </c>
      <c r="I31" s="18" t="n">
        <f aca="false">MAX(1,ROUNDUP(G31/0.096,0))</f>
        <v>1</v>
      </c>
      <c r="J31" s="31" t="n">
        <v>46416</v>
      </c>
      <c r="K31" s="34" t="n">
        <f aca="false">J31-WEEKDAY(J31,2)+1</f>
        <v>46412</v>
      </c>
      <c r="L31" s="31" t="n">
        <f aca="false">J31</f>
        <v>46416</v>
      </c>
      <c r="M31" s="26" t="n">
        <f aca="false">INDEX(LR_Target,MATCH(B31,LR_Lane,0))</f>
        <v>2</v>
      </c>
      <c r="N31" s="31" t="n">
        <f aca="false">WORKDAY.INTL(L31,M31,INDEX(LR_Code,MATCH(B31,LR_Lane,0)),INDEX(DH_Table,0,MATCH(B31&amp;"*",DH_Head,0)))</f>
        <v>46419</v>
      </c>
      <c r="O31" s="35" t="n">
        <f aca="false">IF(W31&lt;&gt;"",W31,IF(U31="Helmond",IF(COUNTIFS(RC_Lane,B31,RC_Band,E31,RC_Transit,"&lt;&gt;")=0,"",SUMIFS(RC_Transit,RC_Lane,B31,RC_Band,E31)),IF(U31="Other","",IF(INDEX(RS_Transit,MATCH(B31,RS_Lane,0))="","",INDEX(RS_Transit,MATCH(B31,RS_Lane,0))))))</f>
        <v>1</v>
      </c>
      <c r="P31" s="36"/>
      <c r="Q31" s="31" t="n">
        <f aca="false">IF(P31&lt;&gt;"",P31,IF(O31="","",WORKDAY.INTL(L31,ROUNDUP(O31,0),INDEX(LR_Code,MATCH(B31,LR_Lane,0)),INDEX(DH_Table,0,MATCH(B31&amp;"*",DH_Head,0)))))</f>
        <v>46418</v>
      </c>
      <c r="R31" s="37" t="str">
        <f aca="false">IF(Q31="","",IF(Q31&lt;=N31,"Yes","No"))</f>
        <v>Yes</v>
      </c>
      <c r="S31" s="26" t="n">
        <f aca="false">IF(Q31="","",IF(Q31&lt;=N31,0,NETWORKDAYS.INTL(N31,Q31,INDEX(LR_Code,MATCH(B31,LR_Lane,0)),INDEX(DH_Table,0,MATCH(B31&amp;"*",DH_Head,0)))-1))</f>
        <v>0</v>
      </c>
      <c r="T31" s="4"/>
      <c r="U31" s="25" t="str">
        <f aca="false">IF(V31&lt;&gt;"",V31,IF(IFERROR(INDEX(RS_Flag,MATCH(B31,RS_Lane,0)),"")="Yes",IF(IFERROR(INDEX(RS_Loc,MATCH(B31,RS_Lane,0)),"")="","Regional stock",IFERROR(INDEX(RS_Loc,MATCH(B31,RS_Lane,0)),"")),"Helmond"))</f>
        <v>Helmond</v>
      </c>
      <c r="V31" s="17"/>
      <c r="W31" s="38"/>
      <c r="X31" s="39"/>
      <c r="Y31" s="40" t="n">
        <f aca="false">IF(X31&lt;&gt;"",X31,IF(U31="Helmond",IF(COUNTIFS(RC_Lane,B31,RC_Band,E31,RC_CostPS,"&gt;0")=0,"",SUMIFS(RC_CostPS,RC_Lane,B31,RC_Band,E31)*(1-SUMIFS(RC_Disc,RC_Lane,B31,RC_Band,E31))),IF(U31="Other","",IF(INDEX(RS_Rate,MATCH(B31,RS_Lane,0))="","",INDEX(RS_Rate,MATCH(B31,RS_Lane,0))))))</f>
        <v>72.485</v>
      </c>
    </row>
    <row r="32" customFormat="false" ht="15" hidden="false" customHeight="false" outlineLevel="0" collapsed="false">
      <c r="A32" s="3" t="s">
        <v>441</v>
      </c>
      <c r="B32" s="25" t="s">
        <v>115</v>
      </c>
      <c r="C32" s="8" t="s">
        <v>116</v>
      </c>
      <c r="D32" s="8" t="s">
        <v>153</v>
      </c>
      <c r="E32" s="8" t="s">
        <v>182</v>
      </c>
      <c r="F32" s="19" t="n">
        <v>164.6</v>
      </c>
      <c r="G32" s="33" t="n">
        <f aca="false">F32*0.006477</f>
        <v>1.0661142</v>
      </c>
      <c r="H32" s="19" t="n">
        <f aca="false">F32*1.079436</f>
        <v>177.6751656</v>
      </c>
      <c r="I32" s="18" t="n">
        <f aca="false">MAX(1,ROUNDUP(G32/0.096,0))</f>
        <v>12</v>
      </c>
      <c r="J32" s="31" t="n">
        <v>46416</v>
      </c>
      <c r="K32" s="34" t="n">
        <f aca="false">J32-WEEKDAY(J32,2)+1</f>
        <v>46412</v>
      </c>
      <c r="L32" s="31" t="n">
        <f aca="false">J32</f>
        <v>46416</v>
      </c>
      <c r="M32" s="26" t="n">
        <f aca="false">INDEX(LR_Target,MATCH(B32,LR_Lane,0))</f>
        <v>2</v>
      </c>
      <c r="N32" s="31" t="n">
        <f aca="false">WORKDAY.INTL(L32,M32,INDEX(LR_Code,MATCH(B32,LR_Lane,0)),INDEX(DH_Table,0,MATCH(B32&amp;"*",DH_Head,0)))</f>
        <v>46419</v>
      </c>
      <c r="O32" s="35" t="n">
        <f aca="false">IF(W32&lt;&gt;"",W32,IF(U32="Helmond",IF(COUNTIFS(RC_Lane,B32,RC_Band,E32,RC_Transit,"&lt;&gt;")=0,"",SUMIFS(RC_Transit,RC_Lane,B32,RC_Band,E32)),IF(U32="Other","",IF(INDEX(RS_Transit,MATCH(B32,RS_Lane,0))="","",INDEX(RS_Transit,MATCH(B32,RS_Lane,0))))))</f>
        <v>3</v>
      </c>
      <c r="P32" s="36"/>
      <c r="Q32" s="31" t="n">
        <f aca="false">IF(P32&lt;&gt;"",P32,IF(O32="","",WORKDAY.INTL(L32,ROUNDUP(O32,0),INDEX(LR_Code,MATCH(B32,LR_Lane,0)),INDEX(DH_Table,0,MATCH(B32&amp;"*",DH_Head,0)))))</f>
        <v>46420</v>
      </c>
      <c r="R32" s="37" t="str">
        <f aca="false">IF(Q32="","",IF(Q32&lt;=N32,"Yes","No"))</f>
        <v>No</v>
      </c>
      <c r="S32" s="26" t="n">
        <f aca="false">IF(Q32="","",IF(Q32&lt;=N32,0,NETWORKDAYS.INTL(N32,Q32,INDEX(LR_Code,MATCH(B32,LR_Lane,0)),INDEX(DH_Table,0,MATCH(B32&amp;"*",DH_Head,0)))-1))</f>
        <v>1</v>
      </c>
      <c r="T32" s="4"/>
      <c r="U32" s="25" t="str">
        <f aca="false">IF(V32&lt;&gt;"",V32,IF(IFERROR(INDEX(RS_Flag,MATCH(B32,RS_Lane,0)),"")="Yes",IF(IFERROR(INDEX(RS_Loc,MATCH(B32,RS_Lane,0)),"")="","Regional stock",IFERROR(INDEX(RS_Loc,MATCH(B32,RS_Lane,0)),"")),"Helmond"))</f>
        <v>Helmond</v>
      </c>
      <c r="V32" s="17"/>
      <c r="W32" s="38"/>
      <c r="X32" s="39"/>
      <c r="Y32" s="40" t="n">
        <f aca="false">IF(X32&lt;&gt;"",X32,IF(U32="Helmond",IF(COUNTIFS(RC_Lane,B32,RC_Band,E32,RC_CostPS,"&gt;0")=0,"",SUMIFS(RC_CostPS,RC_Lane,B32,RC_Band,E32)*(1-SUMIFS(RC_Disc,RC_Lane,B32,RC_Band,E32))),IF(U32="Other","",IF(INDEX(RS_Rate,MATCH(B32,RS_Lane,0))="","",INDEX(RS_Rate,MATCH(B32,RS_Lane,0))))))</f>
        <v>1271.20393</v>
      </c>
    </row>
    <row r="33" customFormat="false" ht="15" hidden="false" customHeight="false" outlineLevel="0" collapsed="false">
      <c r="A33" s="3" t="s">
        <v>442</v>
      </c>
      <c r="B33" s="25" t="s">
        <v>129</v>
      </c>
      <c r="C33" s="8" t="s">
        <v>130</v>
      </c>
      <c r="D33" s="8" t="s">
        <v>159</v>
      </c>
      <c r="E33" s="8" t="s">
        <v>178</v>
      </c>
      <c r="F33" s="19" t="n">
        <v>6</v>
      </c>
      <c r="G33" s="33" t="n">
        <f aca="false">F33*0.006477</f>
        <v>0.038862</v>
      </c>
      <c r="H33" s="19" t="n">
        <f aca="false">F33*1.079436</f>
        <v>6.476616</v>
      </c>
      <c r="I33" s="18" t="n">
        <f aca="false">MAX(1,ROUNDUP(G33/0.096,0))</f>
        <v>1</v>
      </c>
      <c r="J33" s="31" t="n">
        <v>46416</v>
      </c>
      <c r="K33" s="34" t="n">
        <f aca="false">J33-WEEKDAY(J33,2)+1</f>
        <v>46412</v>
      </c>
      <c r="L33" s="31" t="n">
        <f aca="false">J33</f>
        <v>46416</v>
      </c>
      <c r="M33" s="26" t="n">
        <f aca="false">INDEX(LR_Target,MATCH(B33,LR_Lane,0))</f>
        <v>4</v>
      </c>
      <c r="N33" s="31" t="n">
        <f aca="false">WORKDAY.INTL(L33,M33,INDEX(LR_Code,MATCH(B33,LR_Lane,0)),INDEX(DH_Table,0,MATCH(B33&amp;"*",DH_Head,0)))</f>
        <v>46422</v>
      </c>
      <c r="O33" s="35" t="n">
        <f aca="false">IF(W33&lt;&gt;"",W33,IF(U33="Helmond",IF(COUNTIFS(RC_Lane,B33,RC_Band,E33,RC_Transit,"&lt;&gt;")=0,"",SUMIFS(RC_Transit,RC_Lane,B33,RC_Band,E33)),IF(U33="Other","",IF(INDEX(RS_Transit,MATCH(B33,RS_Lane,0))="","",INDEX(RS_Transit,MATCH(B33,RS_Lane,0))))))</f>
        <v>1</v>
      </c>
      <c r="P33" s="36"/>
      <c r="Q33" s="31" t="n">
        <f aca="false">IF(P33&lt;&gt;"",P33,IF(O33="","",WORKDAY.INTL(L33,ROUNDUP(O33,0),INDEX(LR_Code,MATCH(B33,LR_Lane,0)),INDEX(DH_Table,0,MATCH(B33&amp;"*",DH_Head,0)))))</f>
        <v>46419</v>
      </c>
      <c r="R33" s="37" t="str">
        <f aca="false">IF(Q33="","",IF(Q33&lt;=N33,"Yes","No"))</f>
        <v>Yes</v>
      </c>
      <c r="S33" s="26" t="n">
        <f aca="false">IF(Q33="","",IF(Q33&lt;=N33,0,NETWORKDAYS.INTL(N33,Q33,INDEX(LR_Code,MATCH(B33,LR_Lane,0)),INDEX(DH_Table,0,MATCH(B33&amp;"*",DH_Head,0)))-1))</f>
        <v>0</v>
      </c>
      <c r="T33" s="4"/>
      <c r="U33" s="25" t="str">
        <f aca="false">IF(V33&lt;&gt;"",V33,IF(IFERROR(INDEX(RS_Flag,MATCH(B33,RS_Lane,0)),"")="Yes",IF(IFERROR(INDEX(RS_Loc,MATCH(B33,RS_Lane,0)),"")="","Regional stock",IFERROR(INDEX(RS_Loc,MATCH(B33,RS_Lane,0)),"")),"Helmond"))</f>
        <v>Helmond</v>
      </c>
      <c r="V33" s="17"/>
      <c r="W33" s="38"/>
      <c r="X33" s="39"/>
      <c r="Y33" s="40" t="n">
        <f aca="false">IF(X33&lt;&gt;"",X33,IF(U33="Helmond",IF(COUNTIFS(RC_Lane,B33,RC_Band,E33,RC_CostPS,"&gt;0")=0,"",SUMIFS(RC_CostPS,RC_Lane,B33,RC_Band,E33)*(1-SUMIFS(RC_Disc,RC_Lane,B33,RC_Band,E33))),IF(U33="Other","",IF(INDEX(RS_Rate,MATCH(B33,RS_Lane,0))="","",INDEX(RS_Rate,MATCH(B33,RS_Lane,0))))))</f>
        <v>72.485</v>
      </c>
    </row>
    <row r="34" customFormat="false" ht="15" hidden="false" customHeight="false" outlineLevel="0" collapsed="false">
      <c r="A34" s="3" t="s">
        <v>443</v>
      </c>
      <c r="B34" s="25" t="s">
        <v>112</v>
      </c>
      <c r="C34" s="8" t="s">
        <v>113</v>
      </c>
      <c r="D34" s="8" t="s">
        <v>152</v>
      </c>
      <c r="E34" s="8" t="s">
        <v>178</v>
      </c>
      <c r="F34" s="19" t="n">
        <v>12.8</v>
      </c>
      <c r="G34" s="33" t="n">
        <f aca="false">F34*0.006477</f>
        <v>0.0829056</v>
      </c>
      <c r="H34" s="19" t="n">
        <f aca="false">F34*1.079436</f>
        <v>13.8167808</v>
      </c>
      <c r="I34" s="18" t="n">
        <f aca="false">MAX(1,ROUNDUP(G34/0.096,0))</f>
        <v>1</v>
      </c>
      <c r="J34" s="31" t="n">
        <v>46419</v>
      </c>
      <c r="K34" s="34" t="n">
        <f aca="false">J34-WEEKDAY(J34,2)+1</f>
        <v>46419</v>
      </c>
      <c r="L34" s="31" t="n">
        <f aca="false">J34</f>
        <v>46419</v>
      </c>
      <c r="M34" s="26" t="n">
        <f aca="false">INDEX(LR_Target,MATCH(B34,LR_Lane,0))</f>
        <v>2</v>
      </c>
      <c r="N34" s="31" t="n">
        <f aca="false">WORKDAY.INTL(L34,M34,INDEX(LR_Code,MATCH(B34,LR_Lane,0)),INDEX(DH_Table,0,MATCH(B34&amp;"*",DH_Head,0)))</f>
        <v>46421</v>
      </c>
      <c r="O34" s="35" t="n">
        <f aca="false">IF(W34&lt;&gt;"",W34,IF(U34="Helmond",IF(COUNTIFS(RC_Lane,B34,RC_Band,E34,RC_Transit,"&lt;&gt;")=0,"",SUMIFS(RC_Transit,RC_Lane,B34,RC_Band,E34)),IF(U34="Other","",IF(INDEX(RS_Transit,MATCH(B34,RS_Lane,0))="","",INDEX(RS_Transit,MATCH(B34,RS_Lane,0))))))</f>
        <v>1</v>
      </c>
      <c r="P34" s="36"/>
      <c r="Q34" s="31" t="n">
        <f aca="false">IF(P34&lt;&gt;"",P34,IF(O34="","",WORKDAY.INTL(L34,ROUNDUP(O34,0),INDEX(LR_Code,MATCH(B34,LR_Lane,0)),INDEX(DH_Table,0,MATCH(B34&amp;"*",DH_Head,0)))))</f>
        <v>46420</v>
      </c>
      <c r="R34" s="37" t="str">
        <f aca="false">IF(Q34="","",IF(Q34&lt;=N34,"Yes","No"))</f>
        <v>Yes</v>
      </c>
      <c r="S34" s="26" t="n">
        <f aca="false">IF(Q34="","",IF(Q34&lt;=N34,0,NETWORKDAYS.INTL(N34,Q34,INDEX(LR_Code,MATCH(B34,LR_Lane,0)),INDEX(DH_Table,0,MATCH(B34&amp;"*",DH_Head,0)))-1))</f>
        <v>0</v>
      </c>
      <c r="T34" s="4"/>
      <c r="U34" s="25" t="str">
        <f aca="false">IF(V34&lt;&gt;"",V34,IF(IFERROR(INDEX(RS_Flag,MATCH(B34,RS_Lane,0)),"")="Yes",IF(IFERROR(INDEX(RS_Loc,MATCH(B34,RS_Lane,0)),"")="","Regional stock",IFERROR(INDEX(RS_Loc,MATCH(B34,RS_Lane,0)),"")),"Helmond"))</f>
        <v>Helmond</v>
      </c>
      <c r="V34" s="17"/>
      <c r="W34" s="38"/>
      <c r="X34" s="39"/>
      <c r="Y34" s="40" t="n">
        <f aca="false">IF(X34&lt;&gt;"",X34,IF(U34="Helmond",IF(COUNTIFS(RC_Lane,B34,RC_Band,E34,RC_CostPS,"&gt;0")=0,"",SUMIFS(RC_CostPS,RC_Lane,B34,RC_Band,E34)*(1-SUMIFS(RC_Disc,RC_Lane,B34,RC_Band,E34))),IF(U34="Other","",IF(INDEX(RS_Rate,MATCH(B34,RS_Lane,0))="","",INDEX(RS_Rate,MATCH(B34,RS_Lane,0))))))</f>
        <v>72.485</v>
      </c>
    </row>
    <row r="35" customFormat="false" ht="15" hidden="false" customHeight="false" outlineLevel="0" collapsed="false">
      <c r="A35" s="3" t="s">
        <v>444</v>
      </c>
      <c r="B35" s="25" t="s">
        <v>112</v>
      </c>
      <c r="C35" s="8" t="s">
        <v>113</v>
      </c>
      <c r="D35" s="8" t="s">
        <v>152</v>
      </c>
      <c r="E35" s="8" t="s">
        <v>182</v>
      </c>
      <c r="F35" s="19" t="n">
        <v>258.6</v>
      </c>
      <c r="G35" s="33" t="n">
        <f aca="false">F35*0.006477</f>
        <v>1.6749522</v>
      </c>
      <c r="H35" s="19" t="n">
        <f aca="false">F35*1.079436</f>
        <v>279.1421496</v>
      </c>
      <c r="I35" s="18" t="n">
        <f aca="false">MAX(1,ROUNDUP(G35/0.096,0))</f>
        <v>18</v>
      </c>
      <c r="J35" s="31" t="n">
        <v>46419</v>
      </c>
      <c r="K35" s="34" t="n">
        <f aca="false">J35-WEEKDAY(J35,2)+1</f>
        <v>46419</v>
      </c>
      <c r="L35" s="31" t="n">
        <f aca="false">J35</f>
        <v>46419</v>
      </c>
      <c r="M35" s="26" t="n">
        <f aca="false">INDEX(LR_Target,MATCH(B35,LR_Lane,0))</f>
        <v>2</v>
      </c>
      <c r="N35" s="31" t="n">
        <f aca="false">WORKDAY.INTL(L35,M35,INDEX(LR_Code,MATCH(B35,LR_Lane,0)),INDEX(DH_Table,0,MATCH(B35&amp;"*",DH_Head,0)))</f>
        <v>46421</v>
      </c>
      <c r="O35" s="35" t="n">
        <f aca="false">IF(W35&lt;&gt;"",W35,IF(U35="Helmond",IF(COUNTIFS(RC_Lane,B35,RC_Band,E35,RC_Transit,"&lt;&gt;")=0,"",SUMIFS(RC_Transit,RC_Lane,B35,RC_Band,E35)),IF(U35="Other","",IF(INDEX(RS_Transit,MATCH(B35,RS_Lane,0))="","",INDEX(RS_Transit,MATCH(B35,RS_Lane,0))))))</f>
        <v>3</v>
      </c>
      <c r="P35" s="36"/>
      <c r="Q35" s="31" t="n">
        <f aca="false">IF(P35&lt;&gt;"",P35,IF(O35="","",WORKDAY.INTL(L35,ROUNDUP(O35,0),INDEX(LR_Code,MATCH(B35,LR_Lane,0)),INDEX(DH_Table,0,MATCH(B35&amp;"*",DH_Head,0)))))</f>
        <v>46422</v>
      </c>
      <c r="R35" s="37" t="str">
        <f aca="false">IF(Q35="","",IF(Q35&lt;=N35,"Yes","No"))</f>
        <v>No</v>
      </c>
      <c r="S35" s="26" t="n">
        <f aca="false">IF(Q35="","",IF(Q35&lt;=N35,0,NETWORKDAYS.INTL(N35,Q35,INDEX(LR_Code,MATCH(B35,LR_Lane,0)),INDEX(DH_Table,0,MATCH(B35&amp;"*",DH_Head,0)))-1))</f>
        <v>1</v>
      </c>
      <c r="T35" s="4"/>
      <c r="U35" s="25" t="str">
        <f aca="false">IF(V35&lt;&gt;"",V35,IF(IFERROR(INDEX(RS_Flag,MATCH(B35,RS_Lane,0)),"")="Yes",IF(IFERROR(INDEX(RS_Loc,MATCH(B35,RS_Lane,0)),"")="","Regional stock",IFERROR(INDEX(RS_Loc,MATCH(B35,RS_Lane,0)),"")),"Helmond"))</f>
        <v>Helmond</v>
      </c>
      <c r="V35" s="17"/>
      <c r="W35" s="38"/>
      <c r="X35" s="39"/>
      <c r="Y35" s="40" t="n">
        <f aca="false">IF(X35&lt;&gt;"",X35,IF(U35="Helmond",IF(COUNTIFS(RC_Lane,B35,RC_Band,E35,RC_CostPS,"&gt;0")=0,"",SUMIFS(RC_CostPS,RC_Lane,B35,RC_Band,E35)*(1-SUMIFS(RC_Disc,RC_Lane,B35,RC_Band,E35))),IF(U35="Other","",IF(INDEX(RS_Rate,MATCH(B35,RS_Lane,0))="","",INDEX(RS_Rate,MATCH(B35,RS_Lane,0))))))</f>
        <v>1428.70443</v>
      </c>
    </row>
    <row r="36" customFormat="false" ht="15" hidden="false" customHeight="false" outlineLevel="0" collapsed="false">
      <c r="A36" s="3" t="s">
        <v>445</v>
      </c>
      <c r="B36" s="25" t="s">
        <v>124</v>
      </c>
      <c r="C36" s="8" t="s">
        <v>125</v>
      </c>
      <c r="D36" s="8" t="s">
        <v>157</v>
      </c>
      <c r="E36" s="8" t="s">
        <v>178</v>
      </c>
      <c r="F36" s="19" t="n">
        <v>6.4</v>
      </c>
      <c r="G36" s="33" t="n">
        <f aca="false">F36*0.006477</f>
        <v>0.0414528</v>
      </c>
      <c r="H36" s="19" t="n">
        <f aca="false">F36*1.079436</f>
        <v>6.9083904</v>
      </c>
      <c r="I36" s="18" t="n">
        <f aca="false">MAX(1,ROUNDUP(G36/0.096,0))</f>
        <v>1</v>
      </c>
      <c r="J36" s="31" t="n">
        <v>46420</v>
      </c>
      <c r="K36" s="34" t="n">
        <f aca="false">J36-WEEKDAY(J36,2)+1</f>
        <v>46419</v>
      </c>
      <c r="L36" s="31" t="n">
        <f aca="false">J36</f>
        <v>46420</v>
      </c>
      <c r="M36" s="26" t="n">
        <f aca="false">INDEX(LR_Target,MATCH(B36,LR_Lane,0))</f>
        <v>5</v>
      </c>
      <c r="N36" s="31" t="n">
        <f aca="false">WORKDAY.INTL(L36,M36,INDEX(LR_Code,MATCH(B36,LR_Lane,0)),INDEX(DH_Table,0,MATCH(B36&amp;"*",DH_Head,0)))</f>
        <v>46427</v>
      </c>
      <c r="O36" s="35" t="n">
        <f aca="false">IF(W36&lt;&gt;"",W36,IF(U36="Helmond",IF(COUNTIFS(RC_Lane,B36,RC_Band,E36,RC_Transit,"&lt;&gt;")=0,"",SUMIFS(RC_Transit,RC_Lane,B36,RC_Band,E36)),IF(U36="Other","",IF(INDEX(RS_Transit,MATCH(B36,RS_Lane,0))="","",INDEX(RS_Transit,MATCH(B36,RS_Lane,0))))))</f>
        <v>1</v>
      </c>
      <c r="P36" s="36"/>
      <c r="Q36" s="31" t="n">
        <f aca="false">IF(P36&lt;&gt;"",P36,IF(O36="","",WORKDAY.INTL(L36,ROUNDUP(O36,0),INDEX(LR_Code,MATCH(B36,LR_Lane,0)),INDEX(DH_Table,0,MATCH(B36&amp;"*",DH_Head,0)))))</f>
        <v>46421</v>
      </c>
      <c r="R36" s="37" t="str">
        <f aca="false">IF(Q36="","",IF(Q36&lt;=N36,"Yes","No"))</f>
        <v>Yes</v>
      </c>
      <c r="S36" s="26" t="n">
        <f aca="false">IF(Q36="","",IF(Q36&lt;=N36,0,NETWORKDAYS.INTL(N36,Q36,INDEX(LR_Code,MATCH(B36,LR_Lane,0)),INDEX(DH_Table,0,MATCH(B36&amp;"*",DH_Head,0)))-1))</f>
        <v>0</v>
      </c>
      <c r="T36" s="4"/>
      <c r="U36" s="25" t="str">
        <f aca="false">IF(V36&lt;&gt;"",V36,IF(IFERROR(INDEX(RS_Flag,MATCH(B36,RS_Lane,0)),"")="Yes",IF(IFERROR(INDEX(RS_Loc,MATCH(B36,RS_Lane,0)),"")="","Regional stock",IFERROR(INDEX(RS_Loc,MATCH(B36,RS_Lane,0)),"")),"Helmond"))</f>
        <v>Helmond</v>
      </c>
      <c r="V36" s="17"/>
      <c r="W36" s="38"/>
      <c r="X36" s="39"/>
      <c r="Y36" s="40" t="n">
        <f aca="false">IF(X36&lt;&gt;"",X36,IF(U36="Helmond",IF(COUNTIFS(RC_Lane,B36,RC_Band,E36,RC_CostPS,"&gt;0")=0,"",SUMIFS(RC_CostPS,RC_Lane,B36,RC_Band,E36)*(1-SUMIFS(RC_Disc,RC_Lane,B36,RC_Band,E36))),IF(U36="Other","",IF(INDEX(RS_Rate,MATCH(B36,RS_Lane,0))="","",INDEX(RS_Rate,MATCH(B36,RS_Lane,0))))))</f>
        <v>72.485</v>
      </c>
    </row>
    <row r="37" customFormat="false" ht="15" hidden="false" customHeight="false" outlineLevel="0" collapsed="false">
      <c r="A37" s="3" t="s">
        <v>446</v>
      </c>
      <c r="B37" s="25" t="s">
        <v>112</v>
      </c>
      <c r="C37" s="8" t="s">
        <v>113</v>
      </c>
      <c r="D37" s="8" t="s">
        <v>152</v>
      </c>
      <c r="E37" s="8" t="s">
        <v>178</v>
      </c>
      <c r="F37" s="19" t="n">
        <v>13.2</v>
      </c>
      <c r="G37" s="33" t="n">
        <f aca="false">F37*0.006477</f>
        <v>0.0854964</v>
      </c>
      <c r="H37" s="19" t="n">
        <f aca="false">F37*1.079436</f>
        <v>14.2485552</v>
      </c>
      <c r="I37" s="18" t="n">
        <f aca="false">MAX(1,ROUNDUP(G37/0.096,0))</f>
        <v>1</v>
      </c>
      <c r="J37" s="31" t="n">
        <v>46422</v>
      </c>
      <c r="K37" s="34" t="n">
        <f aca="false">J37-WEEKDAY(J37,2)+1</f>
        <v>46419</v>
      </c>
      <c r="L37" s="31" t="n">
        <f aca="false">J37</f>
        <v>46422</v>
      </c>
      <c r="M37" s="26" t="n">
        <f aca="false">INDEX(LR_Target,MATCH(B37,LR_Lane,0))</f>
        <v>2</v>
      </c>
      <c r="N37" s="31" t="n">
        <f aca="false">WORKDAY.INTL(L37,M37,INDEX(LR_Code,MATCH(B37,LR_Lane,0)),INDEX(DH_Table,0,MATCH(B37&amp;"*",DH_Head,0)))</f>
        <v>46426</v>
      </c>
      <c r="O37" s="35" t="n">
        <f aca="false">IF(W37&lt;&gt;"",W37,IF(U37="Helmond",IF(COUNTIFS(RC_Lane,B37,RC_Band,E37,RC_Transit,"&lt;&gt;")=0,"",SUMIFS(RC_Transit,RC_Lane,B37,RC_Band,E37)),IF(U37="Other","",IF(INDEX(RS_Transit,MATCH(B37,RS_Lane,0))="","",INDEX(RS_Transit,MATCH(B37,RS_Lane,0))))))</f>
        <v>1</v>
      </c>
      <c r="P37" s="36"/>
      <c r="Q37" s="31" t="n">
        <f aca="false">IF(P37&lt;&gt;"",P37,IF(O37="","",WORKDAY.INTL(L37,ROUNDUP(O37,0),INDEX(LR_Code,MATCH(B37,LR_Lane,0)),INDEX(DH_Table,0,MATCH(B37&amp;"*",DH_Head,0)))))</f>
        <v>46423</v>
      </c>
      <c r="R37" s="37" t="str">
        <f aca="false">IF(Q37="","",IF(Q37&lt;=N37,"Yes","No"))</f>
        <v>Yes</v>
      </c>
      <c r="S37" s="26" t="n">
        <f aca="false">IF(Q37="","",IF(Q37&lt;=N37,0,NETWORKDAYS.INTL(N37,Q37,INDEX(LR_Code,MATCH(B37,LR_Lane,0)),INDEX(DH_Table,0,MATCH(B37&amp;"*",DH_Head,0)))-1))</f>
        <v>0</v>
      </c>
      <c r="T37" s="4"/>
      <c r="U37" s="25" t="str">
        <f aca="false">IF(V37&lt;&gt;"",V37,IF(IFERROR(INDEX(RS_Flag,MATCH(B37,RS_Lane,0)),"")="Yes",IF(IFERROR(INDEX(RS_Loc,MATCH(B37,RS_Lane,0)),"")="","Regional stock",IFERROR(INDEX(RS_Loc,MATCH(B37,RS_Lane,0)),"")),"Helmond"))</f>
        <v>Helmond</v>
      </c>
      <c r="V37" s="17"/>
      <c r="W37" s="38"/>
      <c r="X37" s="39"/>
      <c r="Y37" s="40" t="n">
        <f aca="false">IF(X37&lt;&gt;"",X37,IF(U37="Helmond",IF(COUNTIFS(RC_Lane,B37,RC_Band,E37,RC_CostPS,"&gt;0")=0,"",SUMIFS(RC_CostPS,RC_Lane,B37,RC_Band,E37)*(1-SUMIFS(RC_Disc,RC_Lane,B37,RC_Band,E37))),IF(U37="Other","",IF(INDEX(RS_Rate,MATCH(B37,RS_Lane,0))="","",INDEX(RS_Rate,MATCH(B37,RS_Lane,0))))))</f>
        <v>72.485</v>
      </c>
    </row>
    <row r="38" customFormat="false" ht="15" hidden="false" customHeight="false" outlineLevel="0" collapsed="false">
      <c r="A38" s="3" t="s">
        <v>447</v>
      </c>
      <c r="B38" s="25" t="s">
        <v>108</v>
      </c>
      <c r="C38" s="8" t="s">
        <v>109</v>
      </c>
      <c r="D38" s="8" t="s">
        <v>270</v>
      </c>
      <c r="E38" s="8" t="s">
        <v>178</v>
      </c>
      <c r="F38" s="19" t="n">
        <v>4.2</v>
      </c>
      <c r="G38" s="33" t="n">
        <f aca="false">F38*0.006477</f>
        <v>0.0272034</v>
      </c>
      <c r="H38" s="19" t="n">
        <f aca="false">F38*1.079436</f>
        <v>4.5336312</v>
      </c>
      <c r="I38" s="18" t="n">
        <f aca="false">MAX(1,ROUNDUP(G38/0.096,0))</f>
        <v>1</v>
      </c>
      <c r="J38" s="31" t="n">
        <v>46423</v>
      </c>
      <c r="K38" s="34" t="n">
        <f aca="false">J38-WEEKDAY(J38,2)+1</f>
        <v>46419</v>
      </c>
      <c r="L38" s="31" t="n">
        <f aca="false">J38</f>
        <v>46423</v>
      </c>
      <c r="M38" s="26" t="n">
        <f aca="false">INDEX(LR_Target,MATCH(B38,LR_Lane,0))</f>
        <v>2</v>
      </c>
      <c r="N38" s="31" t="n">
        <f aca="false">WORKDAY.INTL(L38,M38,INDEX(LR_Code,MATCH(B38,LR_Lane,0)),INDEX(DH_Table,0,MATCH(B38&amp;"*",DH_Head,0)))</f>
        <v>46426</v>
      </c>
      <c r="O38" s="35" t="n">
        <f aca="false">IF(W38&lt;&gt;"",W38,IF(U38="Helmond",IF(COUNTIFS(RC_Lane,B38,RC_Band,E38,RC_Transit,"&lt;&gt;")=0,"",SUMIFS(RC_Transit,RC_Lane,B38,RC_Band,E38)),IF(U38="Other","",IF(INDEX(RS_Transit,MATCH(B38,RS_Lane,0))="","",INDEX(RS_Transit,MATCH(B38,RS_Lane,0))))))</f>
        <v>1</v>
      </c>
      <c r="P38" s="36"/>
      <c r="Q38" s="31" t="n">
        <f aca="false">IF(P38&lt;&gt;"",P38,IF(O38="","",WORKDAY.INTL(L38,ROUNDUP(O38,0),INDEX(LR_Code,MATCH(B38,LR_Lane,0)),INDEX(DH_Table,0,MATCH(B38&amp;"*",DH_Head,0)))))</f>
        <v>46425</v>
      </c>
      <c r="R38" s="37" t="str">
        <f aca="false">IF(Q38="","",IF(Q38&lt;=N38,"Yes","No"))</f>
        <v>Yes</v>
      </c>
      <c r="S38" s="26" t="n">
        <f aca="false">IF(Q38="","",IF(Q38&lt;=N38,0,NETWORKDAYS.INTL(N38,Q38,INDEX(LR_Code,MATCH(B38,LR_Lane,0)),INDEX(DH_Table,0,MATCH(B38&amp;"*",DH_Head,0)))-1))</f>
        <v>0</v>
      </c>
      <c r="T38" s="4"/>
      <c r="U38" s="25" t="str">
        <f aca="false">IF(V38&lt;&gt;"",V38,IF(IFERROR(INDEX(RS_Flag,MATCH(B38,RS_Lane,0)),"")="Yes",IF(IFERROR(INDEX(RS_Loc,MATCH(B38,RS_Lane,0)),"")="","Regional stock",IFERROR(INDEX(RS_Loc,MATCH(B38,RS_Lane,0)),"")),"Helmond"))</f>
        <v>Helmond</v>
      </c>
      <c r="V38" s="17"/>
      <c r="W38" s="38"/>
      <c r="X38" s="39"/>
      <c r="Y38" s="40" t="n">
        <f aca="false">IF(X38&lt;&gt;"",X38,IF(U38="Helmond",IF(COUNTIFS(RC_Lane,B38,RC_Band,E38,RC_CostPS,"&gt;0")=0,"",SUMIFS(RC_CostPS,RC_Lane,B38,RC_Band,E38)*(1-SUMIFS(RC_Disc,RC_Lane,B38,RC_Band,E38))),IF(U38="Other","",IF(INDEX(RS_Rate,MATCH(B38,RS_Lane,0))="","",INDEX(RS_Rate,MATCH(B38,RS_Lane,0))))))</f>
        <v>72.485</v>
      </c>
    </row>
    <row r="39" customFormat="false" ht="15" hidden="false" customHeight="false" outlineLevel="0" collapsed="false">
      <c r="A39" s="3" t="s">
        <v>448</v>
      </c>
      <c r="B39" s="25" t="s">
        <v>108</v>
      </c>
      <c r="C39" s="8" t="s">
        <v>109</v>
      </c>
      <c r="D39" s="8" t="s">
        <v>272</v>
      </c>
      <c r="E39" s="8" t="s">
        <v>183</v>
      </c>
      <c r="F39" s="19" t="n">
        <v>881.3</v>
      </c>
      <c r="G39" s="33" t="n">
        <f aca="false">F39*0.006477</f>
        <v>5.7081801</v>
      </c>
      <c r="H39" s="19" t="n">
        <f aca="false">F39*1.079436</f>
        <v>951.3069468</v>
      </c>
      <c r="I39" s="18" t="n">
        <f aca="false">MAX(1,ROUNDUP(G39/0.096,0))</f>
        <v>60</v>
      </c>
      <c r="J39" s="31" t="n">
        <v>46427</v>
      </c>
      <c r="K39" s="34" t="n">
        <f aca="false">J39-WEEKDAY(J39,2)+1</f>
        <v>46426</v>
      </c>
      <c r="L39" s="31" t="n">
        <f aca="false">J39</f>
        <v>46427</v>
      </c>
      <c r="M39" s="26" t="n">
        <f aca="false">INDEX(LR_Target,MATCH(B39,LR_Lane,0))</f>
        <v>2</v>
      </c>
      <c r="N39" s="31" t="n">
        <f aca="false">WORKDAY.INTL(L39,M39,INDEX(LR_Code,MATCH(B39,LR_Lane,0)),INDEX(DH_Table,0,MATCH(B39&amp;"*",DH_Head,0)))</f>
        <v>46429</v>
      </c>
      <c r="O39" s="35" t="n">
        <f aca="false">IF(W39&lt;&gt;"",W39,IF(U39="Helmond",IF(COUNTIFS(RC_Lane,B39,RC_Band,E39,RC_Transit,"&lt;&gt;")=0,"",SUMIFS(RC_Transit,RC_Lane,B39,RC_Band,E39)),IF(U39="Other","",IF(INDEX(RS_Transit,MATCH(B39,RS_Lane,0))="","",INDEX(RS_Transit,MATCH(B39,RS_Lane,0))))))</f>
        <v>4</v>
      </c>
      <c r="P39" s="36"/>
      <c r="Q39" s="31" t="n">
        <f aca="false">IF(P39&lt;&gt;"",P39,IF(O39="","",WORKDAY.INTL(L39,ROUNDUP(O39,0),INDEX(LR_Code,MATCH(B39,LR_Lane,0)),INDEX(DH_Table,0,MATCH(B39&amp;"*",DH_Head,0)))))</f>
        <v>46433</v>
      </c>
      <c r="R39" s="37" t="str">
        <f aca="false">IF(Q39="","",IF(Q39&lt;=N39,"Yes","No"))</f>
        <v>No</v>
      </c>
      <c r="S39" s="26" t="n">
        <f aca="false">IF(Q39="","",IF(Q39&lt;=N39,0,NETWORKDAYS.INTL(N39,Q39,INDEX(LR_Code,MATCH(B39,LR_Lane,0)),INDEX(DH_Table,0,MATCH(B39&amp;"*",DH_Head,0)))-1))</f>
        <v>2</v>
      </c>
      <c r="T39" s="4"/>
      <c r="U39" s="25" t="str">
        <f aca="false">IF(V39&lt;&gt;"",V39,IF(IFERROR(INDEX(RS_Flag,MATCH(B39,RS_Lane,0)),"")="Yes",IF(IFERROR(INDEX(RS_Loc,MATCH(B39,RS_Lane,0)),"")="","Regional stock",IFERROR(INDEX(RS_Loc,MATCH(B39,RS_Lane,0)),"")),"Helmond"))</f>
        <v>Helmond</v>
      </c>
      <c r="V39" s="17"/>
      <c r="W39" s="38"/>
      <c r="X39" s="39"/>
      <c r="Y39" s="40" t="n">
        <f aca="false">IF(X39&lt;&gt;"",X39,IF(U39="Helmond",IF(COUNTIFS(RC_Lane,B39,RC_Band,E39,RC_CostPS,"&gt;0")=0,"",SUMIFS(RC_CostPS,RC_Lane,B39,RC_Band,E39)*(1-SUMIFS(RC_Disc,RC_Lane,B39,RC_Band,E39))),IF(U39="Other","",IF(INDEX(RS_Rate,MATCH(B39,RS_Lane,0))="","",INDEX(RS_Rate,MATCH(B39,RS_Lane,0))))))</f>
        <v>3051.4304</v>
      </c>
    </row>
    <row r="40" customFormat="false" ht="15" hidden="false" customHeight="false" outlineLevel="0" collapsed="false">
      <c r="A40" s="3" t="s">
        <v>449</v>
      </c>
      <c r="B40" s="25" t="s">
        <v>108</v>
      </c>
      <c r="C40" s="8" t="s">
        <v>109</v>
      </c>
      <c r="D40" s="8" t="s">
        <v>272</v>
      </c>
      <c r="E40" s="8" t="s">
        <v>183</v>
      </c>
      <c r="F40" s="19" t="n">
        <v>845.4</v>
      </c>
      <c r="G40" s="33" t="n">
        <f aca="false">F40*0.006477</f>
        <v>5.4756558</v>
      </c>
      <c r="H40" s="19" t="n">
        <f aca="false">F40*1.079436</f>
        <v>912.5551944</v>
      </c>
      <c r="I40" s="18" t="n">
        <f aca="false">MAX(1,ROUNDUP(G40/0.096,0))</f>
        <v>58</v>
      </c>
      <c r="J40" s="31" t="n">
        <v>46428</v>
      </c>
      <c r="K40" s="34" t="n">
        <f aca="false">J40-WEEKDAY(J40,2)+1</f>
        <v>46426</v>
      </c>
      <c r="L40" s="31" t="n">
        <f aca="false">J40</f>
        <v>46428</v>
      </c>
      <c r="M40" s="26" t="n">
        <f aca="false">INDEX(LR_Target,MATCH(B40,LR_Lane,0))</f>
        <v>2</v>
      </c>
      <c r="N40" s="31" t="n">
        <f aca="false">WORKDAY.INTL(L40,M40,INDEX(LR_Code,MATCH(B40,LR_Lane,0)),INDEX(DH_Table,0,MATCH(B40&amp;"*",DH_Head,0)))</f>
        <v>46432</v>
      </c>
      <c r="O40" s="35" t="n">
        <f aca="false">IF(W40&lt;&gt;"",W40,IF(U40="Helmond",IF(COUNTIFS(RC_Lane,B40,RC_Band,E40,RC_Transit,"&lt;&gt;")=0,"",SUMIFS(RC_Transit,RC_Lane,B40,RC_Band,E40)),IF(U40="Other","",IF(INDEX(RS_Transit,MATCH(B40,RS_Lane,0))="","",INDEX(RS_Transit,MATCH(B40,RS_Lane,0))))))</f>
        <v>4</v>
      </c>
      <c r="P40" s="36"/>
      <c r="Q40" s="31" t="n">
        <f aca="false">IF(P40&lt;&gt;"",P40,IF(O40="","",WORKDAY.INTL(L40,ROUNDUP(O40,0),INDEX(LR_Code,MATCH(B40,LR_Lane,0)),INDEX(DH_Table,0,MATCH(B40&amp;"*",DH_Head,0)))))</f>
        <v>46434</v>
      </c>
      <c r="R40" s="37" t="str">
        <f aca="false">IF(Q40="","",IF(Q40&lt;=N40,"Yes","No"))</f>
        <v>No</v>
      </c>
      <c r="S40" s="26" t="n">
        <f aca="false">IF(Q40="","",IF(Q40&lt;=N40,0,NETWORKDAYS.INTL(N40,Q40,INDEX(LR_Code,MATCH(B40,LR_Lane,0)),INDEX(DH_Table,0,MATCH(B40&amp;"*",DH_Head,0)))-1))</f>
        <v>2</v>
      </c>
      <c r="T40" s="4"/>
      <c r="U40" s="25" t="str">
        <f aca="false">IF(V40&lt;&gt;"",V40,IF(IFERROR(INDEX(RS_Flag,MATCH(B40,RS_Lane,0)),"")="Yes",IF(IFERROR(INDEX(RS_Loc,MATCH(B40,RS_Lane,0)),"")="","Regional stock",IFERROR(INDEX(RS_Loc,MATCH(B40,RS_Lane,0)),"")),"Helmond"))</f>
        <v>Helmond</v>
      </c>
      <c r="V40" s="17"/>
      <c r="W40" s="38"/>
      <c r="X40" s="39"/>
      <c r="Y40" s="40" t="n">
        <f aca="false">IF(X40&lt;&gt;"",X40,IF(U40="Helmond",IF(COUNTIFS(RC_Lane,B40,RC_Band,E40,RC_CostPS,"&gt;0")=0,"",SUMIFS(RC_CostPS,RC_Lane,B40,RC_Band,E40)*(1-SUMIFS(RC_Disc,RC_Lane,B40,RC_Band,E40))),IF(U40="Other","",IF(INDEX(RS_Rate,MATCH(B40,RS_Lane,0))="","",INDEX(RS_Rate,MATCH(B40,RS_Lane,0))))))</f>
        <v>3051.4304</v>
      </c>
    </row>
    <row r="41" customFormat="false" ht="15" hidden="false" customHeight="false" outlineLevel="0" collapsed="false">
      <c r="A41" s="3" t="s">
        <v>450</v>
      </c>
      <c r="B41" s="25" t="s">
        <v>117</v>
      </c>
      <c r="C41" s="8" t="s">
        <v>118</v>
      </c>
      <c r="D41" s="8" t="s">
        <v>154</v>
      </c>
      <c r="E41" s="8" t="s">
        <v>178</v>
      </c>
      <c r="F41" s="19" t="n">
        <v>5.7</v>
      </c>
      <c r="G41" s="33" t="n">
        <f aca="false">F41*0.006477</f>
        <v>0.0369189</v>
      </c>
      <c r="H41" s="19" t="n">
        <f aca="false">F41*1.079436</f>
        <v>6.1527852</v>
      </c>
      <c r="I41" s="18" t="n">
        <f aca="false">MAX(1,ROUNDUP(G41/0.096,0))</f>
        <v>1</v>
      </c>
      <c r="J41" s="31" t="n">
        <v>46428</v>
      </c>
      <c r="K41" s="34" t="n">
        <f aca="false">J41-WEEKDAY(J41,2)+1</f>
        <v>46426</v>
      </c>
      <c r="L41" s="31" t="n">
        <f aca="false">J41</f>
        <v>46428</v>
      </c>
      <c r="M41" s="26" t="n">
        <f aca="false">INDEX(LR_Target,MATCH(B41,LR_Lane,0))</f>
        <v>2</v>
      </c>
      <c r="N41" s="31" t="n">
        <f aca="false">WORKDAY.INTL(L41,M41,INDEX(LR_Code,MATCH(B41,LR_Lane,0)),INDEX(DH_Table,0,MATCH(B41&amp;"*",DH_Head,0)))</f>
        <v>46432</v>
      </c>
      <c r="O41" s="35" t="n">
        <f aca="false">IF(W41&lt;&gt;"",W41,IF(U41="Helmond",IF(COUNTIFS(RC_Lane,B41,RC_Band,E41,RC_Transit,"&lt;&gt;")=0,"",SUMIFS(RC_Transit,RC_Lane,B41,RC_Band,E41)),IF(U41="Other","",IF(INDEX(RS_Transit,MATCH(B41,RS_Lane,0))="","",INDEX(RS_Transit,MATCH(B41,RS_Lane,0))))))</f>
        <v>1</v>
      </c>
      <c r="P41" s="36"/>
      <c r="Q41" s="31" t="n">
        <f aca="false">IF(P41&lt;&gt;"",P41,IF(O41="","",WORKDAY.INTL(L41,ROUNDUP(O41,0),INDEX(LR_Code,MATCH(B41,LR_Lane,0)),INDEX(DH_Table,0,MATCH(B41&amp;"*",DH_Head,0)))))</f>
        <v>46429</v>
      </c>
      <c r="R41" s="37" t="str">
        <f aca="false">IF(Q41="","",IF(Q41&lt;=N41,"Yes","No"))</f>
        <v>Yes</v>
      </c>
      <c r="S41" s="26" t="n">
        <f aca="false">IF(Q41="","",IF(Q41&lt;=N41,0,NETWORKDAYS.INTL(N41,Q41,INDEX(LR_Code,MATCH(B41,LR_Lane,0)),INDEX(DH_Table,0,MATCH(B41&amp;"*",DH_Head,0)))-1))</f>
        <v>0</v>
      </c>
      <c r="T41" s="4"/>
      <c r="U41" s="25" t="str">
        <f aca="false">IF(V41&lt;&gt;"",V41,IF(IFERROR(INDEX(RS_Flag,MATCH(B41,RS_Lane,0)),"")="Yes",IF(IFERROR(INDEX(RS_Loc,MATCH(B41,RS_Lane,0)),"")="","Regional stock",IFERROR(INDEX(RS_Loc,MATCH(B41,RS_Lane,0)),"")),"Helmond"))</f>
        <v>Helmond</v>
      </c>
      <c r="V41" s="17"/>
      <c r="W41" s="38"/>
      <c r="X41" s="39"/>
      <c r="Y41" s="40" t="n">
        <f aca="false">IF(X41&lt;&gt;"",X41,IF(U41="Helmond",IF(COUNTIFS(RC_Lane,B41,RC_Band,E41,RC_CostPS,"&gt;0")=0,"",SUMIFS(RC_CostPS,RC_Lane,B41,RC_Band,E41)*(1-SUMIFS(RC_Disc,RC_Lane,B41,RC_Band,E41))),IF(U41="Other","",IF(INDEX(RS_Rate,MATCH(B41,RS_Lane,0))="","",INDEX(RS_Rate,MATCH(B41,RS_Lane,0))))))</f>
        <v>72.485</v>
      </c>
    </row>
    <row r="42" customFormat="false" ht="15" hidden="false" customHeight="false" outlineLevel="0" collapsed="false">
      <c r="A42" s="3" t="s">
        <v>451</v>
      </c>
      <c r="B42" s="25" t="s">
        <v>112</v>
      </c>
      <c r="C42" s="8" t="s">
        <v>113</v>
      </c>
      <c r="D42" s="8" t="s">
        <v>152</v>
      </c>
      <c r="E42" s="8" t="s">
        <v>178</v>
      </c>
      <c r="F42" s="19" t="n">
        <v>5.6</v>
      </c>
      <c r="G42" s="33" t="n">
        <f aca="false">F42*0.006477</f>
        <v>0.0362712</v>
      </c>
      <c r="H42" s="19" t="n">
        <f aca="false">F42*1.079436</f>
        <v>6.0448416</v>
      </c>
      <c r="I42" s="18" t="n">
        <f aca="false">MAX(1,ROUNDUP(G42/0.096,0))</f>
        <v>1</v>
      </c>
      <c r="J42" s="31" t="n">
        <v>46429</v>
      </c>
      <c r="K42" s="34" t="n">
        <f aca="false">J42-WEEKDAY(J42,2)+1</f>
        <v>46426</v>
      </c>
      <c r="L42" s="31" t="n">
        <f aca="false">J42</f>
        <v>46429</v>
      </c>
      <c r="M42" s="26" t="n">
        <f aca="false">INDEX(LR_Target,MATCH(B42,LR_Lane,0))</f>
        <v>2</v>
      </c>
      <c r="N42" s="31" t="n">
        <f aca="false">WORKDAY.INTL(L42,M42,INDEX(LR_Code,MATCH(B42,LR_Lane,0)),INDEX(DH_Table,0,MATCH(B42&amp;"*",DH_Head,0)))</f>
        <v>46433</v>
      </c>
      <c r="O42" s="35" t="n">
        <f aca="false">IF(W42&lt;&gt;"",W42,IF(U42="Helmond",IF(COUNTIFS(RC_Lane,B42,RC_Band,E42,RC_Transit,"&lt;&gt;")=0,"",SUMIFS(RC_Transit,RC_Lane,B42,RC_Band,E42)),IF(U42="Other","",IF(INDEX(RS_Transit,MATCH(B42,RS_Lane,0))="","",INDEX(RS_Transit,MATCH(B42,RS_Lane,0))))))</f>
        <v>1</v>
      </c>
      <c r="P42" s="36"/>
      <c r="Q42" s="31" t="n">
        <f aca="false">IF(P42&lt;&gt;"",P42,IF(O42="","",WORKDAY.INTL(L42,ROUNDUP(O42,0),INDEX(LR_Code,MATCH(B42,LR_Lane,0)),INDEX(DH_Table,0,MATCH(B42&amp;"*",DH_Head,0)))))</f>
        <v>46430</v>
      </c>
      <c r="R42" s="37" t="str">
        <f aca="false">IF(Q42="","",IF(Q42&lt;=N42,"Yes","No"))</f>
        <v>Yes</v>
      </c>
      <c r="S42" s="26" t="n">
        <f aca="false">IF(Q42="","",IF(Q42&lt;=N42,0,NETWORKDAYS.INTL(N42,Q42,INDEX(LR_Code,MATCH(B42,LR_Lane,0)),INDEX(DH_Table,0,MATCH(B42&amp;"*",DH_Head,0)))-1))</f>
        <v>0</v>
      </c>
      <c r="T42" s="4"/>
      <c r="U42" s="25" t="str">
        <f aca="false">IF(V42&lt;&gt;"",V42,IF(IFERROR(INDEX(RS_Flag,MATCH(B42,RS_Lane,0)),"")="Yes",IF(IFERROR(INDEX(RS_Loc,MATCH(B42,RS_Lane,0)),"")="","Regional stock",IFERROR(INDEX(RS_Loc,MATCH(B42,RS_Lane,0)),"")),"Helmond"))</f>
        <v>Helmond</v>
      </c>
      <c r="V42" s="17"/>
      <c r="W42" s="38"/>
      <c r="X42" s="39"/>
      <c r="Y42" s="40" t="n">
        <f aca="false">IF(X42&lt;&gt;"",X42,IF(U42="Helmond",IF(COUNTIFS(RC_Lane,B42,RC_Band,E42,RC_CostPS,"&gt;0")=0,"",SUMIFS(RC_CostPS,RC_Lane,B42,RC_Band,E42)*(1-SUMIFS(RC_Disc,RC_Lane,B42,RC_Band,E42))),IF(U42="Other","",IF(INDEX(RS_Rate,MATCH(B42,RS_Lane,0))="","",INDEX(RS_Rate,MATCH(B42,RS_Lane,0))))))</f>
        <v>72.485</v>
      </c>
    </row>
    <row r="43" customFormat="false" ht="15" hidden="false" customHeight="false" outlineLevel="0" collapsed="false">
      <c r="A43" s="3" t="s">
        <v>452</v>
      </c>
      <c r="B43" s="25" t="s">
        <v>108</v>
      </c>
      <c r="C43" s="8" t="s">
        <v>109</v>
      </c>
      <c r="D43" s="8" t="s">
        <v>272</v>
      </c>
      <c r="E43" s="8" t="s">
        <v>178</v>
      </c>
      <c r="F43" s="19" t="n">
        <v>3.1</v>
      </c>
      <c r="G43" s="33" t="n">
        <f aca="false">F43*0.006477</f>
        <v>0.0200787</v>
      </c>
      <c r="H43" s="19" t="n">
        <f aca="false">F43*1.079436</f>
        <v>3.3462516</v>
      </c>
      <c r="I43" s="18" t="n">
        <f aca="false">MAX(1,ROUNDUP(G43/0.096,0))</f>
        <v>1</v>
      </c>
      <c r="J43" s="31" t="n">
        <v>46434</v>
      </c>
      <c r="K43" s="34" t="n">
        <f aca="false">J43-WEEKDAY(J43,2)+1</f>
        <v>46433</v>
      </c>
      <c r="L43" s="31" t="n">
        <f aca="false">J43</f>
        <v>46434</v>
      </c>
      <c r="M43" s="26" t="n">
        <f aca="false">INDEX(LR_Target,MATCH(B43,LR_Lane,0))</f>
        <v>2</v>
      </c>
      <c r="N43" s="31" t="n">
        <f aca="false">WORKDAY.INTL(L43,M43,INDEX(LR_Code,MATCH(B43,LR_Lane,0)),INDEX(DH_Table,0,MATCH(B43&amp;"*",DH_Head,0)))</f>
        <v>46436</v>
      </c>
      <c r="O43" s="35" t="n">
        <f aca="false">IF(W43&lt;&gt;"",W43,IF(U43="Helmond",IF(COUNTIFS(RC_Lane,B43,RC_Band,E43,RC_Transit,"&lt;&gt;")=0,"",SUMIFS(RC_Transit,RC_Lane,B43,RC_Band,E43)),IF(U43="Other","",IF(INDEX(RS_Transit,MATCH(B43,RS_Lane,0))="","",INDEX(RS_Transit,MATCH(B43,RS_Lane,0))))))</f>
        <v>1</v>
      </c>
      <c r="P43" s="36"/>
      <c r="Q43" s="31" t="n">
        <f aca="false">IF(P43&lt;&gt;"",P43,IF(O43="","",WORKDAY.INTL(L43,ROUNDUP(O43,0),INDEX(LR_Code,MATCH(B43,LR_Lane,0)),INDEX(DH_Table,0,MATCH(B43&amp;"*",DH_Head,0)))))</f>
        <v>46435</v>
      </c>
      <c r="R43" s="37" t="str">
        <f aca="false">IF(Q43="","",IF(Q43&lt;=N43,"Yes","No"))</f>
        <v>Yes</v>
      </c>
      <c r="S43" s="26" t="n">
        <f aca="false">IF(Q43="","",IF(Q43&lt;=N43,0,NETWORKDAYS.INTL(N43,Q43,INDEX(LR_Code,MATCH(B43,LR_Lane,0)),INDEX(DH_Table,0,MATCH(B43&amp;"*",DH_Head,0)))-1))</f>
        <v>0</v>
      </c>
      <c r="T43" s="4"/>
      <c r="U43" s="25" t="str">
        <f aca="false">IF(V43&lt;&gt;"",V43,IF(IFERROR(INDEX(RS_Flag,MATCH(B43,RS_Lane,0)),"")="Yes",IF(IFERROR(INDEX(RS_Loc,MATCH(B43,RS_Lane,0)),"")="","Regional stock",IFERROR(INDEX(RS_Loc,MATCH(B43,RS_Lane,0)),"")),"Helmond"))</f>
        <v>Helmond</v>
      </c>
      <c r="V43" s="17"/>
      <c r="W43" s="38"/>
      <c r="X43" s="39"/>
      <c r="Y43" s="40" t="n">
        <f aca="false">IF(X43&lt;&gt;"",X43,IF(U43="Helmond",IF(COUNTIFS(RC_Lane,B43,RC_Band,E43,RC_CostPS,"&gt;0")=0,"",SUMIFS(RC_CostPS,RC_Lane,B43,RC_Band,E43)*(1-SUMIFS(RC_Disc,RC_Lane,B43,RC_Band,E43))),IF(U43="Other","",IF(INDEX(RS_Rate,MATCH(B43,RS_Lane,0))="","",INDEX(RS_Rate,MATCH(B43,RS_Lane,0))))))</f>
        <v>72.485</v>
      </c>
    </row>
    <row r="44" customFormat="false" ht="15" hidden="false" customHeight="false" outlineLevel="0" collapsed="false">
      <c r="A44" s="3" t="s">
        <v>453</v>
      </c>
      <c r="B44" s="25" t="s">
        <v>119</v>
      </c>
      <c r="C44" s="8" t="s">
        <v>120</v>
      </c>
      <c r="D44" s="8" t="s">
        <v>155</v>
      </c>
      <c r="E44" s="8" t="s">
        <v>180</v>
      </c>
      <c r="F44" s="19" t="n">
        <v>65.4</v>
      </c>
      <c r="G44" s="33" t="n">
        <f aca="false">F44*0.006477</f>
        <v>0.4235958</v>
      </c>
      <c r="H44" s="19" t="n">
        <f aca="false">F44*1.079436</f>
        <v>70.5951144</v>
      </c>
      <c r="I44" s="18" t="n">
        <f aca="false">MAX(1,ROUNDUP(G44/0.096,0))</f>
        <v>5</v>
      </c>
      <c r="J44" s="31" t="n">
        <v>46434</v>
      </c>
      <c r="K44" s="34" t="n">
        <f aca="false">J44-WEEKDAY(J44,2)+1</f>
        <v>46433</v>
      </c>
      <c r="L44" s="31" t="n">
        <f aca="false">J44</f>
        <v>46434</v>
      </c>
      <c r="M44" s="26" t="n">
        <f aca="false">INDEX(LR_Target,MATCH(B44,LR_Lane,0))</f>
        <v>3</v>
      </c>
      <c r="N44" s="31" t="n">
        <f aca="false">WORKDAY.INTL(L44,M44,INDEX(LR_Code,MATCH(B44,LR_Lane,0)),INDEX(DH_Table,0,MATCH(B44&amp;"*",DH_Head,0)))</f>
        <v>46437</v>
      </c>
      <c r="O44" s="35" t="n">
        <f aca="false">IF(W44&lt;&gt;"",W44,IF(U44="Helmond",IF(COUNTIFS(RC_Lane,B44,RC_Band,E44,RC_Transit,"&lt;&gt;")=0,"",SUMIFS(RC_Transit,RC_Lane,B44,RC_Band,E44)),IF(U44="Other","",IF(INDEX(RS_Transit,MATCH(B44,RS_Lane,0))="","",INDEX(RS_Transit,MATCH(B44,RS_Lane,0))))))</f>
        <v>2</v>
      </c>
      <c r="P44" s="36"/>
      <c r="Q44" s="31" t="n">
        <f aca="false">IF(P44&lt;&gt;"",P44,IF(O44="","",WORKDAY.INTL(L44,ROUNDUP(O44,0),INDEX(LR_Code,MATCH(B44,LR_Lane,0)),INDEX(DH_Table,0,MATCH(B44&amp;"*",DH_Head,0)))))</f>
        <v>46436</v>
      </c>
      <c r="R44" s="37" t="str">
        <f aca="false">IF(Q44="","",IF(Q44&lt;=N44,"Yes","No"))</f>
        <v>Yes</v>
      </c>
      <c r="S44" s="26" t="n">
        <f aca="false">IF(Q44="","",IF(Q44&lt;=N44,0,NETWORKDAYS.INTL(N44,Q44,INDEX(LR_Code,MATCH(B44,LR_Lane,0)),INDEX(DH_Table,0,MATCH(B44&amp;"*",DH_Head,0)))-1))</f>
        <v>0</v>
      </c>
      <c r="T44" s="4"/>
      <c r="U44" s="25" t="str">
        <f aca="false">IF(V44&lt;&gt;"",V44,IF(IFERROR(INDEX(RS_Flag,MATCH(B44,RS_Lane,0)),"")="Yes",IF(IFERROR(INDEX(RS_Loc,MATCH(B44,RS_Lane,0)),"")="","Regional stock",IFERROR(INDEX(RS_Loc,MATCH(B44,RS_Lane,0)),"")),"Helmond"))</f>
        <v>Helmond</v>
      </c>
      <c r="V44" s="17"/>
      <c r="W44" s="38"/>
      <c r="X44" s="39"/>
      <c r="Y44" s="40" t="n">
        <f aca="false">IF(X44&lt;&gt;"",X44,IF(U44="Helmond",IF(COUNTIFS(RC_Lane,B44,RC_Band,E44,RC_CostPS,"&gt;0")=0,"",SUMIFS(RC_CostPS,RC_Lane,B44,RC_Band,E44)*(1-SUMIFS(RC_Disc,RC_Lane,B44,RC_Band,E44))),IF(U44="Other","",IF(INDEX(RS_Rate,MATCH(B44,RS_Lane,0))="","",INDEX(RS_Rate,MATCH(B44,RS_Lane,0))))))</f>
        <v>303.81456</v>
      </c>
    </row>
    <row r="45" customFormat="false" ht="15" hidden="false" customHeight="false" outlineLevel="0" collapsed="false">
      <c r="A45" s="3" t="s">
        <v>454</v>
      </c>
      <c r="B45" s="25" t="s">
        <v>126</v>
      </c>
      <c r="C45" s="8" t="s">
        <v>127</v>
      </c>
      <c r="D45" s="8" t="s">
        <v>158</v>
      </c>
      <c r="E45" s="8" t="s">
        <v>182</v>
      </c>
      <c r="F45" s="19" t="n">
        <v>272.9</v>
      </c>
      <c r="G45" s="33" t="n">
        <f aca="false">F45*0.006477</f>
        <v>1.7675733</v>
      </c>
      <c r="H45" s="19" t="n">
        <f aca="false">F45*1.079436</f>
        <v>294.5780844</v>
      </c>
      <c r="I45" s="18" t="n">
        <f aca="false">MAX(1,ROUNDUP(G45/0.096,0))</f>
        <v>19</v>
      </c>
      <c r="J45" s="31" t="n">
        <v>46434</v>
      </c>
      <c r="K45" s="34" t="n">
        <f aca="false">J45-WEEKDAY(J45,2)+1</f>
        <v>46433</v>
      </c>
      <c r="L45" s="31" t="n">
        <f aca="false">J45</f>
        <v>46434</v>
      </c>
      <c r="M45" s="26" t="n">
        <f aca="false">INDEX(LR_Target,MATCH(B45,LR_Lane,0))</f>
        <v>4</v>
      </c>
      <c r="N45" s="31" t="n">
        <f aca="false">WORKDAY.INTL(L45,M45,INDEX(LR_Code,MATCH(B45,LR_Lane,0)),INDEX(DH_Table,0,MATCH(B45&amp;"*",DH_Head,0)))</f>
        <v>46440</v>
      </c>
      <c r="O45" s="35" t="n">
        <f aca="false">IF(W45&lt;&gt;"",W45,IF(U45="Helmond",IF(COUNTIFS(RC_Lane,B45,RC_Band,E45,RC_Transit,"&lt;&gt;")=0,"",SUMIFS(RC_Transit,RC_Lane,B45,RC_Band,E45)),IF(U45="Other","",IF(INDEX(RS_Transit,MATCH(B45,RS_Lane,0))="","",INDEX(RS_Transit,MATCH(B45,RS_Lane,0))))))</f>
        <v>3</v>
      </c>
      <c r="P45" s="36"/>
      <c r="Q45" s="31" t="n">
        <f aca="false">IF(P45&lt;&gt;"",P45,IF(O45="","",WORKDAY.INTL(L45,ROUNDUP(O45,0),INDEX(LR_Code,MATCH(B45,LR_Lane,0)),INDEX(DH_Table,0,MATCH(B45&amp;"*",DH_Head,0)))))</f>
        <v>46439</v>
      </c>
      <c r="R45" s="37" t="str">
        <f aca="false">IF(Q45="","",IF(Q45&lt;=N45,"Yes","No"))</f>
        <v>Yes</v>
      </c>
      <c r="S45" s="26" t="n">
        <f aca="false">IF(Q45="","",IF(Q45&lt;=N45,0,NETWORKDAYS.INTL(N45,Q45,INDEX(LR_Code,MATCH(B45,LR_Lane,0)),INDEX(DH_Table,0,MATCH(B45&amp;"*",DH_Head,0)))-1))</f>
        <v>0</v>
      </c>
      <c r="T45" s="4"/>
      <c r="U45" s="25" t="str">
        <f aca="false">IF(V45&lt;&gt;"",V45,IF(IFERROR(INDEX(RS_Flag,MATCH(B45,RS_Lane,0)),"")="Yes",IF(IFERROR(INDEX(RS_Loc,MATCH(B45,RS_Lane,0)),"")="","Regional stock",IFERROR(INDEX(RS_Loc,MATCH(B45,RS_Lane,0)),"")),"Helmond"))</f>
        <v>Helmond</v>
      </c>
      <c r="V45" s="17"/>
      <c r="W45" s="38"/>
      <c r="X45" s="39"/>
      <c r="Y45" s="40" t="n">
        <f aca="false">IF(X45&lt;&gt;"",X45,IF(U45="Helmond",IF(COUNTIFS(RC_Lane,B45,RC_Band,E45,RC_CostPS,"&gt;0")=0,"",SUMIFS(RC_CostPS,RC_Lane,B45,RC_Band,E45)*(1-SUMIFS(RC_Disc,RC_Lane,B45,RC_Band,E45))),IF(U45="Other","",IF(INDEX(RS_Rate,MATCH(B45,RS_Lane,0))="","",INDEX(RS_Rate,MATCH(B45,RS_Lane,0))))))</f>
        <v>890.05272</v>
      </c>
    </row>
    <row r="46" customFormat="false" ht="15" hidden="false" customHeight="false" outlineLevel="0" collapsed="false">
      <c r="A46" s="3" t="s">
        <v>455</v>
      </c>
      <c r="B46" s="25" t="s">
        <v>108</v>
      </c>
      <c r="C46" s="8" t="s">
        <v>109</v>
      </c>
      <c r="D46" s="8" t="s">
        <v>272</v>
      </c>
      <c r="E46" s="8" t="s">
        <v>182</v>
      </c>
      <c r="F46" s="19" t="n">
        <v>270.2</v>
      </c>
      <c r="G46" s="33" t="n">
        <f aca="false">F46*0.006477</f>
        <v>1.7500854</v>
      </c>
      <c r="H46" s="19" t="n">
        <f aca="false">F46*1.079436</f>
        <v>291.6636072</v>
      </c>
      <c r="I46" s="18" t="n">
        <f aca="false">MAX(1,ROUNDUP(G46/0.096,0))</f>
        <v>19</v>
      </c>
      <c r="J46" s="31" t="n">
        <v>46435</v>
      </c>
      <c r="K46" s="34" t="n">
        <f aca="false">J46-WEEKDAY(J46,2)+1</f>
        <v>46433</v>
      </c>
      <c r="L46" s="31" t="n">
        <f aca="false">J46</f>
        <v>46435</v>
      </c>
      <c r="M46" s="26" t="n">
        <f aca="false">INDEX(LR_Target,MATCH(B46,LR_Lane,0))</f>
        <v>2</v>
      </c>
      <c r="N46" s="31" t="n">
        <f aca="false">WORKDAY.INTL(L46,M46,INDEX(LR_Code,MATCH(B46,LR_Lane,0)),INDEX(DH_Table,0,MATCH(B46&amp;"*",DH_Head,0)))</f>
        <v>46439</v>
      </c>
      <c r="O46" s="35" t="n">
        <f aca="false">IF(W46&lt;&gt;"",W46,IF(U46="Helmond",IF(COUNTIFS(RC_Lane,B46,RC_Band,E46,RC_Transit,"&lt;&gt;")=0,"",SUMIFS(RC_Transit,RC_Lane,B46,RC_Band,E46)),IF(U46="Other","",IF(INDEX(RS_Transit,MATCH(B46,RS_Lane,0))="","",INDEX(RS_Transit,MATCH(B46,RS_Lane,0))))))</f>
        <v>3</v>
      </c>
      <c r="P46" s="36"/>
      <c r="Q46" s="31" t="n">
        <f aca="false">IF(P46&lt;&gt;"",P46,IF(O46="","",WORKDAY.INTL(L46,ROUNDUP(O46,0),INDEX(LR_Code,MATCH(B46,LR_Lane,0)),INDEX(DH_Table,0,MATCH(B46&amp;"*",DH_Head,0)))))</f>
        <v>46441</v>
      </c>
      <c r="R46" s="37" t="str">
        <f aca="false">IF(Q46="","",IF(Q46&lt;=N46,"Yes","No"))</f>
        <v>No</v>
      </c>
      <c r="S46" s="26" t="n">
        <f aca="false">IF(Q46="","",IF(Q46&lt;=N46,0,NETWORKDAYS.INTL(N46,Q46,INDEX(LR_Code,MATCH(B46,LR_Lane,0)),INDEX(DH_Table,0,MATCH(B46&amp;"*",DH_Head,0)))-1))</f>
        <v>1</v>
      </c>
      <c r="T46" s="4"/>
      <c r="U46" s="25" t="str">
        <f aca="false">IF(V46&lt;&gt;"",V46,IF(IFERROR(INDEX(RS_Flag,MATCH(B46,RS_Lane,0)),"")="Yes",IF(IFERROR(INDEX(RS_Loc,MATCH(B46,RS_Lane,0)),"")="","Regional stock",IFERROR(INDEX(RS_Loc,MATCH(B46,RS_Lane,0)),"")),"Helmond"))</f>
        <v>Helmond</v>
      </c>
      <c r="V46" s="17"/>
      <c r="W46" s="38"/>
      <c r="X46" s="39"/>
      <c r="Y46" s="40" t="n">
        <f aca="false">IF(X46&lt;&gt;"",X46,IF(U46="Helmond",IF(COUNTIFS(RC_Lane,B46,RC_Band,E46,RC_CostPS,"&gt;0")=0,"",SUMIFS(RC_CostPS,RC_Lane,B46,RC_Band,E46)*(1-SUMIFS(RC_Disc,RC_Lane,B46,RC_Band,E46))),IF(U46="Other","",IF(INDEX(RS_Rate,MATCH(B46,RS_Lane,0))="","",INDEX(RS_Rate,MATCH(B46,RS_Lane,0))))))</f>
        <v>1009.7531</v>
      </c>
    </row>
    <row r="47" customFormat="false" ht="15" hidden="false" customHeight="false" outlineLevel="0" collapsed="false">
      <c r="A47" s="3" t="s">
        <v>456</v>
      </c>
      <c r="B47" s="25" t="s">
        <v>108</v>
      </c>
      <c r="C47" s="8" t="s">
        <v>109</v>
      </c>
      <c r="D47" s="8" t="s">
        <v>270</v>
      </c>
      <c r="E47" s="8" t="s">
        <v>180</v>
      </c>
      <c r="F47" s="19" t="n">
        <v>37.8</v>
      </c>
      <c r="G47" s="33" t="n">
        <f aca="false">F47*0.006477</f>
        <v>0.2448306</v>
      </c>
      <c r="H47" s="19" t="n">
        <f aca="false">F47*1.079436</f>
        <v>40.8026808</v>
      </c>
      <c r="I47" s="18" t="n">
        <f aca="false">MAX(1,ROUNDUP(G47/0.096,0))</f>
        <v>3</v>
      </c>
      <c r="J47" s="31" t="n">
        <v>46435</v>
      </c>
      <c r="K47" s="34" t="n">
        <f aca="false">J47-WEEKDAY(J47,2)+1</f>
        <v>46433</v>
      </c>
      <c r="L47" s="31" t="n">
        <f aca="false">J47</f>
        <v>46435</v>
      </c>
      <c r="M47" s="26" t="n">
        <f aca="false">INDEX(LR_Target,MATCH(B47,LR_Lane,0))</f>
        <v>2</v>
      </c>
      <c r="N47" s="31" t="n">
        <f aca="false">WORKDAY.INTL(L47,M47,INDEX(LR_Code,MATCH(B47,LR_Lane,0)),INDEX(DH_Table,0,MATCH(B47&amp;"*",DH_Head,0)))</f>
        <v>46439</v>
      </c>
      <c r="O47" s="35" t="n">
        <f aca="false">IF(W47&lt;&gt;"",W47,IF(U47="Helmond",IF(COUNTIFS(RC_Lane,B47,RC_Band,E47,RC_Transit,"&lt;&gt;")=0,"",SUMIFS(RC_Transit,RC_Lane,B47,RC_Band,E47)),IF(U47="Other","",IF(INDEX(RS_Transit,MATCH(B47,RS_Lane,0))="","",INDEX(RS_Transit,MATCH(B47,RS_Lane,0))))))</f>
        <v>2</v>
      </c>
      <c r="P47" s="36"/>
      <c r="Q47" s="31" t="n">
        <f aca="false">IF(P47&lt;&gt;"",P47,IF(O47="","",WORKDAY.INTL(L47,ROUNDUP(O47,0),INDEX(LR_Code,MATCH(B47,LR_Lane,0)),INDEX(DH_Table,0,MATCH(B47&amp;"*",DH_Head,0)))))</f>
        <v>46439</v>
      </c>
      <c r="R47" s="37" t="str">
        <f aca="false">IF(Q47="","",IF(Q47&lt;=N47,"Yes","No"))</f>
        <v>Yes</v>
      </c>
      <c r="S47" s="26" t="n">
        <f aca="false">IF(Q47="","",IF(Q47&lt;=N47,0,NETWORKDAYS.INTL(N47,Q47,INDEX(LR_Code,MATCH(B47,LR_Lane,0)),INDEX(DH_Table,0,MATCH(B47&amp;"*",DH_Head,0)))-1))</f>
        <v>0</v>
      </c>
      <c r="T47" s="4"/>
      <c r="U47" s="25" t="str">
        <f aca="false">IF(V47&lt;&gt;"",V47,IF(IFERROR(INDEX(RS_Flag,MATCH(B47,RS_Lane,0)),"")="Yes",IF(IFERROR(INDEX(RS_Loc,MATCH(B47,RS_Lane,0)),"")="","Regional stock",IFERROR(INDEX(RS_Loc,MATCH(B47,RS_Lane,0)),"")),"Helmond"))</f>
        <v>Helmond</v>
      </c>
      <c r="V47" s="17"/>
      <c r="W47" s="38"/>
      <c r="X47" s="39"/>
      <c r="Y47" s="40" t="n">
        <f aca="false">IF(X47&lt;&gt;"",X47,IF(U47="Helmond",IF(COUNTIFS(RC_Lane,B47,RC_Band,E47,RC_CostPS,"&gt;0")=0,"",SUMIFS(RC_CostPS,RC_Lane,B47,RC_Band,E47)*(1-SUMIFS(RC_Disc,RC_Lane,B47,RC_Band,E47))),IF(U47="Other","",IF(INDEX(RS_Rate,MATCH(B47,RS_Lane,0))="","",INDEX(RS_Rate,MATCH(B47,RS_Lane,0))))))</f>
        <v>284.98176</v>
      </c>
    </row>
    <row r="48" customFormat="false" ht="15" hidden="false" customHeight="false" outlineLevel="0" collapsed="false">
      <c r="A48" s="3" t="s">
        <v>457</v>
      </c>
      <c r="B48" s="25" t="s">
        <v>112</v>
      </c>
      <c r="C48" s="8" t="s">
        <v>113</v>
      </c>
      <c r="D48" s="8" t="s">
        <v>152</v>
      </c>
      <c r="E48" s="8" t="s">
        <v>178</v>
      </c>
      <c r="F48" s="19" t="n">
        <v>5.7</v>
      </c>
      <c r="G48" s="33" t="n">
        <f aca="false">F48*0.006477</f>
        <v>0.0369189</v>
      </c>
      <c r="H48" s="19" t="n">
        <f aca="false">F48*1.079436</f>
        <v>6.1527852</v>
      </c>
      <c r="I48" s="18" t="n">
        <f aca="false">MAX(1,ROUNDUP(G48/0.096,0))</f>
        <v>1</v>
      </c>
      <c r="J48" s="31" t="n">
        <v>46435</v>
      </c>
      <c r="K48" s="34" t="n">
        <f aca="false">J48-WEEKDAY(J48,2)+1</f>
        <v>46433</v>
      </c>
      <c r="L48" s="31" t="n">
        <f aca="false">J48</f>
        <v>46435</v>
      </c>
      <c r="M48" s="26" t="n">
        <f aca="false">INDEX(LR_Target,MATCH(B48,LR_Lane,0))</f>
        <v>2</v>
      </c>
      <c r="N48" s="31" t="n">
        <f aca="false">WORKDAY.INTL(L48,M48,INDEX(LR_Code,MATCH(B48,LR_Lane,0)),INDEX(DH_Table,0,MATCH(B48&amp;"*",DH_Head,0)))</f>
        <v>46437</v>
      </c>
      <c r="O48" s="35" t="n">
        <f aca="false">IF(W48&lt;&gt;"",W48,IF(U48="Helmond",IF(COUNTIFS(RC_Lane,B48,RC_Band,E48,RC_Transit,"&lt;&gt;")=0,"",SUMIFS(RC_Transit,RC_Lane,B48,RC_Band,E48)),IF(U48="Other","",IF(INDEX(RS_Transit,MATCH(B48,RS_Lane,0))="","",INDEX(RS_Transit,MATCH(B48,RS_Lane,0))))))</f>
        <v>1</v>
      </c>
      <c r="P48" s="36"/>
      <c r="Q48" s="31" t="n">
        <f aca="false">IF(P48&lt;&gt;"",P48,IF(O48="","",WORKDAY.INTL(L48,ROUNDUP(O48,0),INDEX(LR_Code,MATCH(B48,LR_Lane,0)),INDEX(DH_Table,0,MATCH(B48&amp;"*",DH_Head,0)))))</f>
        <v>46436</v>
      </c>
      <c r="R48" s="37" t="str">
        <f aca="false">IF(Q48="","",IF(Q48&lt;=N48,"Yes","No"))</f>
        <v>Yes</v>
      </c>
      <c r="S48" s="26" t="n">
        <f aca="false">IF(Q48="","",IF(Q48&lt;=N48,0,NETWORKDAYS.INTL(N48,Q48,INDEX(LR_Code,MATCH(B48,LR_Lane,0)),INDEX(DH_Table,0,MATCH(B48&amp;"*",DH_Head,0)))-1))</f>
        <v>0</v>
      </c>
      <c r="T48" s="4"/>
      <c r="U48" s="25" t="str">
        <f aca="false">IF(V48&lt;&gt;"",V48,IF(IFERROR(INDEX(RS_Flag,MATCH(B48,RS_Lane,0)),"")="Yes",IF(IFERROR(INDEX(RS_Loc,MATCH(B48,RS_Lane,0)),"")="","Regional stock",IFERROR(INDEX(RS_Loc,MATCH(B48,RS_Lane,0)),"")),"Helmond"))</f>
        <v>Helmond</v>
      </c>
      <c r="V48" s="17"/>
      <c r="W48" s="38"/>
      <c r="X48" s="39"/>
      <c r="Y48" s="40" t="n">
        <f aca="false">IF(X48&lt;&gt;"",X48,IF(U48="Helmond",IF(COUNTIFS(RC_Lane,B48,RC_Band,E48,RC_CostPS,"&gt;0")=0,"",SUMIFS(RC_CostPS,RC_Lane,B48,RC_Band,E48)*(1-SUMIFS(RC_Disc,RC_Lane,B48,RC_Band,E48))),IF(U48="Other","",IF(INDEX(RS_Rate,MATCH(B48,RS_Lane,0))="","",INDEX(RS_Rate,MATCH(B48,RS_Lane,0))))))</f>
        <v>72.485</v>
      </c>
    </row>
    <row r="49" customFormat="false" ht="15" hidden="false" customHeight="false" outlineLevel="0" collapsed="false">
      <c r="A49" s="3" t="s">
        <v>458</v>
      </c>
      <c r="B49" s="25" t="s">
        <v>115</v>
      </c>
      <c r="C49" s="8" t="s">
        <v>116</v>
      </c>
      <c r="D49" s="8" t="s">
        <v>153</v>
      </c>
      <c r="E49" s="8" t="s">
        <v>182</v>
      </c>
      <c r="F49" s="19" t="n">
        <v>391</v>
      </c>
      <c r="G49" s="33" t="n">
        <f aca="false">F49*0.006477</f>
        <v>2.532507</v>
      </c>
      <c r="H49" s="19" t="n">
        <f aca="false">F49*1.079436</f>
        <v>422.059476</v>
      </c>
      <c r="I49" s="18" t="n">
        <f aca="false">MAX(1,ROUNDUP(G49/0.096,0))</f>
        <v>27</v>
      </c>
      <c r="J49" s="31" t="n">
        <v>46435</v>
      </c>
      <c r="K49" s="34" t="n">
        <f aca="false">J49-WEEKDAY(J49,2)+1</f>
        <v>46433</v>
      </c>
      <c r="L49" s="31" t="n">
        <f aca="false">J49</f>
        <v>46435</v>
      </c>
      <c r="M49" s="26" t="n">
        <f aca="false">INDEX(LR_Target,MATCH(B49,LR_Lane,0))</f>
        <v>2</v>
      </c>
      <c r="N49" s="31" t="n">
        <f aca="false">WORKDAY.INTL(L49,M49,INDEX(LR_Code,MATCH(B49,LR_Lane,0)),INDEX(DH_Table,0,MATCH(B49&amp;"*",DH_Head,0)))</f>
        <v>46439</v>
      </c>
      <c r="O49" s="35" t="n">
        <f aca="false">IF(W49&lt;&gt;"",W49,IF(U49="Helmond",IF(COUNTIFS(RC_Lane,B49,RC_Band,E49,RC_Transit,"&lt;&gt;")=0,"",SUMIFS(RC_Transit,RC_Lane,B49,RC_Band,E49)),IF(U49="Other","",IF(INDEX(RS_Transit,MATCH(B49,RS_Lane,0))="","",INDEX(RS_Transit,MATCH(B49,RS_Lane,0))))))</f>
        <v>3</v>
      </c>
      <c r="P49" s="36"/>
      <c r="Q49" s="31" t="n">
        <f aca="false">IF(P49&lt;&gt;"",P49,IF(O49="","",WORKDAY.INTL(L49,ROUNDUP(O49,0),INDEX(LR_Code,MATCH(B49,LR_Lane,0)),INDEX(DH_Table,0,MATCH(B49&amp;"*",DH_Head,0)))))</f>
        <v>46440</v>
      </c>
      <c r="R49" s="37" t="str">
        <f aca="false">IF(Q49="","",IF(Q49&lt;=N49,"Yes","No"))</f>
        <v>No</v>
      </c>
      <c r="S49" s="26" t="n">
        <f aca="false">IF(Q49="","",IF(Q49&lt;=N49,0,NETWORKDAYS.INTL(N49,Q49,INDEX(LR_Code,MATCH(B49,LR_Lane,0)),INDEX(DH_Table,0,MATCH(B49&amp;"*",DH_Head,0)))-1))</f>
        <v>1</v>
      </c>
      <c r="T49" s="4"/>
      <c r="U49" s="25" t="str">
        <f aca="false">IF(V49&lt;&gt;"",V49,IF(IFERROR(INDEX(RS_Flag,MATCH(B49,RS_Lane,0)),"")="Yes",IF(IFERROR(INDEX(RS_Loc,MATCH(B49,RS_Lane,0)),"")="","Regional stock",IFERROR(INDEX(RS_Loc,MATCH(B49,RS_Lane,0)),"")),"Helmond"))</f>
        <v>Helmond</v>
      </c>
      <c r="V49" s="17"/>
      <c r="W49" s="38"/>
      <c r="X49" s="39"/>
      <c r="Y49" s="40" t="n">
        <f aca="false">IF(X49&lt;&gt;"",X49,IF(U49="Helmond",IF(COUNTIFS(RC_Lane,B49,RC_Band,E49,RC_CostPS,"&gt;0")=0,"",SUMIFS(RC_CostPS,RC_Lane,B49,RC_Band,E49)*(1-SUMIFS(RC_Disc,RC_Lane,B49,RC_Band,E49))),IF(U49="Other","",IF(INDEX(RS_Rate,MATCH(B49,RS_Lane,0))="","",INDEX(RS_Rate,MATCH(B49,RS_Lane,0))))))</f>
        <v>1271.20393</v>
      </c>
    </row>
    <row r="50" customFormat="false" ht="15" hidden="false" customHeight="false" outlineLevel="0" collapsed="false">
      <c r="A50" s="3" t="s">
        <v>459</v>
      </c>
      <c r="B50" s="25" t="s">
        <v>117</v>
      </c>
      <c r="C50" s="8" t="s">
        <v>118</v>
      </c>
      <c r="D50" s="8" t="s">
        <v>154</v>
      </c>
      <c r="E50" s="8" t="s">
        <v>180</v>
      </c>
      <c r="F50" s="19" t="n">
        <v>49.1</v>
      </c>
      <c r="G50" s="33" t="n">
        <f aca="false">F50*0.006477</f>
        <v>0.3180207</v>
      </c>
      <c r="H50" s="19" t="n">
        <f aca="false">F50*1.079436</f>
        <v>53.0003076</v>
      </c>
      <c r="I50" s="18" t="n">
        <f aca="false">MAX(1,ROUNDUP(G50/0.096,0))</f>
        <v>4</v>
      </c>
      <c r="J50" s="31" t="n">
        <v>46435</v>
      </c>
      <c r="K50" s="34" t="n">
        <f aca="false">J50-WEEKDAY(J50,2)+1</f>
        <v>46433</v>
      </c>
      <c r="L50" s="31" t="n">
        <f aca="false">J50</f>
        <v>46435</v>
      </c>
      <c r="M50" s="26" t="n">
        <f aca="false">INDEX(LR_Target,MATCH(B50,LR_Lane,0))</f>
        <v>2</v>
      </c>
      <c r="N50" s="31" t="n">
        <f aca="false">WORKDAY.INTL(L50,M50,INDEX(LR_Code,MATCH(B50,LR_Lane,0)),INDEX(DH_Table,0,MATCH(B50&amp;"*",DH_Head,0)))</f>
        <v>46439</v>
      </c>
      <c r="O50" s="35" t="n">
        <f aca="false">IF(W50&lt;&gt;"",W50,IF(U50="Helmond",IF(COUNTIFS(RC_Lane,B50,RC_Band,E50,RC_Transit,"&lt;&gt;")=0,"",SUMIFS(RC_Transit,RC_Lane,B50,RC_Band,E50)),IF(U50="Other","",IF(INDEX(RS_Transit,MATCH(B50,RS_Lane,0))="","",INDEX(RS_Transit,MATCH(B50,RS_Lane,0))))))</f>
        <v>2</v>
      </c>
      <c r="P50" s="36"/>
      <c r="Q50" s="31" t="n">
        <f aca="false">IF(P50&lt;&gt;"",P50,IF(O50="","",WORKDAY.INTL(L50,ROUNDUP(O50,0),INDEX(LR_Code,MATCH(B50,LR_Lane,0)),INDEX(DH_Table,0,MATCH(B50&amp;"*",DH_Head,0)))))</f>
        <v>46439</v>
      </c>
      <c r="R50" s="37" t="str">
        <f aca="false">IF(Q50="","",IF(Q50&lt;=N50,"Yes","No"))</f>
        <v>Yes</v>
      </c>
      <c r="S50" s="26" t="n">
        <f aca="false">IF(Q50="","",IF(Q50&lt;=N50,0,NETWORKDAYS.INTL(N50,Q50,INDEX(LR_Code,MATCH(B50,LR_Lane,0)),INDEX(DH_Table,0,MATCH(B50&amp;"*",DH_Head,0)))-1))</f>
        <v>0</v>
      </c>
      <c r="T50" s="4"/>
      <c r="U50" s="25" t="str">
        <f aca="false">IF(V50&lt;&gt;"",V50,IF(IFERROR(INDEX(RS_Flag,MATCH(B50,RS_Lane,0)),"")="Yes",IF(IFERROR(INDEX(RS_Loc,MATCH(B50,RS_Lane,0)),"")="","Regional stock",IFERROR(INDEX(RS_Loc,MATCH(B50,RS_Lane,0)),"")),"Helmond"))</f>
        <v>Helmond</v>
      </c>
      <c r="V50" s="17"/>
      <c r="W50" s="38"/>
      <c r="X50" s="39"/>
      <c r="Y50" s="40" t="n">
        <f aca="false">IF(X50&lt;&gt;"",X50,IF(U50="Helmond",IF(COUNTIFS(RC_Lane,B50,RC_Band,E50,RC_CostPS,"&gt;0")=0,"",SUMIFS(RC_CostPS,RC_Lane,B50,RC_Band,E50)*(1-SUMIFS(RC_Disc,RC_Lane,B50,RC_Band,E50))),IF(U50="Other","",IF(INDEX(RS_Rate,MATCH(B50,RS_Lane,0))="","",INDEX(RS_Rate,MATCH(B50,RS_Lane,0))))))</f>
        <v>154.40768</v>
      </c>
    </row>
    <row r="51" customFormat="false" ht="15" hidden="false" customHeight="false" outlineLevel="0" collapsed="false">
      <c r="A51" s="3" t="s">
        <v>460</v>
      </c>
      <c r="B51" s="25" t="s">
        <v>108</v>
      </c>
      <c r="C51" s="8" t="s">
        <v>109</v>
      </c>
      <c r="D51" s="8" t="s">
        <v>270</v>
      </c>
      <c r="E51" s="8" t="s">
        <v>180</v>
      </c>
      <c r="F51" s="19" t="n">
        <v>65.9</v>
      </c>
      <c r="G51" s="33" t="n">
        <f aca="false">F51*0.006477</f>
        <v>0.4268343</v>
      </c>
      <c r="H51" s="19" t="n">
        <f aca="false">F51*1.079436</f>
        <v>71.1348324</v>
      </c>
      <c r="I51" s="18" t="n">
        <f aca="false">MAX(1,ROUNDUP(G51/0.096,0))</f>
        <v>5</v>
      </c>
      <c r="J51" s="31" t="n">
        <v>46436</v>
      </c>
      <c r="K51" s="34" t="n">
        <f aca="false">J51-WEEKDAY(J51,2)+1</f>
        <v>46433</v>
      </c>
      <c r="L51" s="31" t="n">
        <f aca="false">J51</f>
        <v>46436</v>
      </c>
      <c r="M51" s="26" t="n">
        <f aca="false">INDEX(LR_Target,MATCH(B51,LR_Lane,0))</f>
        <v>2</v>
      </c>
      <c r="N51" s="31" t="n">
        <f aca="false">WORKDAY.INTL(L51,M51,INDEX(LR_Code,MATCH(B51,LR_Lane,0)),INDEX(DH_Table,0,MATCH(B51&amp;"*",DH_Head,0)))</f>
        <v>46441</v>
      </c>
      <c r="O51" s="35" t="n">
        <f aca="false">IF(W51&lt;&gt;"",W51,IF(U51="Helmond",IF(COUNTIFS(RC_Lane,B51,RC_Band,E51,RC_Transit,"&lt;&gt;")=0,"",SUMIFS(RC_Transit,RC_Lane,B51,RC_Band,E51)),IF(U51="Other","",IF(INDEX(RS_Transit,MATCH(B51,RS_Lane,0))="","",INDEX(RS_Transit,MATCH(B51,RS_Lane,0))))))</f>
        <v>2</v>
      </c>
      <c r="P51" s="36"/>
      <c r="Q51" s="31" t="n">
        <f aca="false">IF(P51&lt;&gt;"",P51,IF(O51="","",WORKDAY.INTL(L51,ROUNDUP(O51,0),INDEX(LR_Code,MATCH(B51,LR_Lane,0)),INDEX(DH_Table,0,MATCH(B51&amp;"*",DH_Head,0)))))</f>
        <v>46441</v>
      </c>
      <c r="R51" s="37" t="str">
        <f aca="false">IF(Q51="","",IF(Q51&lt;=N51,"Yes","No"))</f>
        <v>Yes</v>
      </c>
      <c r="S51" s="26" t="n">
        <f aca="false">IF(Q51="","",IF(Q51&lt;=N51,0,NETWORKDAYS.INTL(N51,Q51,INDEX(LR_Code,MATCH(B51,LR_Lane,0)),INDEX(DH_Table,0,MATCH(B51&amp;"*",DH_Head,0)))-1))</f>
        <v>0</v>
      </c>
      <c r="T51" s="4"/>
      <c r="U51" s="25" t="str">
        <f aca="false">IF(V51&lt;&gt;"",V51,IF(IFERROR(INDEX(RS_Flag,MATCH(B51,RS_Lane,0)),"")="Yes",IF(IFERROR(INDEX(RS_Loc,MATCH(B51,RS_Lane,0)),"")="","Regional stock",IFERROR(INDEX(RS_Loc,MATCH(B51,RS_Lane,0)),"")),"Helmond"))</f>
        <v>Helmond</v>
      </c>
      <c r="V51" s="17"/>
      <c r="W51" s="38"/>
      <c r="X51" s="39"/>
      <c r="Y51" s="40" t="n">
        <f aca="false">IF(X51&lt;&gt;"",X51,IF(U51="Helmond",IF(COUNTIFS(RC_Lane,B51,RC_Band,E51,RC_CostPS,"&gt;0")=0,"",SUMIFS(RC_CostPS,RC_Lane,B51,RC_Band,E51)*(1-SUMIFS(RC_Disc,RC_Lane,B51,RC_Band,E51))),IF(U51="Other","",IF(INDEX(RS_Rate,MATCH(B51,RS_Lane,0))="","",INDEX(RS_Rate,MATCH(B51,RS_Lane,0))))))</f>
        <v>284.98176</v>
      </c>
    </row>
    <row r="52" customFormat="false" ht="15" hidden="false" customHeight="false" outlineLevel="0" collapsed="false">
      <c r="A52" s="3" t="s">
        <v>461</v>
      </c>
      <c r="B52" s="25" t="s">
        <v>108</v>
      </c>
      <c r="C52" s="8" t="s">
        <v>109</v>
      </c>
      <c r="D52" s="8" t="s">
        <v>272</v>
      </c>
      <c r="E52" s="8" t="s">
        <v>178</v>
      </c>
      <c r="F52" s="19" t="n">
        <v>3.3</v>
      </c>
      <c r="G52" s="33" t="n">
        <f aca="false">F52*0.006477</f>
        <v>0.0213741</v>
      </c>
      <c r="H52" s="19" t="n">
        <f aca="false">F52*1.079436</f>
        <v>3.5621388</v>
      </c>
      <c r="I52" s="18" t="n">
        <f aca="false">MAX(1,ROUNDUP(G52/0.096,0))</f>
        <v>1</v>
      </c>
      <c r="J52" s="31" t="n">
        <v>46436</v>
      </c>
      <c r="K52" s="34" t="n">
        <f aca="false">J52-WEEKDAY(J52,2)+1</f>
        <v>46433</v>
      </c>
      <c r="L52" s="31" t="n">
        <f aca="false">J52</f>
        <v>46436</v>
      </c>
      <c r="M52" s="26" t="n">
        <f aca="false">INDEX(LR_Target,MATCH(B52,LR_Lane,0))</f>
        <v>2</v>
      </c>
      <c r="N52" s="31" t="n">
        <f aca="false">WORKDAY.INTL(L52,M52,INDEX(LR_Code,MATCH(B52,LR_Lane,0)),INDEX(DH_Table,0,MATCH(B52&amp;"*",DH_Head,0)))</f>
        <v>46441</v>
      </c>
      <c r="O52" s="35" t="n">
        <f aca="false">IF(W52&lt;&gt;"",W52,IF(U52="Helmond",IF(COUNTIFS(RC_Lane,B52,RC_Band,E52,RC_Transit,"&lt;&gt;")=0,"",SUMIFS(RC_Transit,RC_Lane,B52,RC_Band,E52)),IF(U52="Other","",IF(INDEX(RS_Transit,MATCH(B52,RS_Lane,0))="","",INDEX(RS_Transit,MATCH(B52,RS_Lane,0))))))</f>
        <v>1</v>
      </c>
      <c r="P52" s="36"/>
      <c r="Q52" s="31" t="n">
        <f aca="false">IF(P52&lt;&gt;"",P52,IF(O52="","",WORKDAY.INTL(L52,ROUNDUP(O52,0),INDEX(LR_Code,MATCH(B52,LR_Lane,0)),INDEX(DH_Table,0,MATCH(B52&amp;"*",DH_Head,0)))))</f>
        <v>46439</v>
      </c>
      <c r="R52" s="37" t="str">
        <f aca="false">IF(Q52="","",IF(Q52&lt;=N52,"Yes","No"))</f>
        <v>Yes</v>
      </c>
      <c r="S52" s="26" t="n">
        <f aca="false">IF(Q52="","",IF(Q52&lt;=N52,0,NETWORKDAYS.INTL(N52,Q52,INDEX(LR_Code,MATCH(B52,LR_Lane,0)),INDEX(DH_Table,0,MATCH(B52&amp;"*",DH_Head,0)))-1))</f>
        <v>0</v>
      </c>
      <c r="T52" s="4"/>
      <c r="U52" s="25" t="str">
        <f aca="false">IF(V52&lt;&gt;"",V52,IF(IFERROR(INDEX(RS_Flag,MATCH(B52,RS_Lane,0)),"")="Yes",IF(IFERROR(INDEX(RS_Loc,MATCH(B52,RS_Lane,0)),"")="","Regional stock",IFERROR(INDEX(RS_Loc,MATCH(B52,RS_Lane,0)),"")),"Helmond"))</f>
        <v>Helmond</v>
      </c>
      <c r="V52" s="17"/>
      <c r="W52" s="38"/>
      <c r="X52" s="39"/>
      <c r="Y52" s="40" t="n">
        <f aca="false">IF(X52&lt;&gt;"",X52,IF(U52="Helmond",IF(COUNTIFS(RC_Lane,B52,RC_Band,E52,RC_CostPS,"&gt;0")=0,"",SUMIFS(RC_CostPS,RC_Lane,B52,RC_Band,E52)*(1-SUMIFS(RC_Disc,RC_Lane,B52,RC_Band,E52))),IF(U52="Other","",IF(INDEX(RS_Rate,MATCH(B52,RS_Lane,0))="","",INDEX(RS_Rate,MATCH(B52,RS_Lane,0))))))</f>
        <v>72.485</v>
      </c>
    </row>
    <row r="53" customFormat="false" ht="15" hidden="false" customHeight="false" outlineLevel="0" collapsed="false">
      <c r="A53" s="3" t="s">
        <v>462</v>
      </c>
      <c r="B53" s="25" t="s">
        <v>119</v>
      </c>
      <c r="C53" s="8" t="s">
        <v>120</v>
      </c>
      <c r="D53" s="8" t="s">
        <v>155</v>
      </c>
      <c r="E53" s="8" t="s">
        <v>182</v>
      </c>
      <c r="F53" s="19" t="n">
        <v>346.9</v>
      </c>
      <c r="G53" s="33" t="n">
        <f aca="false">F53*0.006477</f>
        <v>2.2468713</v>
      </c>
      <c r="H53" s="19" t="n">
        <f aca="false">F53*1.079436</f>
        <v>374.4563484</v>
      </c>
      <c r="I53" s="18" t="n">
        <f aca="false">MAX(1,ROUNDUP(G53/0.096,0))</f>
        <v>24</v>
      </c>
      <c r="J53" s="31" t="n">
        <v>46437</v>
      </c>
      <c r="K53" s="34" t="n">
        <f aca="false">J53-WEEKDAY(J53,2)+1</f>
        <v>46433</v>
      </c>
      <c r="L53" s="31" t="n">
        <f aca="false">J53</f>
        <v>46437</v>
      </c>
      <c r="M53" s="26" t="n">
        <f aca="false">INDEX(LR_Target,MATCH(B53,LR_Lane,0))</f>
        <v>3</v>
      </c>
      <c r="N53" s="31" t="n">
        <f aca="false">WORKDAY.INTL(L53,M53,INDEX(LR_Code,MATCH(B53,LR_Lane,0)),INDEX(DH_Table,0,MATCH(B53&amp;"*",DH_Head,0)))</f>
        <v>46442</v>
      </c>
      <c r="O53" s="35" t="n">
        <f aca="false">IF(W53&lt;&gt;"",W53,IF(U53="Helmond",IF(COUNTIFS(RC_Lane,B53,RC_Band,E53,RC_Transit,"&lt;&gt;")=0,"",SUMIFS(RC_Transit,RC_Lane,B53,RC_Band,E53)),IF(U53="Other","",IF(INDEX(RS_Transit,MATCH(B53,RS_Lane,0))="","",INDEX(RS_Transit,MATCH(B53,RS_Lane,0))))))</f>
        <v>3</v>
      </c>
      <c r="P53" s="36"/>
      <c r="Q53" s="31" t="n">
        <f aca="false">IF(P53&lt;&gt;"",P53,IF(O53="","",WORKDAY.INTL(L53,ROUNDUP(O53,0),INDEX(LR_Code,MATCH(B53,LR_Lane,0)),INDEX(DH_Table,0,MATCH(B53&amp;"*",DH_Head,0)))))</f>
        <v>46442</v>
      </c>
      <c r="R53" s="37" t="str">
        <f aca="false">IF(Q53="","",IF(Q53&lt;=N53,"Yes","No"))</f>
        <v>Yes</v>
      </c>
      <c r="S53" s="26" t="n">
        <f aca="false">IF(Q53="","",IF(Q53&lt;=N53,0,NETWORKDAYS.INTL(N53,Q53,INDEX(LR_Code,MATCH(B53,LR_Lane,0)),INDEX(DH_Table,0,MATCH(B53&amp;"*",DH_Head,0)))-1))</f>
        <v>0</v>
      </c>
      <c r="T53" s="4"/>
      <c r="U53" s="25" t="str">
        <f aca="false">IF(V53&lt;&gt;"",V53,IF(IFERROR(INDEX(RS_Flag,MATCH(B53,RS_Lane,0)),"")="Yes",IF(IFERROR(INDEX(RS_Loc,MATCH(B53,RS_Lane,0)),"")="","Regional stock",IFERROR(INDEX(RS_Loc,MATCH(B53,RS_Lane,0)),"")),"Helmond"))</f>
        <v>Helmond</v>
      </c>
      <c r="V53" s="17"/>
      <c r="W53" s="38"/>
      <c r="X53" s="39"/>
      <c r="Y53" s="40" t="n">
        <f aca="false">IF(X53&lt;&gt;"",X53,IF(U53="Helmond",IF(COUNTIFS(RC_Lane,B53,RC_Band,E53,RC_CostPS,"&gt;0")=0,"",SUMIFS(RC_CostPS,RC_Lane,B53,RC_Band,E53)*(1-SUMIFS(RC_Disc,RC_Lane,B53,RC_Band,E53))),IF(U53="Other","",IF(INDEX(RS_Rate,MATCH(B53,RS_Lane,0))="","",INDEX(RS_Rate,MATCH(B53,RS_Lane,0))))))</f>
        <v>1400.35434</v>
      </c>
    </row>
    <row r="54" customFormat="false" ht="15" hidden="false" customHeight="false" outlineLevel="0" collapsed="false">
      <c r="A54" s="3" t="s">
        <v>463</v>
      </c>
      <c r="B54" s="25" t="s">
        <v>108</v>
      </c>
      <c r="C54" s="8" t="s">
        <v>109</v>
      </c>
      <c r="D54" s="8" t="s">
        <v>272</v>
      </c>
      <c r="E54" s="8" t="s">
        <v>182</v>
      </c>
      <c r="F54" s="19" t="n">
        <v>268.7</v>
      </c>
      <c r="G54" s="33" t="n">
        <f aca="false">F54*0.006477</f>
        <v>1.7403699</v>
      </c>
      <c r="H54" s="19" t="n">
        <f aca="false">F54*1.079436</f>
        <v>290.0444532</v>
      </c>
      <c r="I54" s="18" t="n">
        <f aca="false">MAX(1,ROUNDUP(G54/0.096,0))</f>
        <v>19</v>
      </c>
      <c r="J54" s="31" t="n">
        <v>46440</v>
      </c>
      <c r="K54" s="34" t="n">
        <f aca="false">J54-WEEKDAY(J54,2)+1</f>
        <v>46440</v>
      </c>
      <c r="L54" s="31" t="n">
        <f aca="false">J54</f>
        <v>46440</v>
      </c>
      <c r="M54" s="26" t="n">
        <f aca="false">INDEX(LR_Target,MATCH(B54,LR_Lane,0))</f>
        <v>2</v>
      </c>
      <c r="N54" s="31" t="n">
        <f aca="false">WORKDAY.INTL(L54,M54,INDEX(LR_Code,MATCH(B54,LR_Lane,0)),INDEX(DH_Table,0,MATCH(B54&amp;"*",DH_Head,0)))</f>
        <v>46442</v>
      </c>
      <c r="O54" s="35" t="n">
        <f aca="false">IF(W54&lt;&gt;"",W54,IF(U54="Helmond",IF(COUNTIFS(RC_Lane,B54,RC_Band,E54,RC_Transit,"&lt;&gt;")=0,"",SUMIFS(RC_Transit,RC_Lane,B54,RC_Band,E54)),IF(U54="Other","",IF(INDEX(RS_Transit,MATCH(B54,RS_Lane,0))="","",INDEX(RS_Transit,MATCH(B54,RS_Lane,0))))))</f>
        <v>3</v>
      </c>
      <c r="P54" s="36"/>
      <c r="Q54" s="31" t="n">
        <f aca="false">IF(P54&lt;&gt;"",P54,IF(O54="","",WORKDAY.INTL(L54,ROUNDUP(O54,0),INDEX(LR_Code,MATCH(B54,LR_Lane,0)),INDEX(DH_Table,0,MATCH(B54&amp;"*",DH_Head,0)))))</f>
        <v>46443</v>
      </c>
      <c r="R54" s="37" t="str">
        <f aca="false">IF(Q54="","",IF(Q54&lt;=N54,"Yes","No"))</f>
        <v>No</v>
      </c>
      <c r="S54" s="26" t="n">
        <f aca="false">IF(Q54="","",IF(Q54&lt;=N54,0,NETWORKDAYS.INTL(N54,Q54,INDEX(LR_Code,MATCH(B54,LR_Lane,0)),INDEX(DH_Table,0,MATCH(B54&amp;"*",DH_Head,0)))-1))</f>
        <v>1</v>
      </c>
      <c r="T54" s="4"/>
      <c r="U54" s="25" t="str">
        <f aca="false">IF(V54&lt;&gt;"",V54,IF(IFERROR(INDEX(RS_Flag,MATCH(B54,RS_Lane,0)),"")="Yes",IF(IFERROR(INDEX(RS_Loc,MATCH(B54,RS_Lane,0)),"")="","Regional stock",IFERROR(INDEX(RS_Loc,MATCH(B54,RS_Lane,0)),"")),"Helmond"))</f>
        <v>Helmond</v>
      </c>
      <c r="V54" s="17"/>
      <c r="W54" s="38"/>
      <c r="X54" s="39"/>
      <c r="Y54" s="40" t="n">
        <f aca="false">IF(X54&lt;&gt;"",X54,IF(U54="Helmond",IF(COUNTIFS(RC_Lane,B54,RC_Band,E54,RC_CostPS,"&gt;0")=0,"",SUMIFS(RC_CostPS,RC_Lane,B54,RC_Band,E54)*(1-SUMIFS(RC_Disc,RC_Lane,B54,RC_Band,E54))),IF(U54="Other","",IF(INDEX(RS_Rate,MATCH(B54,RS_Lane,0))="","",INDEX(RS_Rate,MATCH(B54,RS_Lane,0))))))</f>
        <v>1009.7531</v>
      </c>
    </row>
    <row r="55" customFormat="false" ht="15" hidden="false" customHeight="false" outlineLevel="0" collapsed="false">
      <c r="A55" s="3" t="s">
        <v>464</v>
      </c>
      <c r="B55" s="25" t="s">
        <v>112</v>
      </c>
      <c r="C55" s="8" t="s">
        <v>113</v>
      </c>
      <c r="D55" s="8" t="s">
        <v>152</v>
      </c>
      <c r="E55" s="8" t="s">
        <v>178</v>
      </c>
      <c r="F55" s="19" t="n">
        <v>10.7</v>
      </c>
      <c r="G55" s="33" t="n">
        <f aca="false">F55*0.006477</f>
        <v>0.0693039</v>
      </c>
      <c r="H55" s="19" t="n">
        <f aca="false">F55*1.079436</f>
        <v>11.5499652</v>
      </c>
      <c r="I55" s="18" t="n">
        <f aca="false">MAX(1,ROUNDUP(G55/0.096,0))</f>
        <v>1</v>
      </c>
      <c r="J55" s="31" t="n">
        <v>46440</v>
      </c>
      <c r="K55" s="34" t="n">
        <f aca="false">J55-WEEKDAY(J55,2)+1</f>
        <v>46440</v>
      </c>
      <c r="L55" s="31" t="n">
        <f aca="false">J55</f>
        <v>46440</v>
      </c>
      <c r="M55" s="26" t="n">
        <f aca="false">INDEX(LR_Target,MATCH(B55,LR_Lane,0))</f>
        <v>2</v>
      </c>
      <c r="N55" s="31" t="n">
        <f aca="false">WORKDAY.INTL(L55,M55,INDEX(LR_Code,MATCH(B55,LR_Lane,0)),INDEX(DH_Table,0,MATCH(B55&amp;"*",DH_Head,0)))</f>
        <v>46442</v>
      </c>
      <c r="O55" s="35" t="n">
        <f aca="false">IF(W55&lt;&gt;"",W55,IF(U55="Helmond",IF(COUNTIFS(RC_Lane,B55,RC_Band,E55,RC_Transit,"&lt;&gt;")=0,"",SUMIFS(RC_Transit,RC_Lane,B55,RC_Band,E55)),IF(U55="Other","",IF(INDEX(RS_Transit,MATCH(B55,RS_Lane,0))="","",INDEX(RS_Transit,MATCH(B55,RS_Lane,0))))))</f>
        <v>1</v>
      </c>
      <c r="P55" s="36"/>
      <c r="Q55" s="31" t="n">
        <f aca="false">IF(P55&lt;&gt;"",P55,IF(O55="","",WORKDAY.INTL(L55,ROUNDUP(O55,0),INDEX(LR_Code,MATCH(B55,LR_Lane,0)),INDEX(DH_Table,0,MATCH(B55&amp;"*",DH_Head,0)))))</f>
        <v>46441</v>
      </c>
      <c r="R55" s="37" t="str">
        <f aca="false">IF(Q55="","",IF(Q55&lt;=N55,"Yes","No"))</f>
        <v>Yes</v>
      </c>
      <c r="S55" s="26" t="n">
        <f aca="false">IF(Q55="","",IF(Q55&lt;=N55,0,NETWORKDAYS.INTL(N55,Q55,INDEX(LR_Code,MATCH(B55,LR_Lane,0)),INDEX(DH_Table,0,MATCH(B55&amp;"*",DH_Head,0)))-1))</f>
        <v>0</v>
      </c>
      <c r="T55" s="4"/>
      <c r="U55" s="25" t="str">
        <f aca="false">IF(V55&lt;&gt;"",V55,IF(IFERROR(INDEX(RS_Flag,MATCH(B55,RS_Lane,0)),"")="Yes",IF(IFERROR(INDEX(RS_Loc,MATCH(B55,RS_Lane,0)),"")="","Regional stock",IFERROR(INDEX(RS_Loc,MATCH(B55,RS_Lane,0)),"")),"Helmond"))</f>
        <v>Helmond</v>
      </c>
      <c r="V55" s="17"/>
      <c r="W55" s="38"/>
      <c r="X55" s="39"/>
      <c r="Y55" s="40" t="n">
        <f aca="false">IF(X55&lt;&gt;"",X55,IF(U55="Helmond",IF(COUNTIFS(RC_Lane,B55,RC_Band,E55,RC_CostPS,"&gt;0")=0,"",SUMIFS(RC_CostPS,RC_Lane,B55,RC_Band,E55)*(1-SUMIFS(RC_Disc,RC_Lane,B55,RC_Band,E55))),IF(U55="Other","",IF(INDEX(RS_Rate,MATCH(B55,RS_Lane,0))="","",INDEX(RS_Rate,MATCH(B55,RS_Lane,0))))))</f>
        <v>72.485</v>
      </c>
    </row>
    <row r="56" customFormat="false" ht="15" hidden="false" customHeight="false" outlineLevel="0" collapsed="false">
      <c r="A56" s="3" t="s">
        <v>465</v>
      </c>
      <c r="B56" s="25" t="s">
        <v>115</v>
      </c>
      <c r="C56" s="8" t="s">
        <v>116</v>
      </c>
      <c r="D56" s="8" t="s">
        <v>153</v>
      </c>
      <c r="E56" s="8" t="s">
        <v>178</v>
      </c>
      <c r="F56" s="19" t="n">
        <v>6.2</v>
      </c>
      <c r="G56" s="33" t="n">
        <f aca="false">F56*0.006477</f>
        <v>0.0401574</v>
      </c>
      <c r="H56" s="19" t="n">
        <f aca="false">F56*1.079436</f>
        <v>6.6925032</v>
      </c>
      <c r="I56" s="18" t="n">
        <f aca="false">MAX(1,ROUNDUP(G56/0.096,0))</f>
        <v>1</v>
      </c>
      <c r="J56" s="31" t="n">
        <v>46441</v>
      </c>
      <c r="K56" s="34" t="n">
        <f aca="false">J56-WEEKDAY(J56,2)+1</f>
        <v>46440</v>
      </c>
      <c r="L56" s="31" t="n">
        <f aca="false">J56</f>
        <v>46441</v>
      </c>
      <c r="M56" s="26" t="n">
        <f aca="false">INDEX(LR_Target,MATCH(B56,LR_Lane,0))</f>
        <v>2</v>
      </c>
      <c r="N56" s="31" t="n">
        <f aca="false">WORKDAY.INTL(L56,M56,INDEX(LR_Code,MATCH(B56,LR_Lane,0)),INDEX(DH_Table,0,MATCH(B56&amp;"*",DH_Head,0)))</f>
        <v>46446</v>
      </c>
      <c r="O56" s="35" t="n">
        <f aca="false">IF(W56&lt;&gt;"",W56,IF(U56="Helmond",IF(COUNTIFS(RC_Lane,B56,RC_Band,E56,RC_Transit,"&lt;&gt;")=0,"",SUMIFS(RC_Transit,RC_Lane,B56,RC_Band,E56)),IF(U56="Other","",IF(INDEX(RS_Transit,MATCH(B56,RS_Lane,0))="","",INDEX(RS_Transit,MATCH(B56,RS_Lane,0))))))</f>
        <v>1</v>
      </c>
      <c r="P56" s="36"/>
      <c r="Q56" s="31" t="n">
        <f aca="false">IF(P56&lt;&gt;"",P56,IF(O56="","",WORKDAY.INTL(L56,ROUNDUP(O56,0),INDEX(LR_Code,MATCH(B56,LR_Lane,0)),INDEX(DH_Table,0,MATCH(B56&amp;"*",DH_Head,0)))))</f>
        <v>46442</v>
      </c>
      <c r="R56" s="37" t="str">
        <f aca="false">IF(Q56="","",IF(Q56&lt;=N56,"Yes","No"))</f>
        <v>Yes</v>
      </c>
      <c r="S56" s="26" t="n">
        <f aca="false">IF(Q56="","",IF(Q56&lt;=N56,0,NETWORKDAYS.INTL(N56,Q56,INDEX(LR_Code,MATCH(B56,LR_Lane,0)),INDEX(DH_Table,0,MATCH(B56&amp;"*",DH_Head,0)))-1))</f>
        <v>0</v>
      </c>
      <c r="T56" s="4"/>
      <c r="U56" s="25" t="str">
        <f aca="false">IF(V56&lt;&gt;"",V56,IF(IFERROR(INDEX(RS_Flag,MATCH(B56,RS_Lane,0)),"")="Yes",IF(IFERROR(INDEX(RS_Loc,MATCH(B56,RS_Lane,0)),"")="","Regional stock",IFERROR(INDEX(RS_Loc,MATCH(B56,RS_Lane,0)),"")),"Helmond"))</f>
        <v>Helmond</v>
      </c>
      <c r="V56" s="17"/>
      <c r="W56" s="38"/>
      <c r="X56" s="39"/>
      <c r="Y56" s="40" t="n">
        <f aca="false">IF(X56&lt;&gt;"",X56,IF(U56="Helmond",IF(COUNTIFS(RC_Lane,B56,RC_Band,E56,RC_CostPS,"&gt;0")=0,"",SUMIFS(RC_CostPS,RC_Lane,B56,RC_Band,E56)*(1-SUMIFS(RC_Disc,RC_Lane,B56,RC_Band,E56))),IF(U56="Other","",IF(INDEX(RS_Rate,MATCH(B56,RS_Lane,0))="","",INDEX(RS_Rate,MATCH(B56,RS_Lane,0))))))</f>
        <v>72.485</v>
      </c>
    </row>
    <row r="57" customFormat="false" ht="15" hidden="false" customHeight="false" outlineLevel="0" collapsed="false">
      <c r="A57" s="3" t="s">
        <v>466</v>
      </c>
      <c r="B57" s="25" t="s">
        <v>119</v>
      </c>
      <c r="C57" s="8" t="s">
        <v>120</v>
      </c>
      <c r="D57" s="8" t="s">
        <v>155</v>
      </c>
      <c r="E57" s="8" t="s">
        <v>182</v>
      </c>
      <c r="F57" s="19" t="n">
        <v>309.4</v>
      </c>
      <c r="G57" s="33" t="n">
        <f aca="false">F57*0.006477</f>
        <v>2.0039838</v>
      </c>
      <c r="H57" s="19" t="n">
        <f aca="false">F57*1.079436</f>
        <v>333.9774984</v>
      </c>
      <c r="I57" s="18" t="n">
        <f aca="false">MAX(1,ROUNDUP(G57/0.096,0))</f>
        <v>21</v>
      </c>
      <c r="J57" s="31" t="n">
        <v>46449</v>
      </c>
      <c r="K57" s="34" t="n">
        <f aca="false">J57-WEEKDAY(J57,2)+1</f>
        <v>46447</v>
      </c>
      <c r="L57" s="31" t="n">
        <f aca="false">J57</f>
        <v>46449</v>
      </c>
      <c r="M57" s="26" t="n">
        <f aca="false">INDEX(LR_Target,MATCH(B57,LR_Lane,0))</f>
        <v>3</v>
      </c>
      <c r="N57" s="31" t="n">
        <f aca="false">WORKDAY.INTL(L57,M57,INDEX(LR_Code,MATCH(B57,LR_Lane,0)),INDEX(DH_Table,0,MATCH(B57&amp;"*",DH_Head,0)))</f>
        <v>46454</v>
      </c>
      <c r="O57" s="35" t="n">
        <f aca="false">IF(W57&lt;&gt;"",W57,IF(U57="Helmond",IF(COUNTIFS(RC_Lane,B57,RC_Band,E57,RC_Transit,"&lt;&gt;")=0,"",SUMIFS(RC_Transit,RC_Lane,B57,RC_Band,E57)),IF(U57="Other","",IF(INDEX(RS_Transit,MATCH(B57,RS_Lane,0))="","",INDEX(RS_Transit,MATCH(B57,RS_Lane,0))))))</f>
        <v>3</v>
      </c>
      <c r="P57" s="36"/>
      <c r="Q57" s="31" t="n">
        <f aca="false">IF(P57&lt;&gt;"",P57,IF(O57="","",WORKDAY.INTL(L57,ROUNDUP(O57,0),INDEX(LR_Code,MATCH(B57,LR_Lane,0)),INDEX(DH_Table,0,MATCH(B57&amp;"*",DH_Head,0)))))</f>
        <v>46454</v>
      </c>
      <c r="R57" s="37" t="str">
        <f aca="false">IF(Q57="","",IF(Q57&lt;=N57,"Yes","No"))</f>
        <v>Yes</v>
      </c>
      <c r="S57" s="26" t="n">
        <f aca="false">IF(Q57="","",IF(Q57&lt;=N57,0,NETWORKDAYS.INTL(N57,Q57,INDEX(LR_Code,MATCH(B57,LR_Lane,0)),INDEX(DH_Table,0,MATCH(B57&amp;"*",DH_Head,0)))-1))</f>
        <v>0</v>
      </c>
      <c r="T57" s="4"/>
      <c r="U57" s="25" t="str">
        <f aca="false">IF(V57&lt;&gt;"",V57,IF(IFERROR(INDEX(RS_Flag,MATCH(B57,RS_Lane,0)),"")="Yes",IF(IFERROR(INDEX(RS_Loc,MATCH(B57,RS_Lane,0)),"")="","Regional stock",IFERROR(INDEX(RS_Loc,MATCH(B57,RS_Lane,0)),"")),"Helmond"))</f>
        <v>Helmond</v>
      </c>
      <c r="V57" s="17"/>
      <c r="W57" s="38"/>
      <c r="X57" s="39"/>
      <c r="Y57" s="40" t="n">
        <f aca="false">IF(X57&lt;&gt;"",X57,IF(U57="Helmond",IF(COUNTIFS(RC_Lane,B57,RC_Band,E57,RC_CostPS,"&gt;0")=0,"",SUMIFS(RC_CostPS,RC_Lane,B57,RC_Band,E57)*(1-SUMIFS(RC_Disc,RC_Lane,B57,RC_Band,E57))),IF(U57="Other","",IF(INDEX(RS_Rate,MATCH(B57,RS_Lane,0))="","",INDEX(RS_Rate,MATCH(B57,RS_Lane,0))))))</f>
        <v>1400.35434</v>
      </c>
    </row>
    <row r="58" customFormat="false" ht="15" hidden="false" customHeight="false" outlineLevel="0" collapsed="false">
      <c r="A58" s="3" t="s">
        <v>467</v>
      </c>
      <c r="B58" s="25" t="s">
        <v>112</v>
      </c>
      <c r="C58" s="8" t="s">
        <v>113</v>
      </c>
      <c r="D58" s="8" t="s">
        <v>152</v>
      </c>
      <c r="E58" s="8" t="s">
        <v>178</v>
      </c>
      <c r="F58" s="19" t="n">
        <v>4.4</v>
      </c>
      <c r="G58" s="33" t="n">
        <f aca="false">F58*0.006477</f>
        <v>0.0284988</v>
      </c>
      <c r="H58" s="19" t="n">
        <f aca="false">F58*1.079436</f>
        <v>4.7495184</v>
      </c>
      <c r="I58" s="18" t="n">
        <f aca="false">MAX(1,ROUNDUP(G58/0.096,0))</f>
        <v>1</v>
      </c>
      <c r="J58" s="31" t="n">
        <v>46450</v>
      </c>
      <c r="K58" s="34" t="n">
        <f aca="false">J58-WEEKDAY(J58,2)+1</f>
        <v>46447</v>
      </c>
      <c r="L58" s="31" t="n">
        <f aca="false">J58</f>
        <v>46450</v>
      </c>
      <c r="M58" s="26" t="n">
        <f aca="false">INDEX(LR_Target,MATCH(B58,LR_Lane,0))</f>
        <v>2</v>
      </c>
      <c r="N58" s="31" t="n">
        <f aca="false">WORKDAY.INTL(L58,M58,INDEX(LR_Code,MATCH(B58,LR_Lane,0)),INDEX(DH_Table,0,MATCH(B58&amp;"*",DH_Head,0)))</f>
        <v>46454</v>
      </c>
      <c r="O58" s="35" t="n">
        <f aca="false">IF(W58&lt;&gt;"",W58,IF(U58="Helmond",IF(COUNTIFS(RC_Lane,B58,RC_Band,E58,RC_Transit,"&lt;&gt;")=0,"",SUMIFS(RC_Transit,RC_Lane,B58,RC_Band,E58)),IF(U58="Other","",IF(INDEX(RS_Transit,MATCH(B58,RS_Lane,0))="","",INDEX(RS_Transit,MATCH(B58,RS_Lane,0))))))</f>
        <v>1</v>
      </c>
      <c r="P58" s="36"/>
      <c r="Q58" s="31" t="n">
        <f aca="false">IF(P58&lt;&gt;"",P58,IF(O58="","",WORKDAY.INTL(L58,ROUNDUP(O58,0),INDEX(LR_Code,MATCH(B58,LR_Lane,0)),INDEX(DH_Table,0,MATCH(B58&amp;"*",DH_Head,0)))))</f>
        <v>46451</v>
      </c>
      <c r="R58" s="37" t="str">
        <f aca="false">IF(Q58="","",IF(Q58&lt;=N58,"Yes","No"))</f>
        <v>Yes</v>
      </c>
      <c r="S58" s="26" t="n">
        <f aca="false">IF(Q58="","",IF(Q58&lt;=N58,0,NETWORKDAYS.INTL(N58,Q58,INDEX(LR_Code,MATCH(B58,LR_Lane,0)),INDEX(DH_Table,0,MATCH(B58&amp;"*",DH_Head,0)))-1))</f>
        <v>0</v>
      </c>
      <c r="T58" s="4"/>
      <c r="U58" s="25" t="str">
        <f aca="false">IF(V58&lt;&gt;"",V58,IF(IFERROR(INDEX(RS_Flag,MATCH(B58,RS_Lane,0)),"")="Yes",IF(IFERROR(INDEX(RS_Loc,MATCH(B58,RS_Lane,0)),"")="","Regional stock",IFERROR(INDEX(RS_Loc,MATCH(B58,RS_Lane,0)),"")),"Helmond"))</f>
        <v>Helmond</v>
      </c>
      <c r="V58" s="17"/>
      <c r="W58" s="38"/>
      <c r="X58" s="39"/>
      <c r="Y58" s="40" t="n">
        <f aca="false">IF(X58&lt;&gt;"",X58,IF(U58="Helmond",IF(COUNTIFS(RC_Lane,B58,RC_Band,E58,RC_CostPS,"&gt;0")=0,"",SUMIFS(RC_CostPS,RC_Lane,B58,RC_Band,E58)*(1-SUMIFS(RC_Disc,RC_Lane,B58,RC_Band,E58))),IF(U58="Other","",IF(INDEX(RS_Rate,MATCH(B58,RS_Lane,0))="","",INDEX(RS_Rate,MATCH(B58,RS_Lane,0))))))</f>
        <v>72.485</v>
      </c>
    </row>
    <row r="59" customFormat="false" ht="15" hidden="false" customHeight="false" outlineLevel="0" collapsed="false">
      <c r="A59" s="3" t="s">
        <v>468</v>
      </c>
      <c r="B59" s="25" t="s">
        <v>112</v>
      </c>
      <c r="C59" s="8" t="s">
        <v>113</v>
      </c>
      <c r="D59" s="8" t="s">
        <v>152</v>
      </c>
      <c r="E59" s="8" t="s">
        <v>178</v>
      </c>
      <c r="F59" s="19" t="n">
        <v>2.9</v>
      </c>
      <c r="G59" s="33" t="n">
        <f aca="false">F59*0.006477</f>
        <v>0.0187833</v>
      </c>
      <c r="H59" s="19" t="n">
        <f aca="false">F59*1.079436</f>
        <v>3.1303644</v>
      </c>
      <c r="I59" s="18" t="n">
        <f aca="false">MAX(1,ROUNDUP(G59/0.096,0))</f>
        <v>1</v>
      </c>
      <c r="J59" s="31" t="n">
        <v>46450</v>
      </c>
      <c r="K59" s="34" t="n">
        <f aca="false">J59-WEEKDAY(J59,2)+1</f>
        <v>46447</v>
      </c>
      <c r="L59" s="31" t="n">
        <f aca="false">J59</f>
        <v>46450</v>
      </c>
      <c r="M59" s="26" t="n">
        <f aca="false">INDEX(LR_Target,MATCH(B59,LR_Lane,0))</f>
        <v>2</v>
      </c>
      <c r="N59" s="31" t="n">
        <f aca="false">WORKDAY.INTL(L59,M59,INDEX(LR_Code,MATCH(B59,LR_Lane,0)),INDEX(DH_Table,0,MATCH(B59&amp;"*",DH_Head,0)))</f>
        <v>46454</v>
      </c>
      <c r="O59" s="35" t="n">
        <f aca="false">IF(W59&lt;&gt;"",W59,IF(U59="Helmond",IF(COUNTIFS(RC_Lane,B59,RC_Band,E59,RC_Transit,"&lt;&gt;")=0,"",SUMIFS(RC_Transit,RC_Lane,B59,RC_Band,E59)),IF(U59="Other","",IF(INDEX(RS_Transit,MATCH(B59,RS_Lane,0))="","",INDEX(RS_Transit,MATCH(B59,RS_Lane,0))))))</f>
        <v>1</v>
      </c>
      <c r="P59" s="36"/>
      <c r="Q59" s="31" t="n">
        <f aca="false">IF(P59&lt;&gt;"",P59,IF(O59="","",WORKDAY.INTL(L59,ROUNDUP(O59,0),INDEX(LR_Code,MATCH(B59,LR_Lane,0)),INDEX(DH_Table,0,MATCH(B59&amp;"*",DH_Head,0)))))</f>
        <v>46451</v>
      </c>
      <c r="R59" s="37" t="str">
        <f aca="false">IF(Q59="","",IF(Q59&lt;=N59,"Yes","No"))</f>
        <v>Yes</v>
      </c>
      <c r="S59" s="26" t="n">
        <f aca="false">IF(Q59="","",IF(Q59&lt;=N59,0,NETWORKDAYS.INTL(N59,Q59,INDEX(LR_Code,MATCH(B59,LR_Lane,0)),INDEX(DH_Table,0,MATCH(B59&amp;"*",DH_Head,0)))-1))</f>
        <v>0</v>
      </c>
      <c r="T59" s="4"/>
      <c r="U59" s="25" t="str">
        <f aca="false">IF(V59&lt;&gt;"",V59,IF(IFERROR(INDEX(RS_Flag,MATCH(B59,RS_Lane,0)),"")="Yes",IF(IFERROR(INDEX(RS_Loc,MATCH(B59,RS_Lane,0)),"")="","Regional stock",IFERROR(INDEX(RS_Loc,MATCH(B59,RS_Lane,0)),"")),"Helmond"))</f>
        <v>Helmond</v>
      </c>
      <c r="V59" s="17"/>
      <c r="W59" s="38"/>
      <c r="X59" s="39"/>
      <c r="Y59" s="40" t="n">
        <f aca="false">IF(X59&lt;&gt;"",X59,IF(U59="Helmond",IF(COUNTIFS(RC_Lane,B59,RC_Band,E59,RC_CostPS,"&gt;0")=0,"",SUMIFS(RC_CostPS,RC_Lane,B59,RC_Band,E59)*(1-SUMIFS(RC_Disc,RC_Lane,B59,RC_Band,E59))),IF(U59="Other","",IF(INDEX(RS_Rate,MATCH(B59,RS_Lane,0))="","",INDEX(RS_Rate,MATCH(B59,RS_Lane,0))))))</f>
        <v>72.485</v>
      </c>
    </row>
    <row r="60" customFormat="false" ht="15" hidden="false" customHeight="false" outlineLevel="0" collapsed="false">
      <c r="A60" s="3" t="s">
        <v>469</v>
      </c>
      <c r="B60" s="25" t="s">
        <v>112</v>
      </c>
      <c r="C60" s="8" t="s">
        <v>113</v>
      </c>
      <c r="D60" s="8" t="s">
        <v>152</v>
      </c>
      <c r="E60" s="8" t="s">
        <v>178</v>
      </c>
      <c r="F60" s="19" t="n">
        <v>4.9</v>
      </c>
      <c r="G60" s="33" t="n">
        <f aca="false">F60*0.006477</f>
        <v>0.0317373</v>
      </c>
      <c r="H60" s="19" t="n">
        <f aca="false">F60*1.079436</f>
        <v>5.2892364</v>
      </c>
      <c r="I60" s="18" t="n">
        <f aca="false">MAX(1,ROUNDUP(G60/0.096,0))</f>
        <v>1</v>
      </c>
      <c r="J60" s="31" t="n">
        <v>46451</v>
      </c>
      <c r="K60" s="34" t="n">
        <f aca="false">J60-WEEKDAY(J60,2)+1</f>
        <v>46447</v>
      </c>
      <c r="L60" s="31" t="n">
        <f aca="false">J60</f>
        <v>46451</v>
      </c>
      <c r="M60" s="26" t="n">
        <f aca="false">INDEX(LR_Target,MATCH(B60,LR_Lane,0))</f>
        <v>2</v>
      </c>
      <c r="N60" s="31" t="n">
        <f aca="false">WORKDAY.INTL(L60,M60,INDEX(LR_Code,MATCH(B60,LR_Lane,0)),INDEX(DH_Table,0,MATCH(B60&amp;"*",DH_Head,0)))</f>
        <v>46458</v>
      </c>
      <c r="O60" s="35" t="n">
        <f aca="false">IF(W60&lt;&gt;"",W60,IF(U60="Helmond",IF(COUNTIFS(RC_Lane,B60,RC_Band,E60,RC_Transit,"&lt;&gt;")=0,"",SUMIFS(RC_Transit,RC_Lane,B60,RC_Band,E60)),IF(U60="Other","",IF(INDEX(RS_Transit,MATCH(B60,RS_Lane,0))="","",INDEX(RS_Transit,MATCH(B60,RS_Lane,0))))))</f>
        <v>1</v>
      </c>
      <c r="P60" s="36"/>
      <c r="Q60" s="31" t="n">
        <f aca="false">IF(P60&lt;&gt;"",P60,IF(O60="","",WORKDAY.INTL(L60,ROUNDUP(O60,0),INDEX(LR_Code,MATCH(B60,LR_Lane,0)),INDEX(DH_Table,0,MATCH(B60&amp;"*",DH_Head,0)))))</f>
        <v>46454</v>
      </c>
      <c r="R60" s="37" t="str">
        <f aca="false">IF(Q60="","",IF(Q60&lt;=N60,"Yes","No"))</f>
        <v>Yes</v>
      </c>
      <c r="S60" s="26" t="n">
        <f aca="false">IF(Q60="","",IF(Q60&lt;=N60,0,NETWORKDAYS.INTL(N60,Q60,INDEX(LR_Code,MATCH(B60,LR_Lane,0)),INDEX(DH_Table,0,MATCH(B60&amp;"*",DH_Head,0)))-1))</f>
        <v>0</v>
      </c>
      <c r="T60" s="4"/>
      <c r="U60" s="25" t="str">
        <f aca="false">IF(V60&lt;&gt;"",V60,IF(IFERROR(INDEX(RS_Flag,MATCH(B60,RS_Lane,0)),"")="Yes",IF(IFERROR(INDEX(RS_Loc,MATCH(B60,RS_Lane,0)),"")="","Regional stock",IFERROR(INDEX(RS_Loc,MATCH(B60,RS_Lane,0)),"")),"Helmond"))</f>
        <v>Helmond</v>
      </c>
      <c r="V60" s="17"/>
      <c r="W60" s="38"/>
      <c r="X60" s="39"/>
      <c r="Y60" s="40" t="n">
        <f aca="false">IF(X60&lt;&gt;"",X60,IF(U60="Helmond",IF(COUNTIFS(RC_Lane,B60,RC_Band,E60,RC_CostPS,"&gt;0")=0,"",SUMIFS(RC_CostPS,RC_Lane,B60,RC_Band,E60)*(1-SUMIFS(RC_Disc,RC_Lane,B60,RC_Band,E60))),IF(U60="Other","",IF(INDEX(RS_Rate,MATCH(B60,RS_Lane,0))="","",INDEX(RS_Rate,MATCH(B60,RS_Lane,0))))))</f>
        <v>72.485</v>
      </c>
    </row>
    <row r="61" customFormat="false" ht="15" hidden="false" customHeight="false" outlineLevel="0" collapsed="false">
      <c r="A61" s="3" t="s">
        <v>470</v>
      </c>
      <c r="B61" s="25" t="s">
        <v>121</v>
      </c>
      <c r="C61" s="8" t="s">
        <v>122</v>
      </c>
      <c r="D61" s="8" t="s">
        <v>287</v>
      </c>
      <c r="E61" s="8" t="s">
        <v>178</v>
      </c>
      <c r="F61" s="19" t="n">
        <v>12.4</v>
      </c>
      <c r="G61" s="33" t="n">
        <f aca="false">F61*0.006477</f>
        <v>0.0803148</v>
      </c>
      <c r="H61" s="19" t="n">
        <f aca="false">F61*1.079436</f>
        <v>13.3850064</v>
      </c>
      <c r="I61" s="18" t="n">
        <f aca="false">MAX(1,ROUNDUP(G61/0.096,0))</f>
        <v>1</v>
      </c>
      <c r="J61" s="31" t="n">
        <v>46454</v>
      </c>
      <c r="K61" s="34" t="n">
        <f aca="false">J61-WEEKDAY(J61,2)+1</f>
        <v>46454</v>
      </c>
      <c r="L61" s="31" t="n">
        <f aca="false">J61</f>
        <v>46454</v>
      </c>
      <c r="M61" s="26" t="n">
        <f aca="false">INDEX(LR_Target,MATCH(B61,LR_Lane,0))</f>
        <v>3</v>
      </c>
      <c r="N61" s="31" t="n">
        <f aca="false">WORKDAY.INTL(L61,M61,INDEX(LR_Code,MATCH(B61,LR_Lane,0)),INDEX(DH_Table,0,MATCH(B61&amp;"*",DH_Head,0)))</f>
        <v>46461</v>
      </c>
      <c r="O61" s="35" t="n">
        <f aca="false">IF(W61&lt;&gt;"",W61,IF(U61="Helmond",IF(COUNTIFS(RC_Lane,B61,RC_Band,E61,RC_Transit,"&lt;&gt;")=0,"",SUMIFS(RC_Transit,RC_Lane,B61,RC_Band,E61)),IF(U61="Other","",IF(INDEX(RS_Transit,MATCH(B61,RS_Lane,0))="","",INDEX(RS_Transit,MATCH(B61,RS_Lane,0))))))</f>
        <v>1</v>
      </c>
      <c r="P61" s="36"/>
      <c r="Q61" s="31" t="n">
        <f aca="false">IF(P61&lt;&gt;"",P61,IF(O61="","",WORKDAY.INTL(L61,ROUNDUP(O61,0),INDEX(LR_Code,MATCH(B61,LR_Lane,0)),INDEX(DH_Table,0,MATCH(B61&amp;"*",DH_Head,0)))))</f>
        <v>46457</v>
      </c>
      <c r="R61" s="37" t="str">
        <f aca="false">IF(Q61="","",IF(Q61&lt;=N61,"Yes","No"))</f>
        <v>Yes</v>
      </c>
      <c r="S61" s="26" t="n">
        <f aca="false">IF(Q61="","",IF(Q61&lt;=N61,0,NETWORKDAYS.INTL(N61,Q61,INDEX(LR_Code,MATCH(B61,LR_Lane,0)),INDEX(DH_Table,0,MATCH(B61&amp;"*",DH_Head,0)))-1))</f>
        <v>0</v>
      </c>
      <c r="T61" s="4"/>
      <c r="U61" s="25" t="str">
        <f aca="false">IF(V61&lt;&gt;"",V61,IF(IFERROR(INDEX(RS_Flag,MATCH(B61,RS_Lane,0)),"")="Yes",IF(IFERROR(INDEX(RS_Loc,MATCH(B61,RS_Lane,0)),"")="","Regional stock",IFERROR(INDEX(RS_Loc,MATCH(B61,RS_Lane,0)),"")),"Helmond"))</f>
        <v>Helmond</v>
      </c>
      <c r="V61" s="17"/>
      <c r="W61" s="38"/>
      <c r="X61" s="39"/>
      <c r="Y61" s="40" t="n">
        <f aca="false">IF(X61&lt;&gt;"",X61,IF(U61="Helmond",IF(COUNTIFS(RC_Lane,B61,RC_Band,E61,RC_CostPS,"&gt;0")=0,"",SUMIFS(RC_CostPS,RC_Lane,B61,RC_Band,E61)*(1-SUMIFS(RC_Disc,RC_Lane,B61,RC_Band,E61))),IF(U61="Other","",IF(INDEX(RS_Rate,MATCH(B61,RS_Lane,0))="","",INDEX(RS_Rate,MATCH(B61,RS_Lane,0))))))</f>
        <v>72.485</v>
      </c>
    </row>
    <row r="62" customFormat="false" ht="15" hidden="false" customHeight="false" outlineLevel="0" collapsed="false">
      <c r="A62" s="3" t="s">
        <v>471</v>
      </c>
      <c r="B62" s="25" t="s">
        <v>108</v>
      </c>
      <c r="C62" s="8" t="s">
        <v>109</v>
      </c>
      <c r="D62" s="8" t="s">
        <v>270</v>
      </c>
      <c r="E62" s="8" t="s">
        <v>182</v>
      </c>
      <c r="F62" s="19" t="n">
        <v>202.9</v>
      </c>
      <c r="G62" s="33" t="n">
        <f aca="false">F62*0.006477</f>
        <v>1.3141833</v>
      </c>
      <c r="H62" s="19" t="n">
        <f aca="false">F62*1.079436</f>
        <v>219.0175644</v>
      </c>
      <c r="I62" s="18" t="n">
        <f aca="false">MAX(1,ROUNDUP(G62/0.096,0))</f>
        <v>14</v>
      </c>
      <c r="J62" s="31" t="n">
        <v>46456</v>
      </c>
      <c r="K62" s="34" t="n">
        <f aca="false">J62-WEEKDAY(J62,2)+1</f>
        <v>46454</v>
      </c>
      <c r="L62" s="31" t="n">
        <f aca="false">J62</f>
        <v>46456</v>
      </c>
      <c r="M62" s="26" t="n">
        <f aca="false">INDEX(LR_Target,MATCH(B62,LR_Lane,0))</f>
        <v>2</v>
      </c>
      <c r="N62" s="31" t="n">
        <f aca="false">WORKDAY.INTL(L62,M62,INDEX(LR_Code,MATCH(B62,LR_Lane,0)),INDEX(DH_Table,0,MATCH(B62&amp;"*",DH_Head,0)))</f>
        <v>46461</v>
      </c>
      <c r="O62" s="35" t="n">
        <f aca="false">IF(W62&lt;&gt;"",W62,IF(U62="Helmond",IF(COUNTIFS(RC_Lane,B62,RC_Band,E62,RC_Transit,"&lt;&gt;")=0,"",SUMIFS(RC_Transit,RC_Lane,B62,RC_Band,E62)),IF(U62="Other","",IF(INDEX(RS_Transit,MATCH(B62,RS_Lane,0))="","",INDEX(RS_Transit,MATCH(B62,RS_Lane,0))))))</f>
        <v>3</v>
      </c>
      <c r="P62" s="36"/>
      <c r="Q62" s="31" t="n">
        <f aca="false">IF(P62&lt;&gt;"",P62,IF(O62="","",WORKDAY.INTL(L62,ROUNDUP(O62,0),INDEX(LR_Code,MATCH(B62,LR_Lane,0)),INDEX(DH_Table,0,MATCH(B62&amp;"*",DH_Head,0)))))</f>
        <v>46462</v>
      </c>
      <c r="R62" s="37" t="str">
        <f aca="false">IF(Q62="","",IF(Q62&lt;=N62,"Yes","No"))</f>
        <v>No</v>
      </c>
      <c r="S62" s="26" t="n">
        <f aca="false">IF(Q62="","",IF(Q62&lt;=N62,0,NETWORKDAYS.INTL(N62,Q62,INDEX(LR_Code,MATCH(B62,LR_Lane,0)),INDEX(DH_Table,0,MATCH(B62&amp;"*",DH_Head,0)))-1))</f>
        <v>1</v>
      </c>
      <c r="T62" s="4"/>
      <c r="U62" s="25" t="str">
        <f aca="false">IF(V62&lt;&gt;"",V62,IF(IFERROR(INDEX(RS_Flag,MATCH(B62,RS_Lane,0)),"")="Yes",IF(IFERROR(INDEX(RS_Loc,MATCH(B62,RS_Lane,0)),"")="","Regional stock",IFERROR(INDEX(RS_Loc,MATCH(B62,RS_Lane,0)),"")),"Helmond"))</f>
        <v>Helmond</v>
      </c>
      <c r="V62" s="17"/>
      <c r="W62" s="38"/>
      <c r="X62" s="39"/>
      <c r="Y62" s="40" t="n">
        <f aca="false">IF(X62&lt;&gt;"",X62,IF(U62="Helmond",IF(COUNTIFS(RC_Lane,B62,RC_Band,E62,RC_CostPS,"&gt;0")=0,"",SUMIFS(RC_CostPS,RC_Lane,B62,RC_Band,E62)*(1-SUMIFS(RC_Disc,RC_Lane,B62,RC_Band,E62))),IF(U62="Other","",IF(INDEX(RS_Rate,MATCH(B62,RS_Lane,0))="","",INDEX(RS_Rate,MATCH(B62,RS_Lane,0))))))</f>
        <v>1009.7531</v>
      </c>
    </row>
    <row r="63" customFormat="false" ht="15" hidden="false" customHeight="false" outlineLevel="0" collapsed="false">
      <c r="A63" s="3" t="s">
        <v>472</v>
      </c>
      <c r="B63" s="25" t="s">
        <v>115</v>
      </c>
      <c r="C63" s="8" t="s">
        <v>116</v>
      </c>
      <c r="D63" s="8" t="s">
        <v>153</v>
      </c>
      <c r="E63" s="8" t="s">
        <v>182</v>
      </c>
      <c r="F63" s="19" t="n">
        <v>175.3</v>
      </c>
      <c r="G63" s="33" t="n">
        <f aca="false">F63*0.006477</f>
        <v>1.1354181</v>
      </c>
      <c r="H63" s="19" t="n">
        <f aca="false">F63*1.079436</f>
        <v>189.2251308</v>
      </c>
      <c r="I63" s="18" t="n">
        <f aca="false">MAX(1,ROUNDUP(G63/0.096,0))</f>
        <v>12</v>
      </c>
      <c r="J63" s="31" t="n">
        <v>46456</v>
      </c>
      <c r="K63" s="34" t="n">
        <f aca="false">J63-WEEKDAY(J63,2)+1</f>
        <v>46454</v>
      </c>
      <c r="L63" s="31" t="n">
        <f aca="false">J63</f>
        <v>46456</v>
      </c>
      <c r="M63" s="26" t="n">
        <f aca="false">INDEX(LR_Target,MATCH(B63,LR_Lane,0))</f>
        <v>2</v>
      </c>
      <c r="N63" s="31" t="n">
        <f aca="false">WORKDAY.INTL(L63,M63,INDEX(LR_Code,MATCH(B63,LR_Lane,0)),INDEX(DH_Table,0,MATCH(B63&amp;"*",DH_Head,0)))</f>
        <v>46461</v>
      </c>
      <c r="O63" s="35" t="n">
        <f aca="false">IF(W63&lt;&gt;"",W63,IF(U63="Helmond",IF(COUNTIFS(RC_Lane,B63,RC_Band,E63,RC_Transit,"&lt;&gt;")=0,"",SUMIFS(RC_Transit,RC_Lane,B63,RC_Band,E63)),IF(U63="Other","",IF(INDEX(RS_Transit,MATCH(B63,RS_Lane,0))="","",INDEX(RS_Transit,MATCH(B63,RS_Lane,0))))))</f>
        <v>3</v>
      </c>
      <c r="P63" s="36"/>
      <c r="Q63" s="31" t="n">
        <f aca="false">IF(P63&lt;&gt;"",P63,IF(O63="","",WORKDAY.INTL(L63,ROUNDUP(O63,0),INDEX(LR_Code,MATCH(B63,LR_Lane,0)),INDEX(DH_Table,0,MATCH(B63&amp;"*",DH_Head,0)))))</f>
        <v>46462</v>
      </c>
      <c r="R63" s="37" t="str">
        <f aca="false">IF(Q63="","",IF(Q63&lt;=N63,"Yes","No"))</f>
        <v>No</v>
      </c>
      <c r="S63" s="26" t="n">
        <f aca="false">IF(Q63="","",IF(Q63&lt;=N63,0,NETWORKDAYS.INTL(N63,Q63,INDEX(LR_Code,MATCH(B63,LR_Lane,0)),INDEX(DH_Table,0,MATCH(B63&amp;"*",DH_Head,0)))-1))</f>
        <v>1</v>
      </c>
      <c r="T63" s="4"/>
      <c r="U63" s="25" t="str">
        <f aca="false">IF(V63&lt;&gt;"",V63,IF(IFERROR(INDEX(RS_Flag,MATCH(B63,RS_Lane,0)),"")="Yes",IF(IFERROR(INDEX(RS_Loc,MATCH(B63,RS_Lane,0)),"")="","Regional stock",IFERROR(INDEX(RS_Loc,MATCH(B63,RS_Lane,0)),"")),"Helmond"))</f>
        <v>Helmond</v>
      </c>
      <c r="V63" s="17"/>
      <c r="W63" s="38"/>
      <c r="X63" s="39"/>
      <c r="Y63" s="40" t="n">
        <f aca="false">IF(X63&lt;&gt;"",X63,IF(U63="Helmond",IF(COUNTIFS(RC_Lane,B63,RC_Band,E63,RC_CostPS,"&gt;0")=0,"",SUMIFS(RC_CostPS,RC_Lane,B63,RC_Band,E63)*(1-SUMIFS(RC_Disc,RC_Lane,B63,RC_Band,E63))),IF(U63="Other","",IF(INDEX(RS_Rate,MATCH(B63,RS_Lane,0))="","",INDEX(RS_Rate,MATCH(B63,RS_Lane,0))))))</f>
        <v>1271.20393</v>
      </c>
    </row>
    <row r="64" customFormat="false" ht="15" hidden="false" customHeight="false" outlineLevel="0" collapsed="false">
      <c r="A64" s="3" t="s">
        <v>473</v>
      </c>
      <c r="B64" s="25" t="s">
        <v>108</v>
      </c>
      <c r="C64" s="8" t="s">
        <v>109</v>
      </c>
      <c r="D64" s="8" t="s">
        <v>272</v>
      </c>
      <c r="E64" s="8" t="s">
        <v>178</v>
      </c>
      <c r="F64" s="19" t="n">
        <v>16.7</v>
      </c>
      <c r="G64" s="33" t="n">
        <f aca="false">F64*0.006477</f>
        <v>0.1081659</v>
      </c>
      <c r="H64" s="19" t="n">
        <f aca="false">F64*1.079436</f>
        <v>18.0265812</v>
      </c>
      <c r="I64" s="18" t="n">
        <f aca="false">MAX(1,ROUNDUP(G64/0.096,0))</f>
        <v>2</v>
      </c>
      <c r="J64" s="31" t="n">
        <v>46458</v>
      </c>
      <c r="K64" s="34" t="n">
        <f aca="false">J64-WEEKDAY(J64,2)+1</f>
        <v>46454</v>
      </c>
      <c r="L64" s="31" t="n">
        <f aca="false">J64</f>
        <v>46458</v>
      </c>
      <c r="M64" s="26" t="n">
        <f aca="false">INDEX(LR_Target,MATCH(B64,LR_Lane,0))</f>
        <v>2</v>
      </c>
      <c r="N64" s="31" t="n">
        <f aca="false">WORKDAY.INTL(L64,M64,INDEX(LR_Code,MATCH(B64,LR_Lane,0)),INDEX(DH_Table,0,MATCH(B64&amp;"*",DH_Head,0)))</f>
        <v>46461</v>
      </c>
      <c r="O64" s="35" t="n">
        <f aca="false">IF(W64&lt;&gt;"",W64,IF(U64="Helmond",IF(COUNTIFS(RC_Lane,B64,RC_Band,E64,RC_Transit,"&lt;&gt;")=0,"",SUMIFS(RC_Transit,RC_Lane,B64,RC_Band,E64)),IF(U64="Other","",IF(INDEX(RS_Transit,MATCH(B64,RS_Lane,0))="","",INDEX(RS_Transit,MATCH(B64,RS_Lane,0))))))</f>
        <v>1</v>
      </c>
      <c r="P64" s="36"/>
      <c r="Q64" s="31" t="n">
        <f aca="false">IF(P64&lt;&gt;"",P64,IF(O64="","",WORKDAY.INTL(L64,ROUNDUP(O64,0),INDEX(LR_Code,MATCH(B64,LR_Lane,0)),INDEX(DH_Table,0,MATCH(B64&amp;"*",DH_Head,0)))))</f>
        <v>46460</v>
      </c>
      <c r="R64" s="37" t="str">
        <f aca="false">IF(Q64="","",IF(Q64&lt;=N64,"Yes","No"))</f>
        <v>Yes</v>
      </c>
      <c r="S64" s="26" t="n">
        <f aca="false">IF(Q64="","",IF(Q64&lt;=N64,0,NETWORKDAYS.INTL(N64,Q64,INDEX(LR_Code,MATCH(B64,LR_Lane,0)),INDEX(DH_Table,0,MATCH(B64&amp;"*",DH_Head,0)))-1))</f>
        <v>0</v>
      </c>
      <c r="T64" s="4"/>
      <c r="U64" s="25" t="str">
        <f aca="false">IF(V64&lt;&gt;"",V64,IF(IFERROR(INDEX(RS_Flag,MATCH(B64,RS_Lane,0)),"")="Yes",IF(IFERROR(INDEX(RS_Loc,MATCH(B64,RS_Lane,0)),"")="","Regional stock",IFERROR(INDEX(RS_Loc,MATCH(B64,RS_Lane,0)),"")),"Helmond"))</f>
        <v>Helmond</v>
      </c>
      <c r="V64" s="17"/>
      <c r="W64" s="38"/>
      <c r="X64" s="39"/>
      <c r="Y64" s="40" t="n">
        <f aca="false">IF(X64&lt;&gt;"",X64,IF(U64="Helmond",IF(COUNTIFS(RC_Lane,B64,RC_Band,E64,RC_CostPS,"&gt;0")=0,"",SUMIFS(RC_CostPS,RC_Lane,B64,RC_Band,E64)*(1-SUMIFS(RC_Disc,RC_Lane,B64,RC_Band,E64))),IF(U64="Other","",IF(INDEX(RS_Rate,MATCH(B64,RS_Lane,0))="","",INDEX(RS_Rate,MATCH(B64,RS_Lane,0))))))</f>
        <v>72.485</v>
      </c>
    </row>
    <row r="65" customFormat="false" ht="15" hidden="false" customHeight="false" outlineLevel="0" collapsed="false">
      <c r="A65" s="3" t="s">
        <v>474</v>
      </c>
      <c r="B65" s="25" t="s">
        <v>108</v>
      </c>
      <c r="C65" s="8" t="s">
        <v>109</v>
      </c>
      <c r="D65" s="8" t="s">
        <v>272</v>
      </c>
      <c r="E65" s="8" t="s">
        <v>180</v>
      </c>
      <c r="F65" s="19" t="n">
        <v>55.1</v>
      </c>
      <c r="G65" s="33" t="n">
        <f aca="false">F65*0.006477</f>
        <v>0.3568827</v>
      </c>
      <c r="H65" s="19" t="n">
        <f aca="false">F65*1.079436</f>
        <v>59.4769236</v>
      </c>
      <c r="I65" s="18" t="n">
        <f aca="false">MAX(1,ROUNDUP(G65/0.096,0))</f>
        <v>4</v>
      </c>
      <c r="J65" s="31" t="n">
        <v>46458</v>
      </c>
      <c r="K65" s="34" t="n">
        <f aca="false">J65-WEEKDAY(J65,2)+1</f>
        <v>46454</v>
      </c>
      <c r="L65" s="31" t="n">
        <f aca="false">J65</f>
        <v>46458</v>
      </c>
      <c r="M65" s="26" t="n">
        <f aca="false">INDEX(LR_Target,MATCH(B65,LR_Lane,0))</f>
        <v>2</v>
      </c>
      <c r="N65" s="31" t="n">
        <f aca="false">WORKDAY.INTL(L65,M65,INDEX(LR_Code,MATCH(B65,LR_Lane,0)),INDEX(DH_Table,0,MATCH(B65&amp;"*",DH_Head,0)))</f>
        <v>46461</v>
      </c>
      <c r="O65" s="35" t="n">
        <f aca="false">IF(W65&lt;&gt;"",W65,IF(U65="Helmond",IF(COUNTIFS(RC_Lane,B65,RC_Band,E65,RC_Transit,"&lt;&gt;")=0,"",SUMIFS(RC_Transit,RC_Lane,B65,RC_Band,E65)),IF(U65="Other","",IF(INDEX(RS_Transit,MATCH(B65,RS_Lane,0))="","",INDEX(RS_Transit,MATCH(B65,RS_Lane,0))))))</f>
        <v>2</v>
      </c>
      <c r="P65" s="36"/>
      <c r="Q65" s="31" t="n">
        <f aca="false">IF(P65&lt;&gt;"",P65,IF(O65="","",WORKDAY.INTL(L65,ROUNDUP(O65,0),INDEX(LR_Code,MATCH(B65,LR_Lane,0)),INDEX(DH_Table,0,MATCH(B65&amp;"*",DH_Head,0)))))</f>
        <v>46461</v>
      </c>
      <c r="R65" s="37" t="str">
        <f aca="false">IF(Q65="","",IF(Q65&lt;=N65,"Yes","No"))</f>
        <v>Yes</v>
      </c>
      <c r="S65" s="26" t="n">
        <f aca="false">IF(Q65="","",IF(Q65&lt;=N65,0,NETWORKDAYS.INTL(N65,Q65,INDEX(LR_Code,MATCH(B65,LR_Lane,0)),INDEX(DH_Table,0,MATCH(B65&amp;"*",DH_Head,0)))-1))</f>
        <v>0</v>
      </c>
      <c r="T65" s="4"/>
      <c r="U65" s="25" t="str">
        <f aca="false">IF(V65&lt;&gt;"",V65,IF(IFERROR(INDEX(RS_Flag,MATCH(B65,RS_Lane,0)),"")="Yes",IF(IFERROR(INDEX(RS_Loc,MATCH(B65,RS_Lane,0)),"")="","Regional stock",IFERROR(INDEX(RS_Loc,MATCH(B65,RS_Lane,0)),"")),"Helmond"))</f>
        <v>Helmond</v>
      </c>
      <c r="V65" s="17"/>
      <c r="W65" s="38"/>
      <c r="X65" s="39"/>
      <c r="Y65" s="40" t="n">
        <f aca="false">IF(X65&lt;&gt;"",X65,IF(U65="Helmond",IF(COUNTIFS(RC_Lane,B65,RC_Band,E65,RC_CostPS,"&gt;0")=0,"",SUMIFS(RC_CostPS,RC_Lane,B65,RC_Band,E65)*(1-SUMIFS(RC_Disc,RC_Lane,B65,RC_Band,E65))),IF(U65="Other","",IF(INDEX(RS_Rate,MATCH(B65,RS_Lane,0))="","",INDEX(RS_Rate,MATCH(B65,RS_Lane,0))))))</f>
        <v>284.98176</v>
      </c>
    </row>
    <row r="66" customFormat="false" ht="15" hidden="false" customHeight="false" outlineLevel="0" collapsed="false">
      <c r="A66" s="3" t="s">
        <v>475</v>
      </c>
      <c r="B66" s="25" t="s">
        <v>108</v>
      </c>
      <c r="C66" s="8" t="s">
        <v>109</v>
      </c>
      <c r="D66" s="8" t="s">
        <v>270</v>
      </c>
      <c r="E66" s="8" t="s">
        <v>180</v>
      </c>
      <c r="F66" s="19" t="n">
        <v>53.3</v>
      </c>
      <c r="G66" s="33" t="n">
        <f aca="false">F66*0.006477</f>
        <v>0.3452241</v>
      </c>
      <c r="H66" s="19" t="n">
        <f aca="false">F66*1.079436</f>
        <v>57.5339388</v>
      </c>
      <c r="I66" s="18" t="n">
        <f aca="false">MAX(1,ROUNDUP(G66/0.096,0))</f>
        <v>4</v>
      </c>
      <c r="J66" s="31" t="n">
        <v>46458</v>
      </c>
      <c r="K66" s="34" t="n">
        <f aca="false">J66-WEEKDAY(J66,2)+1</f>
        <v>46454</v>
      </c>
      <c r="L66" s="31" t="n">
        <f aca="false">J66</f>
        <v>46458</v>
      </c>
      <c r="M66" s="26" t="n">
        <f aca="false">INDEX(LR_Target,MATCH(B66,LR_Lane,0))</f>
        <v>2</v>
      </c>
      <c r="N66" s="31" t="n">
        <f aca="false">WORKDAY.INTL(L66,M66,INDEX(LR_Code,MATCH(B66,LR_Lane,0)),INDEX(DH_Table,0,MATCH(B66&amp;"*",DH_Head,0)))</f>
        <v>46461</v>
      </c>
      <c r="O66" s="35" t="n">
        <f aca="false">IF(W66&lt;&gt;"",W66,IF(U66="Helmond",IF(COUNTIFS(RC_Lane,B66,RC_Band,E66,RC_Transit,"&lt;&gt;")=0,"",SUMIFS(RC_Transit,RC_Lane,B66,RC_Band,E66)),IF(U66="Other","",IF(INDEX(RS_Transit,MATCH(B66,RS_Lane,0))="","",INDEX(RS_Transit,MATCH(B66,RS_Lane,0))))))</f>
        <v>2</v>
      </c>
      <c r="P66" s="36"/>
      <c r="Q66" s="31" t="n">
        <f aca="false">IF(P66&lt;&gt;"",P66,IF(O66="","",WORKDAY.INTL(L66,ROUNDUP(O66,0),INDEX(LR_Code,MATCH(B66,LR_Lane,0)),INDEX(DH_Table,0,MATCH(B66&amp;"*",DH_Head,0)))))</f>
        <v>46461</v>
      </c>
      <c r="R66" s="37" t="str">
        <f aca="false">IF(Q66="","",IF(Q66&lt;=N66,"Yes","No"))</f>
        <v>Yes</v>
      </c>
      <c r="S66" s="26" t="n">
        <f aca="false">IF(Q66="","",IF(Q66&lt;=N66,0,NETWORKDAYS.INTL(N66,Q66,INDEX(LR_Code,MATCH(B66,LR_Lane,0)),INDEX(DH_Table,0,MATCH(B66&amp;"*",DH_Head,0)))-1))</f>
        <v>0</v>
      </c>
      <c r="T66" s="4"/>
      <c r="U66" s="25" t="str">
        <f aca="false">IF(V66&lt;&gt;"",V66,IF(IFERROR(INDEX(RS_Flag,MATCH(B66,RS_Lane,0)),"")="Yes",IF(IFERROR(INDEX(RS_Loc,MATCH(B66,RS_Lane,0)),"")="","Regional stock",IFERROR(INDEX(RS_Loc,MATCH(B66,RS_Lane,0)),"")),"Helmond"))</f>
        <v>Helmond</v>
      </c>
      <c r="V66" s="17"/>
      <c r="W66" s="38"/>
      <c r="X66" s="39"/>
      <c r="Y66" s="40" t="n">
        <f aca="false">IF(X66&lt;&gt;"",X66,IF(U66="Helmond",IF(COUNTIFS(RC_Lane,B66,RC_Band,E66,RC_CostPS,"&gt;0")=0,"",SUMIFS(RC_CostPS,RC_Lane,B66,RC_Band,E66)*(1-SUMIFS(RC_Disc,RC_Lane,B66,RC_Band,E66))),IF(U66="Other","",IF(INDEX(RS_Rate,MATCH(B66,RS_Lane,0))="","",INDEX(RS_Rate,MATCH(B66,RS_Lane,0))))))</f>
        <v>284.98176</v>
      </c>
    </row>
    <row r="67" customFormat="false" ht="15" hidden="false" customHeight="false" outlineLevel="0" collapsed="false">
      <c r="A67" s="3" t="s">
        <v>476</v>
      </c>
      <c r="B67" s="25" t="s">
        <v>119</v>
      </c>
      <c r="C67" s="8" t="s">
        <v>120</v>
      </c>
      <c r="D67" s="8" t="s">
        <v>155</v>
      </c>
      <c r="E67" s="8" t="s">
        <v>182</v>
      </c>
      <c r="F67" s="19" t="n">
        <v>281.2</v>
      </c>
      <c r="G67" s="33" t="n">
        <f aca="false">F67*0.006477</f>
        <v>1.8213324</v>
      </c>
      <c r="H67" s="19" t="n">
        <f aca="false">F67*1.079436</f>
        <v>303.5374032</v>
      </c>
      <c r="I67" s="18" t="n">
        <f aca="false">MAX(1,ROUNDUP(G67/0.096,0))</f>
        <v>19</v>
      </c>
      <c r="J67" s="31" t="n">
        <v>46458</v>
      </c>
      <c r="K67" s="34" t="n">
        <f aca="false">J67-WEEKDAY(J67,2)+1</f>
        <v>46454</v>
      </c>
      <c r="L67" s="31" t="n">
        <f aca="false">J67</f>
        <v>46458</v>
      </c>
      <c r="M67" s="26" t="n">
        <f aca="false">INDEX(LR_Target,MATCH(B67,LR_Lane,0))</f>
        <v>3</v>
      </c>
      <c r="N67" s="31" t="n">
        <f aca="false">WORKDAY.INTL(L67,M67,INDEX(LR_Code,MATCH(B67,LR_Lane,0)),INDEX(DH_Table,0,MATCH(B67&amp;"*",DH_Head,0)))</f>
        <v>46463</v>
      </c>
      <c r="O67" s="35" t="n">
        <f aca="false">IF(W67&lt;&gt;"",W67,IF(U67="Helmond",IF(COUNTIFS(RC_Lane,B67,RC_Band,E67,RC_Transit,"&lt;&gt;")=0,"",SUMIFS(RC_Transit,RC_Lane,B67,RC_Band,E67)),IF(U67="Other","",IF(INDEX(RS_Transit,MATCH(B67,RS_Lane,0))="","",INDEX(RS_Transit,MATCH(B67,RS_Lane,0))))))</f>
        <v>3</v>
      </c>
      <c r="P67" s="36"/>
      <c r="Q67" s="31" t="n">
        <f aca="false">IF(P67&lt;&gt;"",P67,IF(O67="","",WORKDAY.INTL(L67,ROUNDUP(O67,0),INDEX(LR_Code,MATCH(B67,LR_Lane,0)),INDEX(DH_Table,0,MATCH(B67&amp;"*",DH_Head,0)))))</f>
        <v>46463</v>
      </c>
      <c r="R67" s="37" t="str">
        <f aca="false">IF(Q67="","",IF(Q67&lt;=N67,"Yes","No"))</f>
        <v>Yes</v>
      </c>
      <c r="S67" s="26" t="n">
        <f aca="false">IF(Q67="","",IF(Q67&lt;=N67,0,NETWORKDAYS.INTL(N67,Q67,INDEX(LR_Code,MATCH(B67,LR_Lane,0)),INDEX(DH_Table,0,MATCH(B67&amp;"*",DH_Head,0)))-1))</f>
        <v>0</v>
      </c>
      <c r="T67" s="4"/>
      <c r="U67" s="25" t="str">
        <f aca="false">IF(V67&lt;&gt;"",V67,IF(IFERROR(INDEX(RS_Flag,MATCH(B67,RS_Lane,0)),"")="Yes",IF(IFERROR(INDEX(RS_Loc,MATCH(B67,RS_Lane,0)),"")="","Regional stock",IFERROR(INDEX(RS_Loc,MATCH(B67,RS_Lane,0)),"")),"Helmond"))</f>
        <v>Helmond</v>
      </c>
      <c r="V67" s="17"/>
      <c r="W67" s="38"/>
      <c r="X67" s="39"/>
      <c r="Y67" s="40" t="n">
        <f aca="false">IF(X67&lt;&gt;"",X67,IF(U67="Helmond",IF(COUNTIFS(RC_Lane,B67,RC_Band,E67,RC_CostPS,"&gt;0")=0,"",SUMIFS(RC_CostPS,RC_Lane,B67,RC_Band,E67)*(1-SUMIFS(RC_Disc,RC_Lane,B67,RC_Band,E67))),IF(U67="Other","",IF(INDEX(RS_Rate,MATCH(B67,RS_Lane,0))="","",INDEX(RS_Rate,MATCH(B67,RS_Lane,0))))))</f>
        <v>1400.35434</v>
      </c>
    </row>
    <row r="68" customFormat="false" ht="15" hidden="false" customHeight="false" outlineLevel="0" collapsed="false">
      <c r="A68" s="3" t="s">
        <v>477</v>
      </c>
      <c r="B68" s="25" t="s">
        <v>112</v>
      </c>
      <c r="C68" s="8" t="s">
        <v>113</v>
      </c>
      <c r="D68" s="8" t="s">
        <v>152</v>
      </c>
      <c r="E68" s="8" t="s">
        <v>178</v>
      </c>
      <c r="F68" s="19" t="n">
        <v>3.3</v>
      </c>
      <c r="G68" s="33" t="n">
        <f aca="false">F68*0.006477</f>
        <v>0.0213741</v>
      </c>
      <c r="H68" s="19" t="n">
        <f aca="false">F68*1.079436</f>
        <v>3.5621388</v>
      </c>
      <c r="I68" s="18" t="n">
        <f aca="false">MAX(1,ROUNDUP(G68/0.096,0))</f>
        <v>1</v>
      </c>
      <c r="J68" s="31" t="n">
        <v>46463</v>
      </c>
      <c r="K68" s="34" t="n">
        <f aca="false">J68-WEEKDAY(J68,2)+1</f>
        <v>46461</v>
      </c>
      <c r="L68" s="31" t="n">
        <f aca="false">J68</f>
        <v>46463</v>
      </c>
      <c r="M68" s="26" t="n">
        <f aca="false">INDEX(LR_Target,MATCH(B68,LR_Lane,0))</f>
        <v>2</v>
      </c>
      <c r="N68" s="31" t="n">
        <f aca="false">WORKDAY.INTL(L68,M68,INDEX(LR_Code,MATCH(B68,LR_Lane,0)),INDEX(DH_Table,0,MATCH(B68&amp;"*",DH_Head,0)))</f>
        <v>46465</v>
      </c>
      <c r="O68" s="35" t="n">
        <f aca="false">IF(W68&lt;&gt;"",W68,IF(U68="Helmond",IF(COUNTIFS(RC_Lane,B68,RC_Band,E68,RC_Transit,"&lt;&gt;")=0,"",SUMIFS(RC_Transit,RC_Lane,B68,RC_Band,E68)),IF(U68="Other","",IF(INDEX(RS_Transit,MATCH(B68,RS_Lane,0))="","",INDEX(RS_Transit,MATCH(B68,RS_Lane,0))))))</f>
        <v>1</v>
      </c>
      <c r="P68" s="36"/>
      <c r="Q68" s="31" t="n">
        <f aca="false">IF(P68&lt;&gt;"",P68,IF(O68="","",WORKDAY.INTL(L68,ROUNDUP(O68,0),INDEX(LR_Code,MATCH(B68,LR_Lane,0)),INDEX(DH_Table,0,MATCH(B68&amp;"*",DH_Head,0)))))</f>
        <v>46464</v>
      </c>
      <c r="R68" s="37" t="str">
        <f aca="false">IF(Q68="","",IF(Q68&lt;=N68,"Yes","No"))</f>
        <v>Yes</v>
      </c>
      <c r="S68" s="26" t="n">
        <f aca="false">IF(Q68="","",IF(Q68&lt;=N68,0,NETWORKDAYS.INTL(N68,Q68,INDEX(LR_Code,MATCH(B68,LR_Lane,0)),INDEX(DH_Table,0,MATCH(B68&amp;"*",DH_Head,0)))-1))</f>
        <v>0</v>
      </c>
      <c r="T68" s="4"/>
      <c r="U68" s="25" t="str">
        <f aca="false">IF(V68&lt;&gt;"",V68,IF(IFERROR(INDEX(RS_Flag,MATCH(B68,RS_Lane,0)),"")="Yes",IF(IFERROR(INDEX(RS_Loc,MATCH(B68,RS_Lane,0)),"")="","Regional stock",IFERROR(INDEX(RS_Loc,MATCH(B68,RS_Lane,0)),"")),"Helmond"))</f>
        <v>Helmond</v>
      </c>
      <c r="V68" s="17"/>
      <c r="W68" s="38"/>
      <c r="X68" s="39"/>
      <c r="Y68" s="40" t="n">
        <f aca="false">IF(X68&lt;&gt;"",X68,IF(U68="Helmond",IF(COUNTIFS(RC_Lane,B68,RC_Band,E68,RC_CostPS,"&gt;0")=0,"",SUMIFS(RC_CostPS,RC_Lane,B68,RC_Band,E68)*(1-SUMIFS(RC_Disc,RC_Lane,B68,RC_Band,E68))),IF(U68="Other","",IF(INDEX(RS_Rate,MATCH(B68,RS_Lane,0))="","",INDEX(RS_Rate,MATCH(B68,RS_Lane,0))))))</f>
        <v>72.485</v>
      </c>
    </row>
    <row r="69" customFormat="false" ht="15" hidden="false" customHeight="false" outlineLevel="0" collapsed="false">
      <c r="A69" s="3" t="s">
        <v>478</v>
      </c>
      <c r="B69" s="25" t="s">
        <v>115</v>
      </c>
      <c r="C69" s="8" t="s">
        <v>116</v>
      </c>
      <c r="D69" s="8" t="s">
        <v>153</v>
      </c>
      <c r="E69" s="8" t="s">
        <v>182</v>
      </c>
      <c r="F69" s="19" t="n">
        <v>311.3</v>
      </c>
      <c r="G69" s="33" t="n">
        <f aca="false">F69*0.006477</f>
        <v>2.0162901</v>
      </c>
      <c r="H69" s="19" t="n">
        <f aca="false">F69*1.079436</f>
        <v>336.0284268</v>
      </c>
      <c r="I69" s="18" t="n">
        <f aca="false">MAX(1,ROUNDUP(G69/0.096,0))</f>
        <v>22</v>
      </c>
      <c r="J69" s="31" t="n">
        <v>46464</v>
      </c>
      <c r="K69" s="34" t="n">
        <f aca="false">J69-WEEKDAY(J69,2)+1</f>
        <v>46461</v>
      </c>
      <c r="L69" s="31" t="n">
        <f aca="false">J69</f>
        <v>46464</v>
      </c>
      <c r="M69" s="26" t="n">
        <f aca="false">INDEX(LR_Target,MATCH(B69,LR_Lane,0))</f>
        <v>2</v>
      </c>
      <c r="N69" s="31" t="n">
        <f aca="false">WORKDAY.INTL(L69,M69,INDEX(LR_Code,MATCH(B69,LR_Lane,0)),INDEX(DH_Table,0,MATCH(B69&amp;"*",DH_Head,0)))</f>
        <v>46468</v>
      </c>
      <c r="O69" s="35" t="n">
        <f aca="false">IF(W69&lt;&gt;"",W69,IF(U69="Helmond",IF(COUNTIFS(RC_Lane,B69,RC_Band,E69,RC_Transit,"&lt;&gt;")=0,"",SUMIFS(RC_Transit,RC_Lane,B69,RC_Band,E69)),IF(U69="Other","",IF(INDEX(RS_Transit,MATCH(B69,RS_Lane,0))="","",INDEX(RS_Transit,MATCH(B69,RS_Lane,0))))))</f>
        <v>3</v>
      </c>
      <c r="P69" s="36"/>
      <c r="Q69" s="31" t="n">
        <f aca="false">IF(P69&lt;&gt;"",P69,IF(O69="","",WORKDAY.INTL(L69,ROUNDUP(O69,0),INDEX(LR_Code,MATCH(B69,LR_Lane,0)),INDEX(DH_Table,0,MATCH(B69&amp;"*",DH_Head,0)))))</f>
        <v>46469</v>
      </c>
      <c r="R69" s="37" t="str">
        <f aca="false">IF(Q69="","",IF(Q69&lt;=N69,"Yes","No"))</f>
        <v>No</v>
      </c>
      <c r="S69" s="26" t="n">
        <f aca="false">IF(Q69="","",IF(Q69&lt;=N69,0,NETWORKDAYS.INTL(N69,Q69,INDEX(LR_Code,MATCH(B69,LR_Lane,0)),INDEX(DH_Table,0,MATCH(B69&amp;"*",DH_Head,0)))-1))</f>
        <v>1</v>
      </c>
      <c r="T69" s="4"/>
      <c r="U69" s="25" t="str">
        <f aca="false">IF(V69&lt;&gt;"",V69,IF(IFERROR(INDEX(RS_Flag,MATCH(B69,RS_Lane,0)),"")="Yes",IF(IFERROR(INDEX(RS_Loc,MATCH(B69,RS_Lane,0)),"")="","Regional stock",IFERROR(INDEX(RS_Loc,MATCH(B69,RS_Lane,0)),"")),"Helmond"))</f>
        <v>Helmond</v>
      </c>
      <c r="V69" s="17"/>
      <c r="W69" s="38"/>
      <c r="X69" s="39"/>
      <c r="Y69" s="40" t="n">
        <f aca="false">IF(X69&lt;&gt;"",X69,IF(U69="Helmond",IF(COUNTIFS(RC_Lane,B69,RC_Band,E69,RC_CostPS,"&gt;0")=0,"",SUMIFS(RC_CostPS,RC_Lane,B69,RC_Band,E69)*(1-SUMIFS(RC_Disc,RC_Lane,B69,RC_Band,E69))),IF(U69="Other","",IF(INDEX(RS_Rate,MATCH(B69,RS_Lane,0))="","",INDEX(RS_Rate,MATCH(B69,RS_Lane,0))))))</f>
        <v>1271.20393</v>
      </c>
    </row>
    <row r="70" customFormat="false" ht="15" hidden="false" customHeight="false" outlineLevel="0" collapsed="false">
      <c r="A70" s="3" t="s">
        <v>479</v>
      </c>
      <c r="B70" s="25" t="s">
        <v>112</v>
      </c>
      <c r="C70" s="8" t="s">
        <v>113</v>
      </c>
      <c r="D70" s="8" t="s">
        <v>152</v>
      </c>
      <c r="E70" s="8" t="s">
        <v>182</v>
      </c>
      <c r="F70" s="19" t="n">
        <v>169.5</v>
      </c>
      <c r="G70" s="33" t="n">
        <f aca="false">F70*0.006477</f>
        <v>1.0978515</v>
      </c>
      <c r="H70" s="19" t="n">
        <f aca="false">F70*1.079436</f>
        <v>182.964402</v>
      </c>
      <c r="I70" s="18" t="n">
        <f aca="false">MAX(1,ROUNDUP(G70/0.096,0))</f>
        <v>12</v>
      </c>
      <c r="J70" s="31" t="n">
        <v>46465</v>
      </c>
      <c r="K70" s="34" t="n">
        <f aca="false">J70-WEEKDAY(J70,2)+1</f>
        <v>46461</v>
      </c>
      <c r="L70" s="31" t="n">
        <f aca="false">J70</f>
        <v>46465</v>
      </c>
      <c r="M70" s="26" t="n">
        <f aca="false">INDEX(LR_Target,MATCH(B70,LR_Lane,0))</f>
        <v>2</v>
      </c>
      <c r="N70" s="31" t="n">
        <f aca="false">WORKDAY.INTL(L70,M70,INDEX(LR_Code,MATCH(B70,LR_Lane,0)),INDEX(DH_Table,0,MATCH(B70&amp;"*",DH_Head,0)))</f>
        <v>46469</v>
      </c>
      <c r="O70" s="35" t="n">
        <f aca="false">IF(W70&lt;&gt;"",W70,IF(U70="Helmond",IF(COUNTIFS(RC_Lane,B70,RC_Band,E70,RC_Transit,"&lt;&gt;")=0,"",SUMIFS(RC_Transit,RC_Lane,B70,RC_Band,E70)),IF(U70="Other","",IF(INDEX(RS_Transit,MATCH(B70,RS_Lane,0))="","",INDEX(RS_Transit,MATCH(B70,RS_Lane,0))))))</f>
        <v>3</v>
      </c>
      <c r="P70" s="36"/>
      <c r="Q70" s="31" t="n">
        <f aca="false">IF(P70&lt;&gt;"",P70,IF(O70="","",WORKDAY.INTL(L70,ROUNDUP(O70,0),INDEX(LR_Code,MATCH(B70,LR_Lane,0)),INDEX(DH_Table,0,MATCH(B70&amp;"*",DH_Head,0)))))</f>
        <v>46470</v>
      </c>
      <c r="R70" s="37" t="str">
        <f aca="false">IF(Q70="","",IF(Q70&lt;=N70,"Yes","No"))</f>
        <v>No</v>
      </c>
      <c r="S70" s="26" t="n">
        <f aca="false">IF(Q70="","",IF(Q70&lt;=N70,0,NETWORKDAYS.INTL(N70,Q70,INDEX(LR_Code,MATCH(B70,LR_Lane,0)),INDEX(DH_Table,0,MATCH(B70&amp;"*",DH_Head,0)))-1))</f>
        <v>1</v>
      </c>
      <c r="T70" s="4"/>
      <c r="U70" s="25" t="str">
        <f aca="false">IF(V70&lt;&gt;"",V70,IF(IFERROR(INDEX(RS_Flag,MATCH(B70,RS_Lane,0)),"")="Yes",IF(IFERROR(INDEX(RS_Loc,MATCH(B70,RS_Lane,0)),"")="","Regional stock",IFERROR(INDEX(RS_Loc,MATCH(B70,RS_Lane,0)),"")),"Helmond"))</f>
        <v>Helmond</v>
      </c>
      <c r="V70" s="17"/>
      <c r="W70" s="38"/>
      <c r="X70" s="39"/>
      <c r="Y70" s="40" t="n">
        <f aca="false">IF(X70&lt;&gt;"",X70,IF(U70="Helmond",IF(COUNTIFS(RC_Lane,B70,RC_Band,E70,RC_CostPS,"&gt;0")=0,"",SUMIFS(RC_CostPS,RC_Lane,B70,RC_Band,E70)*(1-SUMIFS(RC_Disc,RC_Lane,B70,RC_Band,E70))),IF(U70="Other","",IF(INDEX(RS_Rate,MATCH(B70,RS_Lane,0))="","",INDEX(RS_Rate,MATCH(B70,RS_Lane,0))))))</f>
        <v>1428.70443</v>
      </c>
    </row>
    <row r="71" customFormat="false" ht="15" hidden="false" customHeight="false" outlineLevel="0" collapsed="false">
      <c r="A71" s="3" t="s">
        <v>480</v>
      </c>
      <c r="B71" s="25" t="s">
        <v>108</v>
      </c>
      <c r="C71" s="8" t="s">
        <v>109</v>
      </c>
      <c r="D71" s="8" t="s">
        <v>272</v>
      </c>
      <c r="E71" s="8" t="s">
        <v>180</v>
      </c>
      <c r="F71" s="19" t="n">
        <v>35.1</v>
      </c>
      <c r="G71" s="33" t="n">
        <f aca="false">F71*0.006477</f>
        <v>0.2273427</v>
      </c>
      <c r="H71" s="19" t="n">
        <f aca="false">F71*1.079436</f>
        <v>37.8882036</v>
      </c>
      <c r="I71" s="18" t="n">
        <f aca="false">MAX(1,ROUNDUP(G71/0.096,0))</f>
        <v>3</v>
      </c>
      <c r="J71" s="31" t="n">
        <v>46468</v>
      </c>
      <c r="K71" s="34" t="n">
        <f aca="false">J71-WEEKDAY(J71,2)+1</f>
        <v>46468</v>
      </c>
      <c r="L71" s="31" t="n">
        <f aca="false">J71</f>
        <v>46468</v>
      </c>
      <c r="M71" s="26" t="n">
        <f aca="false">INDEX(LR_Target,MATCH(B71,LR_Lane,0))</f>
        <v>2</v>
      </c>
      <c r="N71" s="31" t="n">
        <f aca="false">WORKDAY.INTL(L71,M71,INDEX(LR_Code,MATCH(B71,LR_Lane,0)),INDEX(DH_Table,0,MATCH(B71&amp;"*",DH_Head,0)))</f>
        <v>46470</v>
      </c>
      <c r="O71" s="35" t="n">
        <f aca="false">IF(W71&lt;&gt;"",W71,IF(U71="Helmond",IF(COUNTIFS(RC_Lane,B71,RC_Band,E71,RC_Transit,"&lt;&gt;")=0,"",SUMIFS(RC_Transit,RC_Lane,B71,RC_Band,E71)),IF(U71="Other","",IF(INDEX(RS_Transit,MATCH(B71,RS_Lane,0))="","",INDEX(RS_Transit,MATCH(B71,RS_Lane,0))))))</f>
        <v>2</v>
      </c>
      <c r="P71" s="36"/>
      <c r="Q71" s="31" t="n">
        <f aca="false">IF(P71&lt;&gt;"",P71,IF(O71="","",WORKDAY.INTL(L71,ROUNDUP(O71,0),INDEX(LR_Code,MATCH(B71,LR_Lane,0)),INDEX(DH_Table,0,MATCH(B71&amp;"*",DH_Head,0)))))</f>
        <v>46470</v>
      </c>
      <c r="R71" s="37" t="str">
        <f aca="false">IF(Q71="","",IF(Q71&lt;=N71,"Yes","No"))</f>
        <v>Yes</v>
      </c>
      <c r="S71" s="26" t="n">
        <f aca="false">IF(Q71="","",IF(Q71&lt;=N71,0,NETWORKDAYS.INTL(N71,Q71,INDEX(LR_Code,MATCH(B71,LR_Lane,0)),INDEX(DH_Table,0,MATCH(B71&amp;"*",DH_Head,0)))-1))</f>
        <v>0</v>
      </c>
      <c r="T71" s="4"/>
      <c r="U71" s="25" t="str">
        <f aca="false">IF(V71&lt;&gt;"",V71,IF(IFERROR(INDEX(RS_Flag,MATCH(B71,RS_Lane,0)),"")="Yes",IF(IFERROR(INDEX(RS_Loc,MATCH(B71,RS_Lane,0)),"")="","Regional stock",IFERROR(INDEX(RS_Loc,MATCH(B71,RS_Lane,0)),"")),"Helmond"))</f>
        <v>Helmond</v>
      </c>
      <c r="V71" s="17"/>
      <c r="W71" s="38"/>
      <c r="X71" s="39"/>
      <c r="Y71" s="40" t="n">
        <f aca="false">IF(X71&lt;&gt;"",X71,IF(U71="Helmond",IF(COUNTIFS(RC_Lane,B71,RC_Band,E71,RC_CostPS,"&gt;0")=0,"",SUMIFS(RC_CostPS,RC_Lane,B71,RC_Band,E71)*(1-SUMIFS(RC_Disc,RC_Lane,B71,RC_Band,E71))),IF(U71="Other","",IF(INDEX(RS_Rate,MATCH(B71,RS_Lane,0))="","",INDEX(RS_Rate,MATCH(B71,RS_Lane,0))))))</f>
        <v>284.98176</v>
      </c>
    </row>
    <row r="72" customFormat="false" ht="15" hidden="false" customHeight="false" outlineLevel="0" collapsed="false">
      <c r="A72" s="3" t="s">
        <v>481</v>
      </c>
      <c r="B72" s="25" t="s">
        <v>117</v>
      </c>
      <c r="C72" s="8" t="s">
        <v>118</v>
      </c>
      <c r="D72" s="8" t="s">
        <v>154</v>
      </c>
      <c r="E72" s="8" t="s">
        <v>180</v>
      </c>
      <c r="F72" s="19" t="n">
        <v>39.5</v>
      </c>
      <c r="G72" s="33" t="n">
        <f aca="false">F72*0.006477</f>
        <v>0.2558415</v>
      </c>
      <c r="H72" s="19" t="n">
        <f aca="false">F72*1.079436</f>
        <v>42.637722</v>
      </c>
      <c r="I72" s="18" t="n">
        <f aca="false">MAX(1,ROUNDUP(G72/0.096,0))</f>
        <v>3</v>
      </c>
      <c r="J72" s="31" t="n">
        <v>46468</v>
      </c>
      <c r="K72" s="34" t="n">
        <f aca="false">J72-WEEKDAY(J72,2)+1</f>
        <v>46468</v>
      </c>
      <c r="L72" s="31" t="n">
        <f aca="false">J72</f>
        <v>46468</v>
      </c>
      <c r="M72" s="26" t="n">
        <f aca="false">INDEX(LR_Target,MATCH(B72,LR_Lane,0))</f>
        <v>2</v>
      </c>
      <c r="N72" s="31" t="n">
        <f aca="false">WORKDAY.INTL(L72,M72,INDEX(LR_Code,MATCH(B72,LR_Lane,0)),INDEX(DH_Table,0,MATCH(B72&amp;"*",DH_Head,0)))</f>
        <v>46470</v>
      </c>
      <c r="O72" s="35" t="n">
        <f aca="false">IF(W72&lt;&gt;"",W72,IF(U72="Helmond",IF(COUNTIFS(RC_Lane,B72,RC_Band,E72,RC_Transit,"&lt;&gt;")=0,"",SUMIFS(RC_Transit,RC_Lane,B72,RC_Band,E72)),IF(U72="Other","",IF(INDEX(RS_Transit,MATCH(B72,RS_Lane,0))="","",INDEX(RS_Transit,MATCH(B72,RS_Lane,0))))))</f>
        <v>2</v>
      </c>
      <c r="P72" s="36"/>
      <c r="Q72" s="31" t="n">
        <f aca="false">IF(P72&lt;&gt;"",P72,IF(O72="","",WORKDAY.INTL(L72,ROUNDUP(O72,0),INDEX(LR_Code,MATCH(B72,LR_Lane,0)),INDEX(DH_Table,0,MATCH(B72&amp;"*",DH_Head,0)))))</f>
        <v>46470</v>
      </c>
      <c r="R72" s="37" t="str">
        <f aca="false">IF(Q72="","",IF(Q72&lt;=N72,"Yes","No"))</f>
        <v>Yes</v>
      </c>
      <c r="S72" s="26" t="n">
        <f aca="false">IF(Q72="","",IF(Q72&lt;=N72,0,NETWORKDAYS.INTL(N72,Q72,INDEX(LR_Code,MATCH(B72,LR_Lane,0)),INDEX(DH_Table,0,MATCH(B72&amp;"*",DH_Head,0)))-1))</f>
        <v>0</v>
      </c>
      <c r="T72" s="4"/>
      <c r="U72" s="25" t="str">
        <f aca="false">IF(V72&lt;&gt;"",V72,IF(IFERROR(INDEX(RS_Flag,MATCH(B72,RS_Lane,0)),"")="Yes",IF(IFERROR(INDEX(RS_Loc,MATCH(B72,RS_Lane,0)),"")="","Regional stock",IFERROR(INDEX(RS_Loc,MATCH(B72,RS_Lane,0)),"")),"Helmond"))</f>
        <v>Helmond</v>
      </c>
      <c r="V72" s="17"/>
      <c r="W72" s="38"/>
      <c r="X72" s="39"/>
      <c r="Y72" s="40" t="n">
        <f aca="false">IF(X72&lt;&gt;"",X72,IF(U72="Helmond",IF(COUNTIFS(RC_Lane,B72,RC_Band,E72,RC_CostPS,"&gt;0")=0,"",SUMIFS(RC_CostPS,RC_Lane,B72,RC_Band,E72)*(1-SUMIFS(RC_Disc,RC_Lane,B72,RC_Band,E72))),IF(U72="Other","",IF(INDEX(RS_Rate,MATCH(B72,RS_Lane,0))="","",INDEX(RS_Rate,MATCH(B72,RS_Lane,0))))))</f>
        <v>154.40768</v>
      </c>
    </row>
    <row r="73" customFormat="false" ht="15" hidden="false" customHeight="false" outlineLevel="0" collapsed="false">
      <c r="A73" s="3" t="s">
        <v>482</v>
      </c>
      <c r="B73" s="25" t="s">
        <v>108</v>
      </c>
      <c r="C73" s="8" t="s">
        <v>109</v>
      </c>
      <c r="D73" s="8" t="s">
        <v>272</v>
      </c>
      <c r="E73" s="8" t="s">
        <v>182</v>
      </c>
      <c r="F73" s="19" t="n">
        <v>139.3</v>
      </c>
      <c r="G73" s="33" t="n">
        <f aca="false">F73*0.006477</f>
        <v>0.9022461</v>
      </c>
      <c r="H73" s="19" t="n">
        <f aca="false">F73*1.079436</f>
        <v>150.3654348</v>
      </c>
      <c r="I73" s="18" t="n">
        <f aca="false">MAX(1,ROUNDUP(G73/0.096,0))</f>
        <v>10</v>
      </c>
      <c r="J73" s="31" t="n">
        <v>46470</v>
      </c>
      <c r="K73" s="34" t="n">
        <f aca="false">J73-WEEKDAY(J73,2)+1</f>
        <v>46468</v>
      </c>
      <c r="L73" s="31" t="n">
        <f aca="false">J73</f>
        <v>46470</v>
      </c>
      <c r="M73" s="26" t="n">
        <f aca="false">INDEX(LR_Target,MATCH(B73,LR_Lane,0))</f>
        <v>2</v>
      </c>
      <c r="N73" s="31" t="n">
        <f aca="false">WORKDAY.INTL(L73,M73,INDEX(LR_Code,MATCH(B73,LR_Lane,0)),INDEX(DH_Table,0,MATCH(B73&amp;"*",DH_Head,0)))</f>
        <v>46474</v>
      </c>
      <c r="O73" s="35" t="n">
        <f aca="false">IF(W73&lt;&gt;"",W73,IF(U73="Helmond",IF(COUNTIFS(RC_Lane,B73,RC_Band,E73,RC_Transit,"&lt;&gt;")=0,"",SUMIFS(RC_Transit,RC_Lane,B73,RC_Band,E73)),IF(U73="Other","",IF(INDEX(RS_Transit,MATCH(B73,RS_Lane,0))="","",INDEX(RS_Transit,MATCH(B73,RS_Lane,0))))))</f>
        <v>3</v>
      </c>
      <c r="P73" s="36"/>
      <c r="Q73" s="31" t="n">
        <f aca="false">IF(P73&lt;&gt;"",P73,IF(O73="","",WORKDAY.INTL(L73,ROUNDUP(O73,0),INDEX(LR_Code,MATCH(B73,LR_Lane,0)),INDEX(DH_Table,0,MATCH(B73&amp;"*",DH_Head,0)))))</f>
        <v>46475</v>
      </c>
      <c r="R73" s="37" t="str">
        <f aca="false">IF(Q73="","",IF(Q73&lt;=N73,"Yes","No"))</f>
        <v>No</v>
      </c>
      <c r="S73" s="26" t="n">
        <f aca="false">IF(Q73="","",IF(Q73&lt;=N73,0,NETWORKDAYS.INTL(N73,Q73,INDEX(LR_Code,MATCH(B73,LR_Lane,0)),INDEX(DH_Table,0,MATCH(B73&amp;"*",DH_Head,0)))-1))</f>
        <v>1</v>
      </c>
      <c r="T73" s="4"/>
      <c r="U73" s="25" t="str">
        <f aca="false">IF(V73&lt;&gt;"",V73,IF(IFERROR(INDEX(RS_Flag,MATCH(B73,RS_Lane,0)),"")="Yes",IF(IFERROR(INDEX(RS_Loc,MATCH(B73,RS_Lane,0)),"")="","Regional stock",IFERROR(INDEX(RS_Loc,MATCH(B73,RS_Lane,0)),"")),"Helmond"))</f>
        <v>Helmond</v>
      </c>
      <c r="V73" s="17"/>
      <c r="W73" s="38"/>
      <c r="X73" s="39"/>
      <c r="Y73" s="40" t="n">
        <f aca="false">IF(X73&lt;&gt;"",X73,IF(U73="Helmond",IF(COUNTIFS(RC_Lane,B73,RC_Band,E73,RC_CostPS,"&gt;0")=0,"",SUMIFS(RC_CostPS,RC_Lane,B73,RC_Band,E73)*(1-SUMIFS(RC_Disc,RC_Lane,B73,RC_Band,E73))),IF(U73="Other","",IF(INDEX(RS_Rate,MATCH(B73,RS_Lane,0))="","",INDEX(RS_Rate,MATCH(B73,RS_Lane,0))))))</f>
        <v>1009.7531</v>
      </c>
    </row>
    <row r="74" customFormat="false" ht="15" hidden="false" customHeight="false" outlineLevel="0" collapsed="false">
      <c r="A74" s="3" t="s">
        <v>483</v>
      </c>
      <c r="B74" s="25" t="s">
        <v>108</v>
      </c>
      <c r="C74" s="8" t="s">
        <v>109</v>
      </c>
      <c r="D74" s="8" t="s">
        <v>272</v>
      </c>
      <c r="E74" s="8" t="s">
        <v>183</v>
      </c>
      <c r="F74" s="19" t="n">
        <v>887.7</v>
      </c>
      <c r="G74" s="33" t="n">
        <f aca="false">F74*0.006477</f>
        <v>5.7496329</v>
      </c>
      <c r="H74" s="19" t="n">
        <f aca="false">F74*1.079436</f>
        <v>958.2153372</v>
      </c>
      <c r="I74" s="18" t="n">
        <f aca="false">MAX(1,ROUNDUP(G74/0.096,0))</f>
        <v>60</v>
      </c>
      <c r="J74" s="31" t="n">
        <v>46472</v>
      </c>
      <c r="K74" s="34" t="n">
        <f aca="false">J74-WEEKDAY(J74,2)+1</f>
        <v>46468</v>
      </c>
      <c r="L74" s="31" t="n">
        <f aca="false">J74</f>
        <v>46472</v>
      </c>
      <c r="M74" s="26" t="n">
        <f aca="false">INDEX(LR_Target,MATCH(B74,LR_Lane,0))</f>
        <v>2</v>
      </c>
      <c r="N74" s="31" t="n">
        <f aca="false">WORKDAY.INTL(L74,M74,INDEX(LR_Code,MATCH(B74,LR_Lane,0)),INDEX(DH_Table,0,MATCH(B74&amp;"*",DH_Head,0)))</f>
        <v>46475</v>
      </c>
      <c r="O74" s="35" t="n">
        <f aca="false">IF(W74&lt;&gt;"",W74,IF(U74="Helmond",IF(COUNTIFS(RC_Lane,B74,RC_Band,E74,RC_Transit,"&lt;&gt;")=0,"",SUMIFS(RC_Transit,RC_Lane,B74,RC_Band,E74)),IF(U74="Other","",IF(INDEX(RS_Transit,MATCH(B74,RS_Lane,0))="","",INDEX(RS_Transit,MATCH(B74,RS_Lane,0))))))</f>
        <v>4</v>
      </c>
      <c r="P74" s="36"/>
      <c r="Q74" s="31" t="n">
        <f aca="false">IF(P74&lt;&gt;"",P74,IF(O74="","",WORKDAY.INTL(L74,ROUNDUP(O74,0),INDEX(LR_Code,MATCH(B74,LR_Lane,0)),INDEX(DH_Table,0,MATCH(B74&amp;"*",DH_Head,0)))))</f>
        <v>46477</v>
      </c>
      <c r="R74" s="37" t="str">
        <f aca="false">IF(Q74="","",IF(Q74&lt;=N74,"Yes","No"))</f>
        <v>No</v>
      </c>
      <c r="S74" s="26" t="n">
        <f aca="false">IF(Q74="","",IF(Q74&lt;=N74,0,NETWORKDAYS.INTL(N74,Q74,INDEX(LR_Code,MATCH(B74,LR_Lane,0)),INDEX(DH_Table,0,MATCH(B74&amp;"*",DH_Head,0)))-1))</f>
        <v>2</v>
      </c>
      <c r="T74" s="4"/>
      <c r="U74" s="25" t="str">
        <f aca="false">IF(V74&lt;&gt;"",V74,IF(IFERROR(INDEX(RS_Flag,MATCH(B74,RS_Lane,0)),"")="Yes",IF(IFERROR(INDEX(RS_Loc,MATCH(B74,RS_Lane,0)),"")="","Regional stock",IFERROR(INDEX(RS_Loc,MATCH(B74,RS_Lane,0)),"")),"Helmond"))</f>
        <v>Helmond</v>
      </c>
      <c r="V74" s="17"/>
      <c r="W74" s="38"/>
      <c r="X74" s="39"/>
      <c r="Y74" s="40" t="n">
        <f aca="false">IF(X74&lt;&gt;"",X74,IF(U74="Helmond",IF(COUNTIFS(RC_Lane,B74,RC_Band,E74,RC_CostPS,"&gt;0")=0,"",SUMIFS(RC_CostPS,RC_Lane,B74,RC_Band,E74)*(1-SUMIFS(RC_Disc,RC_Lane,B74,RC_Band,E74))),IF(U74="Other","",IF(INDEX(RS_Rate,MATCH(B74,RS_Lane,0))="","",INDEX(RS_Rate,MATCH(B74,RS_Lane,0))))))</f>
        <v>3051.4304</v>
      </c>
    </row>
    <row r="75" customFormat="false" ht="15" hidden="false" customHeight="false" outlineLevel="0" collapsed="false">
      <c r="A75" s="3" t="s">
        <v>484</v>
      </c>
      <c r="B75" s="25" t="s">
        <v>108</v>
      </c>
      <c r="C75" s="8" t="s">
        <v>109</v>
      </c>
      <c r="D75" s="8" t="s">
        <v>270</v>
      </c>
      <c r="E75" s="8" t="s">
        <v>178</v>
      </c>
      <c r="F75" s="19" t="n">
        <v>12.9</v>
      </c>
      <c r="G75" s="33" t="n">
        <f aca="false">F75*0.006477</f>
        <v>0.0835533</v>
      </c>
      <c r="H75" s="19" t="n">
        <f aca="false">F75*1.079436</f>
        <v>13.9247244</v>
      </c>
      <c r="I75" s="18" t="n">
        <f aca="false">MAX(1,ROUNDUP(G75/0.096,0))</f>
        <v>1</v>
      </c>
      <c r="J75" s="31" t="n">
        <v>46477</v>
      </c>
      <c r="K75" s="34" t="n">
        <f aca="false">J75-WEEKDAY(J75,2)+1</f>
        <v>46475</v>
      </c>
      <c r="L75" s="31" t="n">
        <f aca="false">J75</f>
        <v>46477</v>
      </c>
      <c r="M75" s="26" t="n">
        <f aca="false">INDEX(LR_Target,MATCH(B75,LR_Lane,0))</f>
        <v>2</v>
      </c>
      <c r="N75" s="31" t="n">
        <f aca="false">WORKDAY.INTL(L75,M75,INDEX(LR_Code,MATCH(B75,LR_Lane,0)),INDEX(DH_Table,0,MATCH(B75&amp;"*",DH_Head,0)))</f>
        <v>46481</v>
      </c>
      <c r="O75" s="35" t="n">
        <f aca="false">IF(W75&lt;&gt;"",W75,IF(U75="Helmond",IF(COUNTIFS(RC_Lane,B75,RC_Band,E75,RC_Transit,"&lt;&gt;")=0,"",SUMIFS(RC_Transit,RC_Lane,B75,RC_Band,E75)),IF(U75="Other","",IF(INDEX(RS_Transit,MATCH(B75,RS_Lane,0))="","",INDEX(RS_Transit,MATCH(B75,RS_Lane,0))))))</f>
        <v>1</v>
      </c>
      <c r="P75" s="36"/>
      <c r="Q75" s="31" t="n">
        <f aca="false">IF(P75&lt;&gt;"",P75,IF(O75="","",WORKDAY.INTL(L75,ROUNDUP(O75,0),INDEX(LR_Code,MATCH(B75,LR_Lane,0)),INDEX(DH_Table,0,MATCH(B75&amp;"*",DH_Head,0)))))</f>
        <v>46478</v>
      </c>
      <c r="R75" s="37" t="str">
        <f aca="false">IF(Q75="","",IF(Q75&lt;=N75,"Yes","No"))</f>
        <v>Yes</v>
      </c>
      <c r="S75" s="26" t="n">
        <f aca="false">IF(Q75="","",IF(Q75&lt;=N75,0,NETWORKDAYS.INTL(N75,Q75,INDEX(LR_Code,MATCH(B75,LR_Lane,0)),INDEX(DH_Table,0,MATCH(B75&amp;"*",DH_Head,0)))-1))</f>
        <v>0</v>
      </c>
      <c r="T75" s="4"/>
      <c r="U75" s="25" t="str">
        <f aca="false">IF(V75&lt;&gt;"",V75,IF(IFERROR(INDEX(RS_Flag,MATCH(B75,RS_Lane,0)),"")="Yes",IF(IFERROR(INDEX(RS_Loc,MATCH(B75,RS_Lane,0)),"")="","Regional stock",IFERROR(INDEX(RS_Loc,MATCH(B75,RS_Lane,0)),"")),"Helmond"))</f>
        <v>Helmond</v>
      </c>
      <c r="V75" s="17"/>
      <c r="W75" s="38"/>
      <c r="X75" s="39"/>
      <c r="Y75" s="40" t="n">
        <f aca="false">IF(X75&lt;&gt;"",X75,IF(U75="Helmond",IF(COUNTIFS(RC_Lane,B75,RC_Band,E75,RC_CostPS,"&gt;0")=0,"",SUMIFS(RC_CostPS,RC_Lane,B75,RC_Band,E75)*(1-SUMIFS(RC_Disc,RC_Lane,B75,RC_Band,E75))),IF(U75="Other","",IF(INDEX(RS_Rate,MATCH(B75,RS_Lane,0))="","",INDEX(RS_Rate,MATCH(B75,RS_Lane,0))))))</f>
        <v>72.485</v>
      </c>
    </row>
    <row r="76" customFormat="false" ht="15" hidden="false" customHeight="false" outlineLevel="0" collapsed="false">
      <c r="A76" s="3" t="s">
        <v>485</v>
      </c>
      <c r="B76" s="25" t="s">
        <v>119</v>
      </c>
      <c r="C76" s="8" t="s">
        <v>120</v>
      </c>
      <c r="D76" s="8" t="s">
        <v>155</v>
      </c>
      <c r="E76" s="8" t="s">
        <v>180</v>
      </c>
      <c r="F76" s="19" t="n">
        <v>38.4</v>
      </c>
      <c r="G76" s="33" t="n">
        <f aca="false">F76*0.006477</f>
        <v>0.2487168</v>
      </c>
      <c r="H76" s="19" t="n">
        <f aca="false">F76*1.079436</f>
        <v>41.4503424</v>
      </c>
      <c r="I76" s="18" t="n">
        <f aca="false">MAX(1,ROUNDUP(G76/0.096,0))</f>
        <v>3</v>
      </c>
      <c r="J76" s="31" t="n">
        <v>46478</v>
      </c>
      <c r="K76" s="34" t="n">
        <f aca="false">J76-WEEKDAY(J76,2)+1</f>
        <v>46475</v>
      </c>
      <c r="L76" s="31" t="n">
        <f aca="false">J76</f>
        <v>46478</v>
      </c>
      <c r="M76" s="26" t="n">
        <f aca="false">INDEX(LR_Target,MATCH(B76,LR_Lane,0))</f>
        <v>3</v>
      </c>
      <c r="N76" s="31" t="n">
        <f aca="false">WORKDAY.INTL(L76,M76,INDEX(LR_Code,MATCH(B76,LR_Lane,0)),INDEX(DH_Table,0,MATCH(B76&amp;"*",DH_Head,0)))</f>
        <v>46483</v>
      </c>
      <c r="O76" s="35" t="n">
        <f aca="false">IF(W76&lt;&gt;"",W76,IF(U76="Helmond",IF(COUNTIFS(RC_Lane,B76,RC_Band,E76,RC_Transit,"&lt;&gt;")=0,"",SUMIFS(RC_Transit,RC_Lane,B76,RC_Band,E76)),IF(U76="Other","",IF(INDEX(RS_Transit,MATCH(B76,RS_Lane,0))="","",INDEX(RS_Transit,MATCH(B76,RS_Lane,0))))))</f>
        <v>2</v>
      </c>
      <c r="P76" s="36"/>
      <c r="Q76" s="31" t="n">
        <f aca="false">IF(P76&lt;&gt;"",P76,IF(O76="","",WORKDAY.INTL(L76,ROUNDUP(O76,0),INDEX(LR_Code,MATCH(B76,LR_Lane,0)),INDEX(DH_Table,0,MATCH(B76&amp;"*",DH_Head,0)))))</f>
        <v>46482</v>
      </c>
      <c r="R76" s="37" t="str">
        <f aca="false">IF(Q76="","",IF(Q76&lt;=N76,"Yes","No"))</f>
        <v>Yes</v>
      </c>
      <c r="S76" s="26" t="n">
        <f aca="false">IF(Q76="","",IF(Q76&lt;=N76,0,NETWORKDAYS.INTL(N76,Q76,INDEX(LR_Code,MATCH(B76,LR_Lane,0)),INDEX(DH_Table,0,MATCH(B76&amp;"*",DH_Head,0)))-1))</f>
        <v>0</v>
      </c>
      <c r="T76" s="4"/>
      <c r="U76" s="25" t="str">
        <f aca="false">IF(V76&lt;&gt;"",V76,IF(IFERROR(INDEX(RS_Flag,MATCH(B76,RS_Lane,0)),"")="Yes",IF(IFERROR(INDEX(RS_Loc,MATCH(B76,RS_Lane,0)),"")="","Regional stock",IFERROR(INDEX(RS_Loc,MATCH(B76,RS_Lane,0)),"")),"Helmond"))</f>
        <v>Helmond</v>
      </c>
      <c r="V76" s="17"/>
      <c r="W76" s="38"/>
      <c r="X76" s="39"/>
      <c r="Y76" s="40" t="n">
        <f aca="false">IF(X76&lt;&gt;"",X76,IF(U76="Helmond",IF(COUNTIFS(RC_Lane,B76,RC_Band,E76,RC_CostPS,"&gt;0")=0,"",SUMIFS(RC_CostPS,RC_Lane,B76,RC_Band,E76)*(1-SUMIFS(RC_Disc,RC_Lane,B76,RC_Band,E76))),IF(U76="Other","",IF(INDEX(RS_Rate,MATCH(B76,RS_Lane,0))="","",INDEX(RS_Rate,MATCH(B76,RS_Lane,0))))))</f>
        <v>303.81456</v>
      </c>
    </row>
    <row r="77" customFormat="false" ht="15" hidden="false" customHeight="false" outlineLevel="0" collapsed="false">
      <c r="A77" s="3" t="s">
        <v>486</v>
      </c>
      <c r="B77" s="25" t="s">
        <v>126</v>
      </c>
      <c r="C77" s="8" t="s">
        <v>127</v>
      </c>
      <c r="D77" s="8" t="s">
        <v>158</v>
      </c>
      <c r="E77" s="8" t="s">
        <v>182</v>
      </c>
      <c r="F77" s="19" t="n">
        <v>364.8</v>
      </c>
      <c r="G77" s="33" t="n">
        <f aca="false">F77*0.006477</f>
        <v>2.3628096</v>
      </c>
      <c r="H77" s="19" t="n">
        <f aca="false">F77*1.079436</f>
        <v>393.7782528</v>
      </c>
      <c r="I77" s="18" t="n">
        <f aca="false">MAX(1,ROUNDUP(G77/0.096,0))</f>
        <v>25</v>
      </c>
      <c r="J77" s="31" t="n">
        <v>46479</v>
      </c>
      <c r="K77" s="34" t="n">
        <f aca="false">J77-WEEKDAY(J77,2)+1</f>
        <v>46475</v>
      </c>
      <c r="L77" s="31" t="n">
        <f aca="false">J77</f>
        <v>46479</v>
      </c>
      <c r="M77" s="26" t="n">
        <f aca="false">INDEX(LR_Target,MATCH(B77,LR_Lane,0))</f>
        <v>4</v>
      </c>
      <c r="N77" s="31" t="n">
        <f aca="false">WORKDAY.INTL(L77,M77,INDEX(LR_Code,MATCH(B77,LR_Lane,0)),INDEX(DH_Table,0,MATCH(B77&amp;"*",DH_Head,0)))</f>
        <v>46484</v>
      </c>
      <c r="O77" s="35" t="n">
        <f aca="false">IF(W77&lt;&gt;"",W77,IF(U77="Helmond",IF(COUNTIFS(RC_Lane,B77,RC_Band,E77,RC_Transit,"&lt;&gt;")=0,"",SUMIFS(RC_Transit,RC_Lane,B77,RC_Band,E77)),IF(U77="Other","",IF(INDEX(RS_Transit,MATCH(B77,RS_Lane,0))="","",INDEX(RS_Transit,MATCH(B77,RS_Lane,0))))))</f>
        <v>3</v>
      </c>
      <c r="P77" s="36"/>
      <c r="Q77" s="31" t="n">
        <f aca="false">IF(P77&lt;&gt;"",P77,IF(O77="","",WORKDAY.INTL(L77,ROUNDUP(O77,0),INDEX(LR_Code,MATCH(B77,LR_Lane,0)),INDEX(DH_Table,0,MATCH(B77&amp;"*",DH_Head,0)))))</f>
        <v>46483</v>
      </c>
      <c r="R77" s="37" t="str">
        <f aca="false">IF(Q77="","",IF(Q77&lt;=N77,"Yes","No"))</f>
        <v>Yes</v>
      </c>
      <c r="S77" s="26" t="n">
        <f aca="false">IF(Q77="","",IF(Q77&lt;=N77,0,NETWORKDAYS.INTL(N77,Q77,INDEX(LR_Code,MATCH(B77,LR_Lane,0)),INDEX(DH_Table,0,MATCH(B77&amp;"*",DH_Head,0)))-1))</f>
        <v>0</v>
      </c>
      <c r="T77" s="4"/>
      <c r="U77" s="25" t="str">
        <f aca="false">IF(V77&lt;&gt;"",V77,IF(IFERROR(INDEX(RS_Flag,MATCH(B77,RS_Lane,0)),"")="Yes",IF(IFERROR(INDEX(RS_Loc,MATCH(B77,RS_Lane,0)),"")="","Regional stock",IFERROR(INDEX(RS_Loc,MATCH(B77,RS_Lane,0)),"")),"Helmond"))</f>
        <v>Helmond</v>
      </c>
      <c r="V77" s="17"/>
      <c r="W77" s="38"/>
      <c r="X77" s="39"/>
      <c r="Y77" s="40" t="n">
        <f aca="false">IF(X77&lt;&gt;"",X77,IF(U77="Helmond",IF(COUNTIFS(RC_Lane,B77,RC_Band,E77,RC_CostPS,"&gt;0")=0,"",SUMIFS(RC_CostPS,RC_Lane,B77,RC_Band,E77)*(1-SUMIFS(RC_Disc,RC_Lane,B77,RC_Band,E77))),IF(U77="Other","",IF(INDEX(RS_Rate,MATCH(B77,RS_Lane,0))="","",INDEX(RS_Rate,MATCH(B77,RS_Lane,0))))))</f>
        <v>890.05272</v>
      </c>
    </row>
    <row r="78" customFormat="false" ht="15" hidden="false" customHeight="false" outlineLevel="0" collapsed="false">
      <c r="A78" s="3" t="s">
        <v>487</v>
      </c>
      <c r="B78" s="25" t="s">
        <v>119</v>
      </c>
      <c r="C78" s="8" t="s">
        <v>120</v>
      </c>
      <c r="D78" s="8" t="s">
        <v>155</v>
      </c>
      <c r="E78" s="8" t="s">
        <v>178</v>
      </c>
      <c r="F78" s="19" t="n">
        <v>4.6</v>
      </c>
      <c r="G78" s="33" t="n">
        <f aca="false">F78*0.006477</f>
        <v>0.0297942</v>
      </c>
      <c r="H78" s="19" t="n">
        <f aca="false">F78*1.079436</f>
        <v>4.9654056</v>
      </c>
      <c r="I78" s="18" t="n">
        <f aca="false">MAX(1,ROUNDUP(G78/0.096,0))</f>
        <v>1</v>
      </c>
      <c r="J78" s="31" t="n">
        <v>46483</v>
      </c>
      <c r="K78" s="34" t="n">
        <f aca="false">J78-WEEKDAY(J78,2)+1</f>
        <v>46482</v>
      </c>
      <c r="L78" s="31" t="n">
        <f aca="false">J78</f>
        <v>46483</v>
      </c>
      <c r="M78" s="26" t="n">
        <f aca="false">INDEX(LR_Target,MATCH(B78,LR_Lane,0))</f>
        <v>3</v>
      </c>
      <c r="N78" s="31" t="n">
        <f aca="false">WORKDAY.INTL(L78,M78,INDEX(LR_Code,MATCH(B78,LR_Lane,0)),INDEX(DH_Table,0,MATCH(B78&amp;"*",DH_Head,0)))</f>
        <v>46486</v>
      </c>
      <c r="O78" s="35" t="n">
        <f aca="false">IF(W78&lt;&gt;"",W78,IF(U78="Helmond",IF(COUNTIFS(RC_Lane,B78,RC_Band,E78,RC_Transit,"&lt;&gt;")=0,"",SUMIFS(RC_Transit,RC_Lane,B78,RC_Band,E78)),IF(U78="Other","",IF(INDEX(RS_Transit,MATCH(B78,RS_Lane,0))="","",INDEX(RS_Transit,MATCH(B78,RS_Lane,0))))))</f>
        <v>1</v>
      </c>
      <c r="P78" s="36"/>
      <c r="Q78" s="31" t="n">
        <f aca="false">IF(P78&lt;&gt;"",P78,IF(O78="","",WORKDAY.INTL(L78,ROUNDUP(O78,0),INDEX(LR_Code,MATCH(B78,LR_Lane,0)),INDEX(DH_Table,0,MATCH(B78&amp;"*",DH_Head,0)))))</f>
        <v>46484</v>
      </c>
      <c r="R78" s="37" t="str">
        <f aca="false">IF(Q78="","",IF(Q78&lt;=N78,"Yes","No"))</f>
        <v>Yes</v>
      </c>
      <c r="S78" s="26" t="n">
        <f aca="false">IF(Q78="","",IF(Q78&lt;=N78,0,NETWORKDAYS.INTL(N78,Q78,INDEX(LR_Code,MATCH(B78,LR_Lane,0)),INDEX(DH_Table,0,MATCH(B78&amp;"*",DH_Head,0)))-1))</f>
        <v>0</v>
      </c>
      <c r="T78" s="4"/>
      <c r="U78" s="25" t="str">
        <f aca="false">IF(V78&lt;&gt;"",V78,IF(IFERROR(INDEX(RS_Flag,MATCH(B78,RS_Lane,0)),"")="Yes",IF(IFERROR(INDEX(RS_Loc,MATCH(B78,RS_Lane,0)),"")="","Regional stock",IFERROR(INDEX(RS_Loc,MATCH(B78,RS_Lane,0)),"")),"Helmond"))</f>
        <v>Helmond</v>
      </c>
      <c r="V78" s="17"/>
      <c r="W78" s="38"/>
      <c r="X78" s="39"/>
      <c r="Y78" s="40" t="n">
        <f aca="false">IF(X78&lt;&gt;"",X78,IF(U78="Helmond",IF(COUNTIFS(RC_Lane,B78,RC_Band,E78,RC_CostPS,"&gt;0")=0,"",SUMIFS(RC_CostPS,RC_Lane,B78,RC_Band,E78)*(1-SUMIFS(RC_Disc,RC_Lane,B78,RC_Band,E78))),IF(U78="Other","",IF(INDEX(RS_Rate,MATCH(B78,RS_Lane,0))="","",INDEX(RS_Rate,MATCH(B78,RS_Lane,0))))))</f>
        <v>72.485</v>
      </c>
    </row>
    <row r="79" customFormat="false" ht="15" hidden="false" customHeight="false" outlineLevel="0" collapsed="false">
      <c r="A79" s="3" t="s">
        <v>488</v>
      </c>
      <c r="B79" s="25" t="s">
        <v>108</v>
      </c>
      <c r="C79" s="8" t="s">
        <v>109</v>
      </c>
      <c r="D79" s="8" t="s">
        <v>272</v>
      </c>
      <c r="E79" s="8" t="s">
        <v>182</v>
      </c>
      <c r="F79" s="19" t="n">
        <v>193</v>
      </c>
      <c r="G79" s="33" t="n">
        <f aca="false">F79*0.006477</f>
        <v>1.250061</v>
      </c>
      <c r="H79" s="19" t="n">
        <f aca="false">F79*1.079436</f>
        <v>208.331148</v>
      </c>
      <c r="I79" s="18" t="n">
        <f aca="false">MAX(1,ROUNDUP(G79/0.096,0))</f>
        <v>14</v>
      </c>
      <c r="J79" s="31" t="n">
        <v>46484</v>
      </c>
      <c r="K79" s="34" t="n">
        <f aca="false">J79-WEEKDAY(J79,2)+1</f>
        <v>46482</v>
      </c>
      <c r="L79" s="31" t="n">
        <f aca="false">J79</f>
        <v>46484</v>
      </c>
      <c r="M79" s="26" t="n">
        <f aca="false">INDEX(LR_Target,MATCH(B79,LR_Lane,0))</f>
        <v>2</v>
      </c>
      <c r="N79" s="31" t="n">
        <f aca="false">WORKDAY.INTL(L79,M79,INDEX(LR_Code,MATCH(B79,LR_Lane,0)),INDEX(DH_Table,0,MATCH(B79&amp;"*",DH_Head,0)))</f>
        <v>46488</v>
      </c>
      <c r="O79" s="35" t="n">
        <f aca="false">IF(W79&lt;&gt;"",W79,IF(U79="Helmond",IF(COUNTIFS(RC_Lane,B79,RC_Band,E79,RC_Transit,"&lt;&gt;")=0,"",SUMIFS(RC_Transit,RC_Lane,B79,RC_Band,E79)),IF(U79="Other","",IF(INDEX(RS_Transit,MATCH(B79,RS_Lane,0))="","",INDEX(RS_Transit,MATCH(B79,RS_Lane,0))))))</f>
        <v>3</v>
      </c>
      <c r="P79" s="36"/>
      <c r="Q79" s="31" t="n">
        <f aca="false">IF(P79&lt;&gt;"",P79,IF(O79="","",WORKDAY.INTL(L79,ROUNDUP(O79,0),INDEX(LR_Code,MATCH(B79,LR_Lane,0)),INDEX(DH_Table,0,MATCH(B79&amp;"*",DH_Head,0)))))</f>
        <v>46489</v>
      </c>
      <c r="R79" s="37" t="str">
        <f aca="false">IF(Q79="","",IF(Q79&lt;=N79,"Yes","No"))</f>
        <v>No</v>
      </c>
      <c r="S79" s="26" t="n">
        <f aca="false">IF(Q79="","",IF(Q79&lt;=N79,0,NETWORKDAYS.INTL(N79,Q79,INDEX(LR_Code,MATCH(B79,LR_Lane,0)),INDEX(DH_Table,0,MATCH(B79&amp;"*",DH_Head,0)))-1))</f>
        <v>1</v>
      </c>
      <c r="T79" s="4"/>
      <c r="U79" s="25" t="str">
        <f aca="false">IF(V79&lt;&gt;"",V79,IF(IFERROR(INDEX(RS_Flag,MATCH(B79,RS_Lane,0)),"")="Yes",IF(IFERROR(INDEX(RS_Loc,MATCH(B79,RS_Lane,0)),"")="","Regional stock",IFERROR(INDEX(RS_Loc,MATCH(B79,RS_Lane,0)),"")),"Helmond"))</f>
        <v>Helmond</v>
      </c>
      <c r="V79" s="17"/>
      <c r="W79" s="38"/>
      <c r="X79" s="39"/>
      <c r="Y79" s="40" t="n">
        <f aca="false">IF(X79&lt;&gt;"",X79,IF(U79="Helmond",IF(COUNTIFS(RC_Lane,B79,RC_Band,E79,RC_CostPS,"&gt;0")=0,"",SUMIFS(RC_CostPS,RC_Lane,B79,RC_Band,E79)*(1-SUMIFS(RC_Disc,RC_Lane,B79,RC_Band,E79))),IF(U79="Other","",IF(INDEX(RS_Rate,MATCH(B79,RS_Lane,0))="","",INDEX(RS_Rate,MATCH(B79,RS_Lane,0))))))</f>
        <v>1009.7531</v>
      </c>
    </row>
    <row r="80" customFormat="false" ht="15" hidden="false" customHeight="false" outlineLevel="0" collapsed="false">
      <c r="A80" s="3" t="s">
        <v>489</v>
      </c>
      <c r="B80" s="25" t="s">
        <v>112</v>
      </c>
      <c r="C80" s="8" t="s">
        <v>113</v>
      </c>
      <c r="D80" s="8" t="s">
        <v>152</v>
      </c>
      <c r="E80" s="8" t="s">
        <v>178</v>
      </c>
      <c r="F80" s="19" t="n">
        <v>7.8</v>
      </c>
      <c r="G80" s="33" t="n">
        <f aca="false">F80*0.006477</f>
        <v>0.0505206</v>
      </c>
      <c r="H80" s="19" t="n">
        <f aca="false">F80*1.079436</f>
        <v>8.4196008</v>
      </c>
      <c r="I80" s="18" t="n">
        <f aca="false">MAX(1,ROUNDUP(G80/0.096,0))</f>
        <v>1</v>
      </c>
      <c r="J80" s="31" t="n">
        <v>46484</v>
      </c>
      <c r="K80" s="34" t="n">
        <f aca="false">J80-WEEKDAY(J80,2)+1</f>
        <v>46482</v>
      </c>
      <c r="L80" s="31" t="n">
        <f aca="false">J80</f>
        <v>46484</v>
      </c>
      <c r="M80" s="26" t="n">
        <f aca="false">INDEX(LR_Target,MATCH(B80,LR_Lane,0))</f>
        <v>2</v>
      </c>
      <c r="N80" s="31" t="n">
        <f aca="false">WORKDAY.INTL(L80,M80,INDEX(LR_Code,MATCH(B80,LR_Lane,0)),INDEX(DH_Table,0,MATCH(B80&amp;"*",DH_Head,0)))</f>
        <v>46486</v>
      </c>
      <c r="O80" s="35" t="n">
        <f aca="false">IF(W80&lt;&gt;"",W80,IF(U80="Helmond",IF(COUNTIFS(RC_Lane,B80,RC_Band,E80,RC_Transit,"&lt;&gt;")=0,"",SUMIFS(RC_Transit,RC_Lane,B80,RC_Band,E80)),IF(U80="Other","",IF(INDEX(RS_Transit,MATCH(B80,RS_Lane,0))="","",INDEX(RS_Transit,MATCH(B80,RS_Lane,0))))))</f>
        <v>1</v>
      </c>
      <c r="P80" s="36"/>
      <c r="Q80" s="31" t="n">
        <f aca="false">IF(P80&lt;&gt;"",P80,IF(O80="","",WORKDAY.INTL(L80,ROUNDUP(O80,0),INDEX(LR_Code,MATCH(B80,LR_Lane,0)),INDEX(DH_Table,0,MATCH(B80&amp;"*",DH_Head,0)))))</f>
        <v>46485</v>
      </c>
      <c r="R80" s="37" t="str">
        <f aca="false">IF(Q80="","",IF(Q80&lt;=N80,"Yes","No"))</f>
        <v>Yes</v>
      </c>
      <c r="S80" s="26" t="n">
        <f aca="false">IF(Q80="","",IF(Q80&lt;=N80,0,NETWORKDAYS.INTL(N80,Q80,INDEX(LR_Code,MATCH(B80,LR_Lane,0)),INDEX(DH_Table,0,MATCH(B80&amp;"*",DH_Head,0)))-1))</f>
        <v>0</v>
      </c>
      <c r="T80" s="4"/>
      <c r="U80" s="25" t="str">
        <f aca="false">IF(V80&lt;&gt;"",V80,IF(IFERROR(INDEX(RS_Flag,MATCH(B80,RS_Lane,0)),"")="Yes",IF(IFERROR(INDEX(RS_Loc,MATCH(B80,RS_Lane,0)),"")="","Regional stock",IFERROR(INDEX(RS_Loc,MATCH(B80,RS_Lane,0)),"")),"Helmond"))</f>
        <v>Helmond</v>
      </c>
      <c r="V80" s="17"/>
      <c r="W80" s="38"/>
      <c r="X80" s="39"/>
      <c r="Y80" s="40" t="n">
        <f aca="false">IF(X80&lt;&gt;"",X80,IF(U80="Helmond",IF(COUNTIFS(RC_Lane,B80,RC_Band,E80,RC_CostPS,"&gt;0")=0,"",SUMIFS(RC_CostPS,RC_Lane,B80,RC_Band,E80)*(1-SUMIFS(RC_Disc,RC_Lane,B80,RC_Band,E80))),IF(U80="Other","",IF(INDEX(RS_Rate,MATCH(B80,RS_Lane,0))="","",INDEX(RS_Rate,MATCH(B80,RS_Lane,0))))))</f>
        <v>72.485</v>
      </c>
    </row>
    <row r="81" customFormat="false" ht="15" hidden="false" customHeight="false" outlineLevel="0" collapsed="false">
      <c r="A81" s="3" t="s">
        <v>490</v>
      </c>
      <c r="B81" s="25" t="s">
        <v>108</v>
      </c>
      <c r="C81" s="8" t="s">
        <v>109</v>
      </c>
      <c r="D81" s="8" t="s">
        <v>272</v>
      </c>
      <c r="E81" s="8" t="s">
        <v>183</v>
      </c>
      <c r="F81" s="19" t="n">
        <v>905.1</v>
      </c>
      <c r="G81" s="33" t="n">
        <f aca="false">F81*0.006477</f>
        <v>5.8623327</v>
      </c>
      <c r="H81" s="19" t="n">
        <f aca="false">F81*1.079436</f>
        <v>976.9975236</v>
      </c>
      <c r="I81" s="18" t="n">
        <f aca="false">MAX(1,ROUNDUP(G81/0.096,0))</f>
        <v>62</v>
      </c>
      <c r="J81" s="31" t="n">
        <v>46485</v>
      </c>
      <c r="K81" s="34" t="n">
        <f aca="false">J81-WEEKDAY(J81,2)+1</f>
        <v>46482</v>
      </c>
      <c r="L81" s="31" t="n">
        <f aca="false">J81</f>
        <v>46485</v>
      </c>
      <c r="M81" s="26" t="n">
        <f aca="false">INDEX(LR_Target,MATCH(B81,LR_Lane,0))</f>
        <v>2</v>
      </c>
      <c r="N81" s="31" t="n">
        <f aca="false">WORKDAY.INTL(L81,M81,INDEX(LR_Code,MATCH(B81,LR_Lane,0)),INDEX(DH_Table,0,MATCH(B81&amp;"*",DH_Head,0)))</f>
        <v>46489</v>
      </c>
      <c r="O81" s="35" t="n">
        <f aca="false">IF(W81&lt;&gt;"",W81,IF(U81="Helmond",IF(COUNTIFS(RC_Lane,B81,RC_Band,E81,RC_Transit,"&lt;&gt;")=0,"",SUMIFS(RC_Transit,RC_Lane,B81,RC_Band,E81)),IF(U81="Other","",IF(INDEX(RS_Transit,MATCH(B81,RS_Lane,0))="","",INDEX(RS_Transit,MATCH(B81,RS_Lane,0))))))</f>
        <v>4</v>
      </c>
      <c r="P81" s="36"/>
      <c r="Q81" s="31" t="n">
        <f aca="false">IF(P81&lt;&gt;"",P81,IF(O81="","",WORKDAY.INTL(L81,ROUNDUP(O81,0),INDEX(LR_Code,MATCH(B81,LR_Lane,0)),INDEX(DH_Table,0,MATCH(B81&amp;"*",DH_Head,0)))))</f>
        <v>46491</v>
      </c>
      <c r="R81" s="37" t="str">
        <f aca="false">IF(Q81="","",IF(Q81&lt;=N81,"Yes","No"))</f>
        <v>No</v>
      </c>
      <c r="S81" s="26" t="n">
        <f aca="false">IF(Q81="","",IF(Q81&lt;=N81,0,NETWORKDAYS.INTL(N81,Q81,INDEX(LR_Code,MATCH(B81,LR_Lane,0)),INDEX(DH_Table,0,MATCH(B81&amp;"*",DH_Head,0)))-1))</f>
        <v>2</v>
      </c>
      <c r="T81" s="4"/>
      <c r="U81" s="25" t="str">
        <f aca="false">IF(V81&lt;&gt;"",V81,IF(IFERROR(INDEX(RS_Flag,MATCH(B81,RS_Lane,0)),"")="Yes",IF(IFERROR(INDEX(RS_Loc,MATCH(B81,RS_Lane,0)),"")="","Regional stock",IFERROR(INDEX(RS_Loc,MATCH(B81,RS_Lane,0)),"")),"Helmond"))</f>
        <v>Helmond</v>
      </c>
      <c r="V81" s="17"/>
      <c r="W81" s="38"/>
      <c r="X81" s="39"/>
      <c r="Y81" s="40" t="n">
        <f aca="false">IF(X81&lt;&gt;"",X81,IF(U81="Helmond",IF(COUNTIFS(RC_Lane,B81,RC_Band,E81,RC_CostPS,"&gt;0")=0,"",SUMIFS(RC_CostPS,RC_Lane,B81,RC_Band,E81)*(1-SUMIFS(RC_Disc,RC_Lane,B81,RC_Band,E81))),IF(U81="Other","",IF(INDEX(RS_Rate,MATCH(B81,RS_Lane,0))="","",INDEX(RS_Rate,MATCH(B81,RS_Lane,0))))))</f>
        <v>3051.4304</v>
      </c>
    </row>
    <row r="82" customFormat="false" ht="15" hidden="false" customHeight="false" outlineLevel="0" collapsed="false">
      <c r="A82" s="3" t="s">
        <v>491</v>
      </c>
      <c r="B82" s="25" t="s">
        <v>112</v>
      </c>
      <c r="C82" s="8" t="s">
        <v>113</v>
      </c>
      <c r="D82" s="8" t="s">
        <v>152</v>
      </c>
      <c r="E82" s="8" t="s">
        <v>178</v>
      </c>
      <c r="F82" s="19" t="n">
        <v>4.9</v>
      </c>
      <c r="G82" s="33" t="n">
        <f aca="false">F82*0.006477</f>
        <v>0.0317373</v>
      </c>
      <c r="H82" s="19" t="n">
        <f aca="false">F82*1.079436</f>
        <v>5.2892364</v>
      </c>
      <c r="I82" s="18" t="n">
        <f aca="false">MAX(1,ROUNDUP(G82/0.096,0))</f>
        <v>1</v>
      </c>
      <c r="J82" s="31" t="n">
        <v>46485</v>
      </c>
      <c r="K82" s="34" t="n">
        <f aca="false">J82-WEEKDAY(J82,2)+1</f>
        <v>46482</v>
      </c>
      <c r="L82" s="31" t="n">
        <f aca="false">J82</f>
        <v>46485</v>
      </c>
      <c r="M82" s="26" t="n">
        <f aca="false">INDEX(LR_Target,MATCH(B82,LR_Lane,0))</f>
        <v>2</v>
      </c>
      <c r="N82" s="31" t="n">
        <f aca="false">WORKDAY.INTL(L82,M82,INDEX(LR_Code,MATCH(B82,LR_Lane,0)),INDEX(DH_Table,0,MATCH(B82&amp;"*",DH_Head,0)))</f>
        <v>46489</v>
      </c>
      <c r="O82" s="35" t="n">
        <f aca="false">IF(W82&lt;&gt;"",W82,IF(U82="Helmond",IF(COUNTIFS(RC_Lane,B82,RC_Band,E82,RC_Transit,"&lt;&gt;")=0,"",SUMIFS(RC_Transit,RC_Lane,B82,RC_Band,E82)),IF(U82="Other","",IF(INDEX(RS_Transit,MATCH(B82,RS_Lane,0))="","",INDEX(RS_Transit,MATCH(B82,RS_Lane,0))))))</f>
        <v>1</v>
      </c>
      <c r="P82" s="36"/>
      <c r="Q82" s="31" t="n">
        <f aca="false">IF(P82&lt;&gt;"",P82,IF(O82="","",WORKDAY.INTL(L82,ROUNDUP(O82,0),INDEX(LR_Code,MATCH(B82,LR_Lane,0)),INDEX(DH_Table,0,MATCH(B82&amp;"*",DH_Head,0)))))</f>
        <v>46486</v>
      </c>
      <c r="R82" s="37" t="str">
        <f aca="false">IF(Q82="","",IF(Q82&lt;=N82,"Yes","No"))</f>
        <v>Yes</v>
      </c>
      <c r="S82" s="26" t="n">
        <f aca="false">IF(Q82="","",IF(Q82&lt;=N82,0,NETWORKDAYS.INTL(N82,Q82,INDEX(LR_Code,MATCH(B82,LR_Lane,0)),INDEX(DH_Table,0,MATCH(B82&amp;"*",DH_Head,0)))-1))</f>
        <v>0</v>
      </c>
      <c r="T82" s="4"/>
      <c r="U82" s="25" t="str">
        <f aca="false">IF(V82&lt;&gt;"",V82,IF(IFERROR(INDEX(RS_Flag,MATCH(B82,RS_Lane,0)),"")="Yes",IF(IFERROR(INDEX(RS_Loc,MATCH(B82,RS_Lane,0)),"")="","Regional stock",IFERROR(INDEX(RS_Loc,MATCH(B82,RS_Lane,0)),"")),"Helmond"))</f>
        <v>Helmond</v>
      </c>
      <c r="V82" s="17"/>
      <c r="W82" s="38"/>
      <c r="X82" s="39"/>
      <c r="Y82" s="40" t="n">
        <f aca="false">IF(X82&lt;&gt;"",X82,IF(U82="Helmond",IF(COUNTIFS(RC_Lane,B82,RC_Band,E82,RC_CostPS,"&gt;0")=0,"",SUMIFS(RC_CostPS,RC_Lane,B82,RC_Band,E82)*(1-SUMIFS(RC_Disc,RC_Lane,B82,RC_Band,E82))),IF(U82="Other","",IF(INDEX(RS_Rate,MATCH(B82,RS_Lane,0))="","",INDEX(RS_Rate,MATCH(B82,RS_Lane,0))))))</f>
        <v>72.485</v>
      </c>
    </row>
    <row r="83" customFormat="false" ht="15" hidden="false" customHeight="false" outlineLevel="0" collapsed="false">
      <c r="A83" s="3" t="s">
        <v>492</v>
      </c>
      <c r="B83" s="25" t="s">
        <v>115</v>
      </c>
      <c r="C83" s="8" t="s">
        <v>116</v>
      </c>
      <c r="D83" s="8" t="s">
        <v>153</v>
      </c>
      <c r="E83" s="8" t="s">
        <v>178</v>
      </c>
      <c r="F83" s="19" t="n">
        <v>4.2</v>
      </c>
      <c r="G83" s="33" t="n">
        <f aca="false">F83*0.006477</f>
        <v>0.0272034</v>
      </c>
      <c r="H83" s="19" t="n">
        <f aca="false">F83*1.079436</f>
        <v>4.5336312</v>
      </c>
      <c r="I83" s="18" t="n">
        <f aca="false">MAX(1,ROUNDUP(G83/0.096,0))</f>
        <v>1</v>
      </c>
      <c r="J83" s="31" t="n">
        <v>46486</v>
      </c>
      <c r="K83" s="34" t="n">
        <f aca="false">J83-WEEKDAY(J83,2)+1</f>
        <v>46482</v>
      </c>
      <c r="L83" s="31" t="n">
        <f aca="false">J83</f>
        <v>46486</v>
      </c>
      <c r="M83" s="26" t="n">
        <f aca="false">INDEX(LR_Target,MATCH(B83,LR_Lane,0))</f>
        <v>2</v>
      </c>
      <c r="N83" s="31" t="n">
        <f aca="false">WORKDAY.INTL(L83,M83,INDEX(LR_Code,MATCH(B83,LR_Lane,0)),INDEX(DH_Table,0,MATCH(B83&amp;"*",DH_Head,0)))</f>
        <v>46489</v>
      </c>
      <c r="O83" s="35" t="n">
        <f aca="false">IF(W83&lt;&gt;"",W83,IF(U83="Helmond",IF(COUNTIFS(RC_Lane,B83,RC_Band,E83,RC_Transit,"&lt;&gt;")=0,"",SUMIFS(RC_Transit,RC_Lane,B83,RC_Band,E83)),IF(U83="Other","",IF(INDEX(RS_Transit,MATCH(B83,RS_Lane,0))="","",INDEX(RS_Transit,MATCH(B83,RS_Lane,0))))))</f>
        <v>1</v>
      </c>
      <c r="P83" s="36"/>
      <c r="Q83" s="31" t="n">
        <f aca="false">IF(P83&lt;&gt;"",P83,IF(O83="","",WORKDAY.INTL(L83,ROUNDUP(O83,0),INDEX(LR_Code,MATCH(B83,LR_Lane,0)),INDEX(DH_Table,0,MATCH(B83&amp;"*",DH_Head,0)))))</f>
        <v>46488</v>
      </c>
      <c r="R83" s="37" t="str">
        <f aca="false">IF(Q83="","",IF(Q83&lt;=N83,"Yes","No"))</f>
        <v>Yes</v>
      </c>
      <c r="S83" s="26" t="n">
        <f aca="false">IF(Q83="","",IF(Q83&lt;=N83,0,NETWORKDAYS.INTL(N83,Q83,INDEX(LR_Code,MATCH(B83,LR_Lane,0)),INDEX(DH_Table,0,MATCH(B83&amp;"*",DH_Head,0)))-1))</f>
        <v>0</v>
      </c>
      <c r="T83" s="4"/>
      <c r="U83" s="25" t="str">
        <f aca="false">IF(V83&lt;&gt;"",V83,IF(IFERROR(INDEX(RS_Flag,MATCH(B83,RS_Lane,0)),"")="Yes",IF(IFERROR(INDEX(RS_Loc,MATCH(B83,RS_Lane,0)),"")="","Regional stock",IFERROR(INDEX(RS_Loc,MATCH(B83,RS_Lane,0)),"")),"Helmond"))</f>
        <v>Helmond</v>
      </c>
      <c r="V83" s="17"/>
      <c r="W83" s="38"/>
      <c r="X83" s="39"/>
      <c r="Y83" s="40" t="n">
        <f aca="false">IF(X83&lt;&gt;"",X83,IF(U83="Helmond",IF(COUNTIFS(RC_Lane,B83,RC_Band,E83,RC_CostPS,"&gt;0")=0,"",SUMIFS(RC_CostPS,RC_Lane,B83,RC_Band,E83)*(1-SUMIFS(RC_Disc,RC_Lane,B83,RC_Band,E83))),IF(U83="Other","",IF(INDEX(RS_Rate,MATCH(B83,RS_Lane,0))="","",INDEX(RS_Rate,MATCH(B83,RS_Lane,0))))))</f>
        <v>72.485</v>
      </c>
    </row>
    <row r="84" customFormat="false" ht="15" hidden="false" customHeight="false" outlineLevel="0" collapsed="false">
      <c r="A84" s="3" t="s">
        <v>493</v>
      </c>
      <c r="B84" s="25" t="s">
        <v>121</v>
      </c>
      <c r="C84" s="8" t="s">
        <v>122</v>
      </c>
      <c r="D84" s="8" t="s">
        <v>287</v>
      </c>
      <c r="E84" s="8" t="s">
        <v>178</v>
      </c>
      <c r="F84" s="19" t="n">
        <v>11.9</v>
      </c>
      <c r="G84" s="33" t="n">
        <f aca="false">F84*0.006477</f>
        <v>0.0770763</v>
      </c>
      <c r="H84" s="19" t="n">
        <f aca="false">F84*1.079436</f>
        <v>12.8452884</v>
      </c>
      <c r="I84" s="18" t="n">
        <f aca="false">MAX(1,ROUNDUP(G84/0.096,0))</f>
        <v>1</v>
      </c>
      <c r="J84" s="31" t="n">
        <v>46486</v>
      </c>
      <c r="K84" s="34" t="n">
        <f aca="false">J84-WEEKDAY(J84,2)+1</f>
        <v>46482</v>
      </c>
      <c r="L84" s="31" t="n">
        <f aca="false">J84</f>
        <v>46486</v>
      </c>
      <c r="M84" s="26" t="n">
        <f aca="false">INDEX(LR_Target,MATCH(B84,LR_Lane,0))</f>
        <v>3</v>
      </c>
      <c r="N84" s="31" t="n">
        <f aca="false">WORKDAY.INTL(L84,M84,INDEX(LR_Code,MATCH(B84,LR_Lane,0)),INDEX(DH_Table,0,MATCH(B84&amp;"*",DH_Head,0)))</f>
        <v>46491</v>
      </c>
      <c r="O84" s="35" t="n">
        <f aca="false">IF(W84&lt;&gt;"",W84,IF(U84="Helmond",IF(COUNTIFS(RC_Lane,B84,RC_Band,E84,RC_Transit,"&lt;&gt;")=0,"",SUMIFS(RC_Transit,RC_Lane,B84,RC_Band,E84)),IF(U84="Other","",IF(INDEX(RS_Transit,MATCH(B84,RS_Lane,0))="","",INDEX(RS_Transit,MATCH(B84,RS_Lane,0))))))</f>
        <v>1</v>
      </c>
      <c r="P84" s="36"/>
      <c r="Q84" s="31" t="n">
        <f aca="false">IF(P84&lt;&gt;"",P84,IF(O84="","",WORKDAY.INTL(L84,ROUNDUP(O84,0),INDEX(LR_Code,MATCH(B84,LR_Lane,0)),INDEX(DH_Table,0,MATCH(B84&amp;"*",DH_Head,0)))))</f>
        <v>46489</v>
      </c>
      <c r="R84" s="37" t="str">
        <f aca="false">IF(Q84="","",IF(Q84&lt;=N84,"Yes","No"))</f>
        <v>Yes</v>
      </c>
      <c r="S84" s="26" t="n">
        <f aca="false">IF(Q84="","",IF(Q84&lt;=N84,0,NETWORKDAYS.INTL(N84,Q84,INDEX(LR_Code,MATCH(B84,LR_Lane,0)),INDEX(DH_Table,0,MATCH(B84&amp;"*",DH_Head,0)))-1))</f>
        <v>0</v>
      </c>
      <c r="T84" s="4"/>
      <c r="U84" s="25" t="str">
        <f aca="false">IF(V84&lt;&gt;"",V84,IF(IFERROR(INDEX(RS_Flag,MATCH(B84,RS_Lane,0)),"")="Yes",IF(IFERROR(INDEX(RS_Loc,MATCH(B84,RS_Lane,0)),"")="","Regional stock",IFERROR(INDEX(RS_Loc,MATCH(B84,RS_Lane,0)),"")),"Helmond"))</f>
        <v>Helmond</v>
      </c>
      <c r="V84" s="17"/>
      <c r="W84" s="38"/>
      <c r="X84" s="39"/>
      <c r="Y84" s="40" t="n">
        <f aca="false">IF(X84&lt;&gt;"",X84,IF(U84="Helmond",IF(COUNTIFS(RC_Lane,B84,RC_Band,E84,RC_CostPS,"&gt;0")=0,"",SUMIFS(RC_CostPS,RC_Lane,B84,RC_Band,E84)*(1-SUMIFS(RC_Disc,RC_Lane,B84,RC_Band,E84))),IF(U84="Other","",IF(INDEX(RS_Rate,MATCH(B84,RS_Lane,0))="","",INDEX(RS_Rate,MATCH(B84,RS_Lane,0))))))</f>
        <v>72.485</v>
      </c>
    </row>
    <row r="85" customFormat="false" ht="15" hidden="false" customHeight="false" outlineLevel="0" collapsed="false">
      <c r="A85" s="3" t="s">
        <v>494</v>
      </c>
      <c r="B85" s="25" t="s">
        <v>108</v>
      </c>
      <c r="C85" s="8" t="s">
        <v>109</v>
      </c>
      <c r="D85" s="8" t="s">
        <v>272</v>
      </c>
      <c r="E85" s="8" t="s">
        <v>180</v>
      </c>
      <c r="F85" s="19" t="n">
        <v>44.7</v>
      </c>
      <c r="G85" s="33" t="n">
        <f aca="false">F85*0.006477</f>
        <v>0.2895219</v>
      </c>
      <c r="H85" s="19" t="n">
        <f aca="false">F85*1.079436</f>
        <v>48.2507892</v>
      </c>
      <c r="I85" s="18" t="n">
        <f aca="false">MAX(1,ROUNDUP(G85/0.096,0))</f>
        <v>4</v>
      </c>
      <c r="J85" s="31" t="n">
        <v>46489</v>
      </c>
      <c r="K85" s="34" t="n">
        <f aca="false">J85-WEEKDAY(J85,2)+1</f>
        <v>46489</v>
      </c>
      <c r="L85" s="31" t="n">
        <f aca="false">J85</f>
        <v>46489</v>
      </c>
      <c r="M85" s="26" t="n">
        <f aca="false">INDEX(LR_Target,MATCH(B85,LR_Lane,0))</f>
        <v>2</v>
      </c>
      <c r="N85" s="31" t="n">
        <f aca="false">WORKDAY.INTL(L85,M85,INDEX(LR_Code,MATCH(B85,LR_Lane,0)),INDEX(DH_Table,0,MATCH(B85&amp;"*",DH_Head,0)))</f>
        <v>46491</v>
      </c>
      <c r="O85" s="35" t="n">
        <f aca="false">IF(W85&lt;&gt;"",W85,IF(U85="Helmond",IF(COUNTIFS(RC_Lane,B85,RC_Band,E85,RC_Transit,"&lt;&gt;")=0,"",SUMIFS(RC_Transit,RC_Lane,B85,RC_Band,E85)),IF(U85="Other","",IF(INDEX(RS_Transit,MATCH(B85,RS_Lane,0))="","",INDEX(RS_Transit,MATCH(B85,RS_Lane,0))))))</f>
        <v>2</v>
      </c>
      <c r="P85" s="36"/>
      <c r="Q85" s="31" t="n">
        <f aca="false">IF(P85&lt;&gt;"",P85,IF(O85="","",WORKDAY.INTL(L85,ROUNDUP(O85,0),INDEX(LR_Code,MATCH(B85,LR_Lane,0)),INDEX(DH_Table,0,MATCH(B85&amp;"*",DH_Head,0)))))</f>
        <v>46491</v>
      </c>
      <c r="R85" s="37" t="str">
        <f aca="false">IF(Q85="","",IF(Q85&lt;=N85,"Yes","No"))</f>
        <v>Yes</v>
      </c>
      <c r="S85" s="26" t="n">
        <f aca="false">IF(Q85="","",IF(Q85&lt;=N85,0,NETWORKDAYS.INTL(N85,Q85,INDEX(LR_Code,MATCH(B85,LR_Lane,0)),INDEX(DH_Table,0,MATCH(B85&amp;"*",DH_Head,0)))-1))</f>
        <v>0</v>
      </c>
      <c r="T85" s="4"/>
      <c r="U85" s="25" t="str">
        <f aca="false">IF(V85&lt;&gt;"",V85,IF(IFERROR(INDEX(RS_Flag,MATCH(B85,RS_Lane,0)),"")="Yes",IF(IFERROR(INDEX(RS_Loc,MATCH(B85,RS_Lane,0)),"")="","Regional stock",IFERROR(INDEX(RS_Loc,MATCH(B85,RS_Lane,0)),"")),"Helmond"))</f>
        <v>Helmond</v>
      </c>
      <c r="V85" s="17"/>
      <c r="W85" s="38"/>
      <c r="X85" s="39"/>
      <c r="Y85" s="40" t="n">
        <f aca="false">IF(X85&lt;&gt;"",X85,IF(U85="Helmond",IF(COUNTIFS(RC_Lane,B85,RC_Band,E85,RC_CostPS,"&gt;0")=0,"",SUMIFS(RC_CostPS,RC_Lane,B85,RC_Band,E85)*(1-SUMIFS(RC_Disc,RC_Lane,B85,RC_Band,E85))),IF(U85="Other","",IF(INDEX(RS_Rate,MATCH(B85,RS_Lane,0))="","",INDEX(RS_Rate,MATCH(B85,RS_Lane,0))))))</f>
        <v>284.98176</v>
      </c>
    </row>
    <row r="86" customFormat="false" ht="15" hidden="false" customHeight="false" outlineLevel="0" collapsed="false">
      <c r="A86" s="3" t="s">
        <v>495</v>
      </c>
      <c r="B86" s="25" t="s">
        <v>115</v>
      </c>
      <c r="C86" s="8" t="s">
        <v>116</v>
      </c>
      <c r="D86" s="8" t="s">
        <v>153</v>
      </c>
      <c r="E86" s="8" t="s">
        <v>183</v>
      </c>
      <c r="F86" s="19" t="n">
        <v>1042.2</v>
      </c>
      <c r="G86" s="33" t="n">
        <f aca="false">F86*0.006477</f>
        <v>6.7503294</v>
      </c>
      <c r="H86" s="19" t="n">
        <f aca="false">F86*1.079436</f>
        <v>1124.9881992</v>
      </c>
      <c r="I86" s="18" t="n">
        <f aca="false">MAX(1,ROUNDUP(G86/0.096,0))</f>
        <v>71</v>
      </c>
      <c r="J86" s="31" t="n">
        <v>46489</v>
      </c>
      <c r="K86" s="34" t="n">
        <f aca="false">J86-WEEKDAY(J86,2)+1</f>
        <v>46489</v>
      </c>
      <c r="L86" s="31" t="n">
        <f aca="false">J86</f>
        <v>46489</v>
      </c>
      <c r="M86" s="26" t="n">
        <f aca="false">INDEX(LR_Target,MATCH(B86,LR_Lane,0))</f>
        <v>2</v>
      </c>
      <c r="N86" s="31" t="n">
        <f aca="false">WORKDAY.INTL(L86,M86,INDEX(LR_Code,MATCH(B86,LR_Lane,0)),INDEX(DH_Table,0,MATCH(B86&amp;"*",DH_Head,0)))</f>
        <v>46491</v>
      </c>
      <c r="O86" s="35" t="n">
        <f aca="false">IF(W86&lt;&gt;"",W86,IF(U86="Helmond",IF(COUNTIFS(RC_Lane,B86,RC_Band,E86,RC_Transit,"&lt;&gt;")=0,"",SUMIFS(RC_Transit,RC_Lane,B86,RC_Band,E86)),IF(U86="Other","",IF(INDEX(RS_Transit,MATCH(B86,RS_Lane,0))="","",INDEX(RS_Transit,MATCH(B86,RS_Lane,0))))))</f>
        <v>4</v>
      </c>
      <c r="P86" s="36"/>
      <c r="Q86" s="31" t="n">
        <f aca="false">IF(P86&lt;&gt;"",P86,IF(O86="","",WORKDAY.INTL(L86,ROUNDUP(O86,0),INDEX(LR_Code,MATCH(B86,LR_Lane,0)),INDEX(DH_Table,0,MATCH(B86&amp;"*",DH_Head,0)))))</f>
        <v>46495</v>
      </c>
      <c r="R86" s="37" t="str">
        <f aca="false">IF(Q86="","",IF(Q86&lt;=N86,"Yes","No"))</f>
        <v>No</v>
      </c>
      <c r="S86" s="26" t="n">
        <f aca="false">IF(Q86="","",IF(Q86&lt;=N86,0,NETWORKDAYS.INTL(N86,Q86,INDEX(LR_Code,MATCH(B86,LR_Lane,0)),INDEX(DH_Table,0,MATCH(B86&amp;"*",DH_Head,0)))-1))</f>
        <v>2</v>
      </c>
      <c r="T86" s="4"/>
      <c r="U86" s="25" t="str">
        <f aca="false">IF(V86&lt;&gt;"",V86,IF(IFERROR(INDEX(RS_Flag,MATCH(B86,RS_Lane,0)),"")="Yes",IF(IFERROR(INDEX(RS_Loc,MATCH(B86,RS_Lane,0)),"")="","Regional stock",IFERROR(INDEX(RS_Loc,MATCH(B86,RS_Lane,0)),"")),"Helmond"))</f>
        <v>Helmond</v>
      </c>
      <c r="V86" s="17"/>
      <c r="W86" s="38"/>
      <c r="X86" s="39"/>
      <c r="Y86" s="40" t="n">
        <f aca="false">IF(X86&lt;&gt;"",X86,IF(U86="Helmond",IF(COUNTIFS(RC_Lane,B86,RC_Band,E86,RC_CostPS,"&gt;0")=0,"",SUMIFS(RC_CostPS,RC_Lane,B86,RC_Band,E86)*(1-SUMIFS(RC_Disc,RC_Lane,B86,RC_Band,E86))),IF(U86="Other","",IF(INDEX(RS_Rate,MATCH(B86,RS_Lane,0))="","",INDEX(RS_Rate,MATCH(B86,RS_Lane,0))))))</f>
        <v>3210.88144</v>
      </c>
    </row>
    <row r="87" customFormat="false" ht="15" hidden="false" customHeight="false" outlineLevel="0" collapsed="false">
      <c r="A87" s="3" t="s">
        <v>496</v>
      </c>
      <c r="B87" s="25" t="s">
        <v>115</v>
      </c>
      <c r="C87" s="8" t="s">
        <v>116</v>
      </c>
      <c r="D87" s="8" t="s">
        <v>153</v>
      </c>
      <c r="E87" s="8" t="s">
        <v>182</v>
      </c>
      <c r="F87" s="19" t="n">
        <v>378.1</v>
      </c>
      <c r="G87" s="33" t="n">
        <f aca="false">F87*0.006477</f>
        <v>2.4489537</v>
      </c>
      <c r="H87" s="19" t="n">
        <f aca="false">F87*1.079436</f>
        <v>408.1347516</v>
      </c>
      <c r="I87" s="18" t="n">
        <f aca="false">MAX(1,ROUNDUP(G87/0.096,0))</f>
        <v>26</v>
      </c>
      <c r="J87" s="31" t="n">
        <v>46489</v>
      </c>
      <c r="K87" s="34" t="n">
        <f aca="false">J87-WEEKDAY(J87,2)+1</f>
        <v>46489</v>
      </c>
      <c r="L87" s="31" t="n">
        <f aca="false">J87</f>
        <v>46489</v>
      </c>
      <c r="M87" s="26" t="n">
        <f aca="false">INDEX(LR_Target,MATCH(B87,LR_Lane,0))</f>
        <v>2</v>
      </c>
      <c r="N87" s="31" t="n">
        <f aca="false">WORKDAY.INTL(L87,M87,INDEX(LR_Code,MATCH(B87,LR_Lane,0)),INDEX(DH_Table,0,MATCH(B87&amp;"*",DH_Head,0)))</f>
        <v>46491</v>
      </c>
      <c r="O87" s="35" t="n">
        <f aca="false">IF(W87&lt;&gt;"",W87,IF(U87="Helmond",IF(COUNTIFS(RC_Lane,B87,RC_Band,E87,RC_Transit,"&lt;&gt;")=0,"",SUMIFS(RC_Transit,RC_Lane,B87,RC_Band,E87)),IF(U87="Other","",IF(INDEX(RS_Transit,MATCH(B87,RS_Lane,0))="","",INDEX(RS_Transit,MATCH(B87,RS_Lane,0))))))</f>
        <v>3</v>
      </c>
      <c r="P87" s="36"/>
      <c r="Q87" s="31" t="n">
        <f aca="false">IF(P87&lt;&gt;"",P87,IF(O87="","",WORKDAY.INTL(L87,ROUNDUP(O87,0),INDEX(LR_Code,MATCH(B87,LR_Lane,0)),INDEX(DH_Table,0,MATCH(B87&amp;"*",DH_Head,0)))))</f>
        <v>46492</v>
      </c>
      <c r="R87" s="37" t="str">
        <f aca="false">IF(Q87="","",IF(Q87&lt;=N87,"Yes","No"))</f>
        <v>No</v>
      </c>
      <c r="S87" s="26" t="n">
        <f aca="false">IF(Q87="","",IF(Q87&lt;=N87,0,NETWORKDAYS.INTL(N87,Q87,INDEX(LR_Code,MATCH(B87,LR_Lane,0)),INDEX(DH_Table,0,MATCH(B87&amp;"*",DH_Head,0)))-1))</f>
        <v>1</v>
      </c>
      <c r="T87" s="4"/>
      <c r="U87" s="25" t="str">
        <f aca="false">IF(V87&lt;&gt;"",V87,IF(IFERROR(INDEX(RS_Flag,MATCH(B87,RS_Lane,0)),"")="Yes",IF(IFERROR(INDEX(RS_Loc,MATCH(B87,RS_Lane,0)),"")="","Regional stock",IFERROR(INDEX(RS_Loc,MATCH(B87,RS_Lane,0)),"")),"Helmond"))</f>
        <v>Helmond</v>
      </c>
      <c r="V87" s="17"/>
      <c r="W87" s="38"/>
      <c r="X87" s="39"/>
      <c r="Y87" s="40" t="n">
        <f aca="false">IF(X87&lt;&gt;"",X87,IF(U87="Helmond",IF(COUNTIFS(RC_Lane,B87,RC_Band,E87,RC_CostPS,"&gt;0")=0,"",SUMIFS(RC_CostPS,RC_Lane,B87,RC_Band,E87)*(1-SUMIFS(RC_Disc,RC_Lane,B87,RC_Band,E87))),IF(U87="Other","",IF(INDEX(RS_Rate,MATCH(B87,RS_Lane,0))="","",INDEX(RS_Rate,MATCH(B87,RS_Lane,0))))))</f>
        <v>1271.20393</v>
      </c>
    </row>
    <row r="88" customFormat="false" ht="15" hidden="false" customHeight="false" outlineLevel="0" collapsed="false">
      <c r="A88" s="3" t="s">
        <v>497</v>
      </c>
      <c r="B88" s="25" t="s">
        <v>124</v>
      </c>
      <c r="C88" s="8" t="s">
        <v>125</v>
      </c>
      <c r="D88" s="8" t="s">
        <v>157</v>
      </c>
      <c r="E88" s="8" t="s">
        <v>183</v>
      </c>
      <c r="F88" s="19" t="n">
        <v>941.5</v>
      </c>
      <c r="G88" s="33" t="n">
        <f aca="false">F88*0.006477</f>
        <v>6.0980955</v>
      </c>
      <c r="H88" s="19" t="n">
        <f aca="false">F88*1.079436</f>
        <v>1016.288994</v>
      </c>
      <c r="I88" s="18" t="n">
        <f aca="false">MAX(1,ROUNDUP(G88/0.096,0))</f>
        <v>64</v>
      </c>
      <c r="J88" s="31" t="n">
        <v>46489</v>
      </c>
      <c r="K88" s="34" t="n">
        <f aca="false">J88-WEEKDAY(J88,2)+1</f>
        <v>46489</v>
      </c>
      <c r="L88" s="31" t="n">
        <f aca="false">J88</f>
        <v>46489</v>
      </c>
      <c r="M88" s="26" t="n">
        <f aca="false">INDEX(LR_Target,MATCH(B88,LR_Lane,0))</f>
        <v>5</v>
      </c>
      <c r="N88" s="31" t="n">
        <f aca="false">WORKDAY.INTL(L88,M88,INDEX(LR_Code,MATCH(B88,LR_Lane,0)),INDEX(DH_Table,0,MATCH(B88&amp;"*",DH_Head,0)))</f>
        <v>46496</v>
      </c>
      <c r="O88" s="35" t="n">
        <f aca="false">IF(W88&lt;&gt;"",W88,IF(U88="Helmond",IF(COUNTIFS(RC_Lane,B88,RC_Band,E88,RC_Transit,"&lt;&gt;")=0,"",SUMIFS(RC_Transit,RC_Lane,B88,RC_Band,E88)),IF(U88="Other","",IF(INDEX(RS_Transit,MATCH(B88,RS_Lane,0))="","",INDEX(RS_Transit,MATCH(B88,RS_Lane,0))))))</f>
        <v>4</v>
      </c>
      <c r="P88" s="36"/>
      <c r="Q88" s="31" t="n">
        <f aca="false">IF(P88&lt;&gt;"",P88,IF(O88="","",WORKDAY.INTL(L88,ROUNDUP(O88,0),INDEX(LR_Code,MATCH(B88,LR_Lane,0)),INDEX(DH_Table,0,MATCH(B88&amp;"*",DH_Head,0)))))</f>
        <v>46495</v>
      </c>
      <c r="R88" s="37" t="str">
        <f aca="false">IF(Q88="","",IF(Q88&lt;=N88,"Yes","No"))</f>
        <v>Yes</v>
      </c>
      <c r="S88" s="26" t="n">
        <f aca="false">IF(Q88="","",IF(Q88&lt;=N88,0,NETWORKDAYS.INTL(N88,Q88,INDEX(LR_Code,MATCH(B88,LR_Lane,0)),INDEX(DH_Table,0,MATCH(B88&amp;"*",DH_Head,0)))-1))</f>
        <v>0</v>
      </c>
      <c r="T88" s="4"/>
      <c r="U88" s="25" t="str">
        <f aca="false">IF(V88&lt;&gt;"",V88,IF(IFERROR(INDEX(RS_Flag,MATCH(B88,RS_Lane,0)),"")="Yes",IF(IFERROR(INDEX(RS_Loc,MATCH(B88,RS_Lane,0)),"")="","Regional stock",IFERROR(INDEX(RS_Loc,MATCH(B88,RS_Lane,0)),"")),"Helmond"))</f>
        <v>Helmond</v>
      </c>
      <c r="V88" s="17"/>
      <c r="W88" s="38"/>
      <c r="X88" s="39"/>
      <c r="Y88" s="40" t="n">
        <f aca="false">IF(X88&lt;&gt;"",X88,IF(U88="Helmond",IF(COUNTIFS(RC_Lane,B88,RC_Band,E88,RC_CostPS,"&gt;0")=0,"",SUMIFS(RC_CostPS,RC_Lane,B88,RC_Band,E88)*(1-SUMIFS(RC_Disc,RC_Lane,B88,RC_Band,E88))),IF(U88="Other","",IF(INDEX(RS_Rate,MATCH(B88,RS_Lane,0))="","",INDEX(RS_Rate,MATCH(B88,RS_Lane,0))))))</f>
        <v>2368.0688</v>
      </c>
    </row>
    <row r="89" customFormat="false" ht="15" hidden="false" customHeight="false" outlineLevel="0" collapsed="false">
      <c r="A89" s="3" t="s">
        <v>498</v>
      </c>
      <c r="B89" s="25" t="s">
        <v>108</v>
      </c>
      <c r="C89" s="8" t="s">
        <v>109</v>
      </c>
      <c r="D89" s="8" t="s">
        <v>272</v>
      </c>
      <c r="E89" s="8" t="s">
        <v>180</v>
      </c>
      <c r="F89" s="19" t="n">
        <v>47.9</v>
      </c>
      <c r="G89" s="33" t="n">
        <f aca="false">F89*0.006477</f>
        <v>0.3102483</v>
      </c>
      <c r="H89" s="19" t="n">
        <f aca="false">F89*1.079436</f>
        <v>51.7049844</v>
      </c>
      <c r="I89" s="18" t="n">
        <f aca="false">MAX(1,ROUNDUP(G89/0.096,0))</f>
        <v>4</v>
      </c>
      <c r="J89" s="31" t="n">
        <v>46490</v>
      </c>
      <c r="K89" s="34" t="n">
        <f aca="false">J89-WEEKDAY(J89,2)+1</f>
        <v>46489</v>
      </c>
      <c r="L89" s="31" t="n">
        <f aca="false">J89</f>
        <v>46490</v>
      </c>
      <c r="M89" s="26" t="n">
        <f aca="false">INDEX(LR_Target,MATCH(B89,LR_Lane,0))</f>
        <v>2</v>
      </c>
      <c r="N89" s="31" t="n">
        <f aca="false">WORKDAY.INTL(L89,M89,INDEX(LR_Code,MATCH(B89,LR_Lane,0)),INDEX(DH_Table,0,MATCH(B89&amp;"*",DH_Head,0)))</f>
        <v>46492</v>
      </c>
      <c r="O89" s="35" t="n">
        <f aca="false">IF(W89&lt;&gt;"",W89,IF(U89="Helmond",IF(COUNTIFS(RC_Lane,B89,RC_Band,E89,RC_Transit,"&lt;&gt;")=0,"",SUMIFS(RC_Transit,RC_Lane,B89,RC_Band,E89)),IF(U89="Other","",IF(INDEX(RS_Transit,MATCH(B89,RS_Lane,0))="","",INDEX(RS_Transit,MATCH(B89,RS_Lane,0))))))</f>
        <v>2</v>
      </c>
      <c r="P89" s="36"/>
      <c r="Q89" s="31" t="n">
        <f aca="false">IF(P89&lt;&gt;"",P89,IF(O89="","",WORKDAY.INTL(L89,ROUNDUP(O89,0),INDEX(LR_Code,MATCH(B89,LR_Lane,0)),INDEX(DH_Table,0,MATCH(B89&amp;"*",DH_Head,0)))))</f>
        <v>46492</v>
      </c>
      <c r="R89" s="37" t="str">
        <f aca="false">IF(Q89="","",IF(Q89&lt;=N89,"Yes","No"))</f>
        <v>Yes</v>
      </c>
      <c r="S89" s="26" t="n">
        <f aca="false">IF(Q89="","",IF(Q89&lt;=N89,0,NETWORKDAYS.INTL(N89,Q89,INDEX(LR_Code,MATCH(B89,LR_Lane,0)),INDEX(DH_Table,0,MATCH(B89&amp;"*",DH_Head,0)))-1))</f>
        <v>0</v>
      </c>
      <c r="T89" s="4"/>
      <c r="U89" s="25" t="str">
        <f aca="false">IF(V89&lt;&gt;"",V89,IF(IFERROR(INDEX(RS_Flag,MATCH(B89,RS_Lane,0)),"")="Yes",IF(IFERROR(INDEX(RS_Loc,MATCH(B89,RS_Lane,0)),"")="","Regional stock",IFERROR(INDEX(RS_Loc,MATCH(B89,RS_Lane,0)),"")),"Helmond"))</f>
        <v>Helmond</v>
      </c>
      <c r="V89" s="17"/>
      <c r="W89" s="38"/>
      <c r="X89" s="39"/>
      <c r="Y89" s="40" t="n">
        <f aca="false">IF(X89&lt;&gt;"",X89,IF(U89="Helmond",IF(COUNTIFS(RC_Lane,B89,RC_Band,E89,RC_CostPS,"&gt;0")=0,"",SUMIFS(RC_CostPS,RC_Lane,B89,RC_Band,E89)*(1-SUMIFS(RC_Disc,RC_Lane,B89,RC_Band,E89))),IF(U89="Other","",IF(INDEX(RS_Rate,MATCH(B89,RS_Lane,0))="","",INDEX(RS_Rate,MATCH(B89,RS_Lane,0))))))</f>
        <v>284.98176</v>
      </c>
    </row>
    <row r="90" customFormat="false" ht="15" hidden="false" customHeight="false" outlineLevel="0" collapsed="false">
      <c r="A90" s="3" t="s">
        <v>499</v>
      </c>
      <c r="B90" s="25" t="s">
        <v>112</v>
      </c>
      <c r="C90" s="8" t="s">
        <v>113</v>
      </c>
      <c r="D90" s="8" t="s">
        <v>152</v>
      </c>
      <c r="E90" s="8" t="s">
        <v>178</v>
      </c>
      <c r="F90" s="19" t="n">
        <v>9.2</v>
      </c>
      <c r="G90" s="33" t="n">
        <f aca="false">F90*0.006477</f>
        <v>0.0595884</v>
      </c>
      <c r="H90" s="19" t="n">
        <f aca="false">F90*1.079436</f>
        <v>9.9308112</v>
      </c>
      <c r="I90" s="18" t="n">
        <f aca="false">MAX(1,ROUNDUP(G90/0.096,0))</f>
        <v>1</v>
      </c>
      <c r="J90" s="31" t="n">
        <v>46490</v>
      </c>
      <c r="K90" s="34" t="n">
        <f aca="false">J90-WEEKDAY(J90,2)+1</f>
        <v>46489</v>
      </c>
      <c r="L90" s="31" t="n">
        <f aca="false">J90</f>
        <v>46490</v>
      </c>
      <c r="M90" s="26" t="n">
        <f aca="false">INDEX(LR_Target,MATCH(B90,LR_Lane,0))</f>
        <v>2</v>
      </c>
      <c r="N90" s="31" t="n">
        <f aca="false">WORKDAY.INTL(L90,M90,INDEX(LR_Code,MATCH(B90,LR_Lane,0)),INDEX(DH_Table,0,MATCH(B90&amp;"*",DH_Head,0)))</f>
        <v>46492</v>
      </c>
      <c r="O90" s="35" t="n">
        <f aca="false">IF(W90&lt;&gt;"",W90,IF(U90="Helmond",IF(COUNTIFS(RC_Lane,B90,RC_Band,E90,RC_Transit,"&lt;&gt;")=0,"",SUMIFS(RC_Transit,RC_Lane,B90,RC_Band,E90)),IF(U90="Other","",IF(INDEX(RS_Transit,MATCH(B90,RS_Lane,0))="","",INDEX(RS_Transit,MATCH(B90,RS_Lane,0))))))</f>
        <v>1</v>
      </c>
      <c r="P90" s="36"/>
      <c r="Q90" s="31" t="n">
        <f aca="false">IF(P90&lt;&gt;"",P90,IF(O90="","",WORKDAY.INTL(L90,ROUNDUP(O90,0),INDEX(LR_Code,MATCH(B90,LR_Lane,0)),INDEX(DH_Table,0,MATCH(B90&amp;"*",DH_Head,0)))))</f>
        <v>46491</v>
      </c>
      <c r="R90" s="37" t="str">
        <f aca="false">IF(Q90="","",IF(Q90&lt;=N90,"Yes","No"))</f>
        <v>Yes</v>
      </c>
      <c r="S90" s="26" t="n">
        <f aca="false">IF(Q90="","",IF(Q90&lt;=N90,0,NETWORKDAYS.INTL(N90,Q90,INDEX(LR_Code,MATCH(B90,LR_Lane,0)),INDEX(DH_Table,0,MATCH(B90&amp;"*",DH_Head,0)))-1))</f>
        <v>0</v>
      </c>
      <c r="T90" s="4"/>
      <c r="U90" s="25" t="str">
        <f aca="false">IF(V90&lt;&gt;"",V90,IF(IFERROR(INDEX(RS_Flag,MATCH(B90,RS_Lane,0)),"")="Yes",IF(IFERROR(INDEX(RS_Loc,MATCH(B90,RS_Lane,0)),"")="","Regional stock",IFERROR(INDEX(RS_Loc,MATCH(B90,RS_Lane,0)),"")),"Helmond"))</f>
        <v>Helmond</v>
      </c>
      <c r="V90" s="17"/>
      <c r="W90" s="38"/>
      <c r="X90" s="39"/>
      <c r="Y90" s="40" t="n">
        <f aca="false">IF(X90&lt;&gt;"",X90,IF(U90="Helmond",IF(COUNTIFS(RC_Lane,B90,RC_Band,E90,RC_CostPS,"&gt;0")=0,"",SUMIFS(RC_CostPS,RC_Lane,B90,RC_Band,E90)*(1-SUMIFS(RC_Disc,RC_Lane,B90,RC_Band,E90))),IF(U90="Other","",IF(INDEX(RS_Rate,MATCH(B90,RS_Lane,0))="","",INDEX(RS_Rate,MATCH(B90,RS_Lane,0))))))</f>
        <v>72.485</v>
      </c>
    </row>
    <row r="91" customFormat="false" ht="15" hidden="false" customHeight="false" outlineLevel="0" collapsed="false">
      <c r="A91" s="3" t="s">
        <v>500</v>
      </c>
      <c r="B91" s="25" t="s">
        <v>117</v>
      </c>
      <c r="C91" s="8" t="s">
        <v>118</v>
      </c>
      <c r="D91" s="8" t="s">
        <v>154</v>
      </c>
      <c r="E91" s="8" t="s">
        <v>178</v>
      </c>
      <c r="F91" s="19" t="n">
        <v>5.8</v>
      </c>
      <c r="G91" s="33" t="n">
        <f aca="false">F91*0.006477</f>
        <v>0.0375666</v>
      </c>
      <c r="H91" s="19" t="n">
        <f aca="false">F91*1.079436</f>
        <v>6.2607288</v>
      </c>
      <c r="I91" s="18" t="n">
        <f aca="false">MAX(1,ROUNDUP(G91/0.096,0))</f>
        <v>1</v>
      </c>
      <c r="J91" s="31" t="n">
        <v>46490</v>
      </c>
      <c r="K91" s="34" t="n">
        <f aca="false">J91-WEEKDAY(J91,2)+1</f>
        <v>46489</v>
      </c>
      <c r="L91" s="31" t="n">
        <f aca="false">J91</f>
        <v>46490</v>
      </c>
      <c r="M91" s="26" t="n">
        <f aca="false">INDEX(LR_Target,MATCH(B91,LR_Lane,0))</f>
        <v>2</v>
      </c>
      <c r="N91" s="31" t="n">
        <f aca="false">WORKDAY.INTL(L91,M91,INDEX(LR_Code,MATCH(B91,LR_Lane,0)),INDEX(DH_Table,0,MATCH(B91&amp;"*",DH_Head,0)))</f>
        <v>46492</v>
      </c>
      <c r="O91" s="35" t="n">
        <f aca="false">IF(W91&lt;&gt;"",W91,IF(U91="Helmond",IF(COUNTIFS(RC_Lane,B91,RC_Band,E91,RC_Transit,"&lt;&gt;")=0,"",SUMIFS(RC_Transit,RC_Lane,B91,RC_Band,E91)),IF(U91="Other","",IF(INDEX(RS_Transit,MATCH(B91,RS_Lane,0))="","",INDEX(RS_Transit,MATCH(B91,RS_Lane,0))))))</f>
        <v>1</v>
      </c>
      <c r="P91" s="36"/>
      <c r="Q91" s="31" t="n">
        <f aca="false">IF(P91&lt;&gt;"",P91,IF(O91="","",WORKDAY.INTL(L91,ROUNDUP(O91,0),INDEX(LR_Code,MATCH(B91,LR_Lane,0)),INDEX(DH_Table,0,MATCH(B91&amp;"*",DH_Head,0)))))</f>
        <v>46491</v>
      </c>
      <c r="R91" s="37" t="str">
        <f aca="false">IF(Q91="","",IF(Q91&lt;=N91,"Yes","No"))</f>
        <v>Yes</v>
      </c>
      <c r="S91" s="26" t="n">
        <f aca="false">IF(Q91="","",IF(Q91&lt;=N91,0,NETWORKDAYS.INTL(N91,Q91,INDEX(LR_Code,MATCH(B91,LR_Lane,0)),INDEX(DH_Table,0,MATCH(B91&amp;"*",DH_Head,0)))-1))</f>
        <v>0</v>
      </c>
      <c r="T91" s="4"/>
      <c r="U91" s="25" t="str">
        <f aca="false">IF(V91&lt;&gt;"",V91,IF(IFERROR(INDEX(RS_Flag,MATCH(B91,RS_Lane,0)),"")="Yes",IF(IFERROR(INDEX(RS_Loc,MATCH(B91,RS_Lane,0)),"")="","Regional stock",IFERROR(INDEX(RS_Loc,MATCH(B91,RS_Lane,0)),"")),"Helmond"))</f>
        <v>Helmond</v>
      </c>
      <c r="V91" s="17"/>
      <c r="W91" s="38"/>
      <c r="X91" s="39"/>
      <c r="Y91" s="40" t="n">
        <f aca="false">IF(X91&lt;&gt;"",X91,IF(U91="Helmond",IF(COUNTIFS(RC_Lane,B91,RC_Band,E91,RC_CostPS,"&gt;0")=0,"",SUMIFS(RC_CostPS,RC_Lane,B91,RC_Band,E91)*(1-SUMIFS(RC_Disc,RC_Lane,B91,RC_Band,E91))),IF(U91="Other","",IF(INDEX(RS_Rate,MATCH(B91,RS_Lane,0))="","",INDEX(RS_Rate,MATCH(B91,RS_Lane,0))))))</f>
        <v>72.485</v>
      </c>
    </row>
    <row r="92" customFormat="false" ht="15" hidden="false" customHeight="false" outlineLevel="0" collapsed="false">
      <c r="A92" s="3" t="s">
        <v>501</v>
      </c>
      <c r="B92" s="25" t="s">
        <v>117</v>
      </c>
      <c r="C92" s="8" t="s">
        <v>118</v>
      </c>
      <c r="D92" s="8" t="s">
        <v>154</v>
      </c>
      <c r="E92" s="8" t="s">
        <v>180</v>
      </c>
      <c r="F92" s="19" t="n">
        <v>60.4</v>
      </c>
      <c r="G92" s="33" t="n">
        <f aca="false">F92*0.006477</f>
        <v>0.3912108</v>
      </c>
      <c r="H92" s="19" t="n">
        <f aca="false">F92*1.079436</f>
        <v>65.1979344</v>
      </c>
      <c r="I92" s="18" t="n">
        <f aca="false">MAX(1,ROUNDUP(G92/0.096,0))</f>
        <v>5</v>
      </c>
      <c r="J92" s="31" t="n">
        <v>46491</v>
      </c>
      <c r="K92" s="34" t="n">
        <f aca="false">J92-WEEKDAY(J92,2)+1</f>
        <v>46489</v>
      </c>
      <c r="L92" s="31" t="n">
        <f aca="false">J92</f>
        <v>46491</v>
      </c>
      <c r="M92" s="26" t="n">
        <f aca="false">INDEX(LR_Target,MATCH(B92,LR_Lane,0))</f>
        <v>2</v>
      </c>
      <c r="N92" s="31" t="n">
        <f aca="false">WORKDAY.INTL(L92,M92,INDEX(LR_Code,MATCH(B92,LR_Lane,0)),INDEX(DH_Table,0,MATCH(B92&amp;"*",DH_Head,0)))</f>
        <v>46495</v>
      </c>
      <c r="O92" s="35" t="n">
        <f aca="false">IF(W92&lt;&gt;"",W92,IF(U92="Helmond",IF(COUNTIFS(RC_Lane,B92,RC_Band,E92,RC_Transit,"&lt;&gt;")=0,"",SUMIFS(RC_Transit,RC_Lane,B92,RC_Band,E92)),IF(U92="Other","",IF(INDEX(RS_Transit,MATCH(B92,RS_Lane,0))="","",INDEX(RS_Transit,MATCH(B92,RS_Lane,0))))))</f>
        <v>2</v>
      </c>
      <c r="P92" s="36"/>
      <c r="Q92" s="31" t="n">
        <f aca="false">IF(P92&lt;&gt;"",P92,IF(O92="","",WORKDAY.INTL(L92,ROUNDUP(O92,0),INDEX(LR_Code,MATCH(B92,LR_Lane,0)),INDEX(DH_Table,0,MATCH(B92&amp;"*",DH_Head,0)))))</f>
        <v>46495</v>
      </c>
      <c r="R92" s="37" t="str">
        <f aca="false">IF(Q92="","",IF(Q92&lt;=N92,"Yes","No"))</f>
        <v>Yes</v>
      </c>
      <c r="S92" s="26" t="n">
        <f aca="false">IF(Q92="","",IF(Q92&lt;=N92,0,NETWORKDAYS.INTL(N92,Q92,INDEX(LR_Code,MATCH(B92,LR_Lane,0)),INDEX(DH_Table,0,MATCH(B92&amp;"*",DH_Head,0)))-1))</f>
        <v>0</v>
      </c>
      <c r="T92" s="4"/>
      <c r="U92" s="25" t="str">
        <f aca="false">IF(V92&lt;&gt;"",V92,IF(IFERROR(INDEX(RS_Flag,MATCH(B92,RS_Lane,0)),"")="Yes",IF(IFERROR(INDEX(RS_Loc,MATCH(B92,RS_Lane,0)),"")="","Regional stock",IFERROR(INDEX(RS_Loc,MATCH(B92,RS_Lane,0)),"")),"Helmond"))</f>
        <v>Helmond</v>
      </c>
      <c r="V92" s="17"/>
      <c r="W92" s="38"/>
      <c r="X92" s="39"/>
      <c r="Y92" s="40" t="n">
        <f aca="false">IF(X92&lt;&gt;"",X92,IF(U92="Helmond",IF(COUNTIFS(RC_Lane,B92,RC_Band,E92,RC_CostPS,"&gt;0")=0,"",SUMIFS(RC_CostPS,RC_Lane,B92,RC_Band,E92)*(1-SUMIFS(RC_Disc,RC_Lane,B92,RC_Band,E92))),IF(U92="Other","",IF(INDEX(RS_Rate,MATCH(B92,RS_Lane,0))="","",INDEX(RS_Rate,MATCH(B92,RS_Lane,0))))))</f>
        <v>154.40768</v>
      </c>
    </row>
    <row r="93" customFormat="false" ht="15" hidden="false" customHeight="false" outlineLevel="0" collapsed="false">
      <c r="A93" s="3" t="s">
        <v>502</v>
      </c>
      <c r="B93" s="25" t="s">
        <v>112</v>
      </c>
      <c r="C93" s="8" t="s">
        <v>113</v>
      </c>
      <c r="D93" s="8" t="s">
        <v>152</v>
      </c>
      <c r="E93" s="8" t="s">
        <v>178</v>
      </c>
      <c r="F93" s="19" t="n">
        <v>10.3</v>
      </c>
      <c r="G93" s="33" t="n">
        <f aca="false">F93*0.006477</f>
        <v>0.0667131</v>
      </c>
      <c r="H93" s="19" t="n">
        <f aca="false">F93*1.079436</f>
        <v>11.1181908</v>
      </c>
      <c r="I93" s="18" t="n">
        <f aca="false">MAX(1,ROUNDUP(G93/0.096,0))</f>
        <v>1</v>
      </c>
      <c r="J93" s="31" t="n">
        <v>46492</v>
      </c>
      <c r="K93" s="34" t="n">
        <f aca="false">J93-WEEKDAY(J93,2)+1</f>
        <v>46489</v>
      </c>
      <c r="L93" s="31" t="n">
        <f aca="false">J93</f>
        <v>46492</v>
      </c>
      <c r="M93" s="26" t="n">
        <f aca="false">INDEX(LR_Target,MATCH(B93,LR_Lane,0))</f>
        <v>2</v>
      </c>
      <c r="N93" s="31" t="n">
        <f aca="false">WORKDAY.INTL(L93,M93,INDEX(LR_Code,MATCH(B93,LR_Lane,0)),INDEX(DH_Table,0,MATCH(B93&amp;"*",DH_Head,0)))</f>
        <v>46496</v>
      </c>
      <c r="O93" s="35" t="n">
        <f aca="false">IF(W93&lt;&gt;"",W93,IF(U93="Helmond",IF(COUNTIFS(RC_Lane,B93,RC_Band,E93,RC_Transit,"&lt;&gt;")=0,"",SUMIFS(RC_Transit,RC_Lane,B93,RC_Band,E93)),IF(U93="Other","",IF(INDEX(RS_Transit,MATCH(B93,RS_Lane,0))="","",INDEX(RS_Transit,MATCH(B93,RS_Lane,0))))))</f>
        <v>1</v>
      </c>
      <c r="P93" s="36"/>
      <c r="Q93" s="31" t="n">
        <f aca="false">IF(P93&lt;&gt;"",P93,IF(O93="","",WORKDAY.INTL(L93,ROUNDUP(O93,0),INDEX(LR_Code,MATCH(B93,LR_Lane,0)),INDEX(DH_Table,0,MATCH(B93&amp;"*",DH_Head,0)))))</f>
        <v>46493</v>
      </c>
      <c r="R93" s="37" t="str">
        <f aca="false">IF(Q93="","",IF(Q93&lt;=N93,"Yes","No"))</f>
        <v>Yes</v>
      </c>
      <c r="S93" s="26" t="n">
        <f aca="false">IF(Q93="","",IF(Q93&lt;=N93,0,NETWORKDAYS.INTL(N93,Q93,INDEX(LR_Code,MATCH(B93,LR_Lane,0)),INDEX(DH_Table,0,MATCH(B93&amp;"*",DH_Head,0)))-1))</f>
        <v>0</v>
      </c>
      <c r="T93" s="4"/>
      <c r="U93" s="25" t="str">
        <f aca="false">IF(V93&lt;&gt;"",V93,IF(IFERROR(INDEX(RS_Flag,MATCH(B93,RS_Lane,0)),"")="Yes",IF(IFERROR(INDEX(RS_Loc,MATCH(B93,RS_Lane,0)),"")="","Regional stock",IFERROR(INDEX(RS_Loc,MATCH(B93,RS_Lane,0)),"")),"Helmond"))</f>
        <v>Helmond</v>
      </c>
      <c r="V93" s="17"/>
      <c r="W93" s="38"/>
      <c r="X93" s="39"/>
      <c r="Y93" s="40" t="n">
        <f aca="false">IF(X93&lt;&gt;"",X93,IF(U93="Helmond",IF(COUNTIFS(RC_Lane,B93,RC_Band,E93,RC_CostPS,"&gt;0")=0,"",SUMIFS(RC_CostPS,RC_Lane,B93,RC_Band,E93)*(1-SUMIFS(RC_Disc,RC_Lane,B93,RC_Band,E93))),IF(U93="Other","",IF(INDEX(RS_Rate,MATCH(B93,RS_Lane,0))="","",INDEX(RS_Rate,MATCH(B93,RS_Lane,0))))))</f>
        <v>72.485</v>
      </c>
    </row>
    <row r="94" customFormat="false" ht="15" hidden="false" customHeight="false" outlineLevel="0" collapsed="false">
      <c r="A94" s="3" t="s">
        <v>503</v>
      </c>
      <c r="B94" s="25" t="s">
        <v>112</v>
      </c>
      <c r="C94" s="8" t="s">
        <v>113</v>
      </c>
      <c r="D94" s="8" t="s">
        <v>152</v>
      </c>
      <c r="E94" s="8" t="s">
        <v>178</v>
      </c>
      <c r="F94" s="19" t="n">
        <v>11.1</v>
      </c>
      <c r="G94" s="33" t="n">
        <f aca="false">F94*0.006477</f>
        <v>0.0718947</v>
      </c>
      <c r="H94" s="19" t="n">
        <f aca="false">F94*1.079436</f>
        <v>11.9817396</v>
      </c>
      <c r="I94" s="18" t="n">
        <f aca="false">MAX(1,ROUNDUP(G94/0.096,0))</f>
        <v>1</v>
      </c>
      <c r="J94" s="31" t="n">
        <v>46492</v>
      </c>
      <c r="K94" s="34" t="n">
        <f aca="false">J94-WEEKDAY(J94,2)+1</f>
        <v>46489</v>
      </c>
      <c r="L94" s="31" t="n">
        <f aca="false">J94</f>
        <v>46492</v>
      </c>
      <c r="M94" s="26" t="n">
        <f aca="false">INDEX(LR_Target,MATCH(B94,LR_Lane,0))</f>
        <v>2</v>
      </c>
      <c r="N94" s="31" t="n">
        <f aca="false">WORKDAY.INTL(L94,M94,INDEX(LR_Code,MATCH(B94,LR_Lane,0)),INDEX(DH_Table,0,MATCH(B94&amp;"*",DH_Head,0)))</f>
        <v>46496</v>
      </c>
      <c r="O94" s="35" t="n">
        <f aca="false">IF(W94&lt;&gt;"",W94,IF(U94="Helmond",IF(COUNTIFS(RC_Lane,B94,RC_Band,E94,RC_Transit,"&lt;&gt;")=0,"",SUMIFS(RC_Transit,RC_Lane,B94,RC_Band,E94)),IF(U94="Other","",IF(INDEX(RS_Transit,MATCH(B94,RS_Lane,0))="","",INDEX(RS_Transit,MATCH(B94,RS_Lane,0))))))</f>
        <v>1</v>
      </c>
      <c r="P94" s="36"/>
      <c r="Q94" s="31" t="n">
        <f aca="false">IF(P94&lt;&gt;"",P94,IF(O94="","",WORKDAY.INTL(L94,ROUNDUP(O94,0),INDEX(LR_Code,MATCH(B94,LR_Lane,0)),INDEX(DH_Table,0,MATCH(B94&amp;"*",DH_Head,0)))))</f>
        <v>46493</v>
      </c>
      <c r="R94" s="37" t="str">
        <f aca="false">IF(Q94="","",IF(Q94&lt;=N94,"Yes","No"))</f>
        <v>Yes</v>
      </c>
      <c r="S94" s="26" t="n">
        <f aca="false">IF(Q94="","",IF(Q94&lt;=N94,0,NETWORKDAYS.INTL(N94,Q94,INDEX(LR_Code,MATCH(B94,LR_Lane,0)),INDEX(DH_Table,0,MATCH(B94&amp;"*",DH_Head,0)))-1))</f>
        <v>0</v>
      </c>
      <c r="T94" s="4"/>
      <c r="U94" s="25" t="str">
        <f aca="false">IF(V94&lt;&gt;"",V94,IF(IFERROR(INDEX(RS_Flag,MATCH(B94,RS_Lane,0)),"")="Yes",IF(IFERROR(INDEX(RS_Loc,MATCH(B94,RS_Lane,0)),"")="","Regional stock",IFERROR(INDEX(RS_Loc,MATCH(B94,RS_Lane,0)),"")),"Helmond"))</f>
        <v>Helmond</v>
      </c>
      <c r="V94" s="17"/>
      <c r="W94" s="38"/>
      <c r="X94" s="39"/>
      <c r="Y94" s="40" t="n">
        <f aca="false">IF(X94&lt;&gt;"",X94,IF(U94="Helmond",IF(COUNTIFS(RC_Lane,B94,RC_Band,E94,RC_CostPS,"&gt;0")=0,"",SUMIFS(RC_CostPS,RC_Lane,B94,RC_Band,E94)*(1-SUMIFS(RC_Disc,RC_Lane,B94,RC_Band,E94))),IF(U94="Other","",IF(INDEX(RS_Rate,MATCH(B94,RS_Lane,0))="","",INDEX(RS_Rate,MATCH(B94,RS_Lane,0))))))</f>
        <v>72.485</v>
      </c>
    </row>
    <row r="95" customFormat="false" ht="15" hidden="false" customHeight="false" outlineLevel="0" collapsed="false">
      <c r="A95" s="3" t="s">
        <v>504</v>
      </c>
      <c r="B95" s="25" t="s">
        <v>119</v>
      </c>
      <c r="C95" s="8" t="s">
        <v>120</v>
      </c>
      <c r="D95" s="8" t="s">
        <v>155</v>
      </c>
      <c r="E95" s="8" t="s">
        <v>182</v>
      </c>
      <c r="F95" s="19" t="n">
        <v>177.1</v>
      </c>
      <c r="G95" s="33" t="n">
        <f aca="false">F95*0.006477</f>
        <v>1.1470767</v>
      </c>
      <c r="H95" s="19" t="n">
        <f aca="false">F95*1.079436</f>
        <v>191.1681156</v>
      </c>
      <c r="I95" s="18" t="n">
        <f aca="false">MAX(1,ROUNDUP(G95/0.096,0))</f>
        <v>12</v>
      </c>
      <c r="J95" s="31" t="n">
        <v>46492</v>
      </c>
      <c r="K95" s="34" t="n">
        <f aca="false">J95-WEEKDAY(J95,2)+1</f>
        <v>46489</v>
      </c>
      <c r="L95" s="31" t="n">
        <f aca="false">J95</f>
        <v>46492</v>
      </c>
      <c r="M95" s="26" t="n">
        <f aca="false">INDEX(LR_Target,MATCH(B95,LR_Lane,0))</f>
        <v>3</v>
      </c>
      <c r="N95" s="31" t="n">
        <f aca="false">WORKDAY.INTL(L95,M95,INDEX(LR_Code,MATCH(B95,LR_Lane,0)),INDEX(DH_Table,0,MATCH(B95&amp;"*",DH_Head,0)))</f>
        <v>46497</v>
      </c>
      <c r="O95" s="35" t="n">
        <f aca="false">IF(W95&lt;&gt;"",W95,IF(U95="Helmond",IF(COUNTIFS(RC_Lane,B95,RC_Band,E95,RC_Transit,"&lt;&gt;")=0,"",SUMIFS(RC_Transit,RC_Lane,B95,RC_Band,E95)),IF(U95="Other","",IF(INDEX(RS_Transit,MATCH(B95,RS_Lane,0))="","",INDEX(RS_Transit,MATCH(B95,RS_Lane,0))))))</f>
        <v>3</v>
      </c>
      <c r="P95" s="36"/>
      <c r="Q95" s="31" t="n">
        <f aca="false">IF(P95&lt;&gt;"",P95,IF(O95="","",WORKDAY.INTL(L95,ROUNDUP(O95,0),INDEX(LR_Code,MATCH(B95,LR_Lane,0)),INDEX(DH_Table,0,MATCH(B95&amp;"*",DH_Head,0)))))</f>
        <v>46497</v>
      </c>
      <c r="R95" s="37" t="str">
        <f aca="false">IF(Q95="","",IF(Q95&lt;=N95,"Yes","No"))</f>
        <v>Yes</v>
      </c>
      <c r="S95" s="26" t="n">
        <f aca="false">IF(Q95="","",IF(Q95&lt;=N95,0,NETWORKDAYS.INTL(N95,Q95,INDEX(LR_Code,MATCH(B95,LR_Lane,0)),INDEX(DH_Table,0,MATCH(B95&amp;"*",DH_Head,0)))-1))</f>
        <v>0</v>
      </c>
      <c r="T95" s="4"/>
      <c r="U95" s="25" t="str">
        <f aca="false">IF(V95&lt;&gt;"",V95,IF(IFERROR(INDEX(RS_Flag,MATCH(B95,RS_Lane,0)),"")="Yes",IF(IFERROR(INDEX(RS_Loc,MATCH(B95,RS_Lane,0)),"")="","Regional stock",IFERROR(INDEX(RS_Loc,MATCH(B95,RS_Lane,0)),"")),"Helmond"))</f>
        <v>Helmond</v>
      </c>
      <c r="V95" s="17"/>
      <c r="W95" s="38"/>
      <c r="X95" s="39"/>
      <c r="Y95" s="40" t="n">
        <f aca="false">IF(X95&lt;&gt;"",X95,IF(U95="Helmond",IF(COUNTIFS(RC_Lane,B95,RC_Band,E95,RC_CostPS,"&gt;0")=0,"",SUMIFS(RC_CostPS,RC_Lane,B95,RC_Band,E95)*(1-SUMIFS(RC_Disc,RC_Lane,B95,RC_Band,E95))),IF(U95="Other","",IF(INDEX(RS_Rate,MATCH(B95,RS_Lane,0))="","",INDEX(RS_Rate,MATCH(B95,RS_Lane,0))))))</f>
        <v>1400.35434</v>
      </c>
    </row>
    <row r="96" customFormat="false" ht="15" hidden="false" customHeight="false" outlineLevel="0" collapsed="false">
      <c r="A96" s="3" t="s">
        <v>505</v>
      </c>
      <c r="B96" s="25" t="s">
        <v>108</v>
      </c>
      <c r="C96" s="8" t="s">
        <v>109</v>
      </c>
      <c r="D96" s="8" t="s">
        <v>270</v>
      </c>
      <c r="E96" s="8" t="s">
        <v>183</v>
      </c>
      <c r="F96" s="19" t="n">
        <v>663.4</v>
      </c>
      <c r="G96" s="33" t="n">
        <f aca="false">F96*0.006477</f>
        <v>4.2968418</v>
      </c>
      <c r="H96" s="19" t="n">
        <f aca="false">F96*1.079436</f>
        <v>716.0978424</v>
      </c>
      <c r="I96" s="18" t="n">
        <f aca="false">MAX(1,ROUNDUP(G96/0.096,0))</f>
        <v>45</v>
      </c>
      <c r="J96" s="31" t="n">
        <v>46498</v>
      </c>
      <c r="K96" s="34" t="n">
        <f aca="false">J96-WEEKDAY(J96,2)+1</f>
        <v>46496</v>
      </c>
      <c r="L96" s="31" t="n">
        <f aca="false">J96</f>
        <v>46498</v>
      </c>
      <c r="M96" s="26" t="n">
        <f aca="false">INDEX(LR_Target,MATCH(B96,LR_Lane,0))</f>
        <v>2</v>
      </c>
      <c r="N96" s="31" t="n">
        <f aca="false">WORKDAY.INTL(L96,M96,INDEX(LR_Code,MATCH(B96,LR_Lane,0)),INDEX(DH_Table,0,MATCH(B96&amp;"*",DH_Head,0)))</f>
        <v>46502</v>
      </c>
      <c r="O96" s="35" t="n">
        <f aca="false">IF(W96&lt;&gt;"",W96,IF(U96="Helmond",IF(COUNTIFS(RC_Lane,B96,RC_Band,E96,RC_Transit,"&lt;&gt;")=0,"",SUMIFS(RC_Transit,RC_Lane,B96,RC_Band,E96)),IF(U96="Other","",IF(INDEX(RS_Transit,MATCH(B96,RS_Lane,0))="","",INDEX(RS_Transit,MATCH(B96,RS_Lane,0))))))</f>
        <v>4</v>
      </c>
      <c r="P96" s="36"/>
      <c r="Q96" s="31" t="n">
        <f aca="false">IF(P96&lt;&gt;"",P96,IF(O96="","",WORKDAY.INTL(L96,ROUNDUP(O96,0),INDEX(LR_Code,MATCH(B96,LR_Lane,0)),INDEX(DH_Table,0,MATCH(B96&amp;"*",DH_Head,0)))))</f>
        <v>46504</v>
      </c>
      <c r="R96" s="37" t="str">
        <f aca="false">IF(Q96="","",IF(Q96&lt;=N96,"Yes","No"))</f>
        <v>No</v>
      </c>
      <c r="S96" s="26" t="n">
        <f aca="false">IF(Q96="","",IF(Q96&lt;=N96,0,NETWORKDAYS.INTL(N96,Q96,INDEX(LR_Code,MATCH(B96,LR_Lane,0)),INDEX(DH_Table,0,MATCH(B96&amp;"*",DH_Head,0)))-1))</f>
        <v>2</v>
      </c>
      <c r="T96" s="4"/>
      <c r="U96" s="25" t="str">
        <f aca="false">IF(V96&lt;&gt;"",V96,IF(IFERROR(INDEX(RS_Flag,MATCH(B96,RS_Lane,0)),"")="Yes",IF(IFERROR(INDEX(RS_Loc,MATCH(B96,RS_Lane,0)),"")="","Regional stock",IFERROR(INDEX(RS_Loc,MATCH(B96,RS_Lane,0)),"")),"Helmond"))</f>
        <v>Helmond</v>
      </c>
      <c r="V96" s="17"/>
      <c r="W96" s="38"/>
      <c r="X96" s="39"/>
      <c r="Y96" s="40" t="n">
        <f aca="false">IF(X96&lt;&gt;"",X96,IF(U96="Helmond",IF(COUNTIFS(RC_Lane,B96,RC_Band,E96,RC_CostPS,"&gt;0")=0,"",SUMIFS(RC_CostPS,RC_Lane,B96,RC_Band,E96)*(1-SUMIFS(RC_Disc,RC_Lane,B96,RC_Band,E96))),IF(U96="Other","",IF(INDEX(RS_Rate,MATCH(B96,RS_Lane,0))="","",INDEX(RS_Rate,MATCH(B96,RS_Lane,0))))))</f>
        <v>3051.4304</v>
      </c>
    </row>
    <row r="97" customFormat="false" ht="15" hidden="false" customHeight="false" outlineLevel="0" collapsed="false">
      <c r="A97" s="3" t="s">
        <v>506</v>
      </c>
      <c r="B97" s="25" t="s">
        <v>108</v>
      </c>
      <c r="C97" s="8" t="s">
        <v>109</v>
      </c>
      <c r="D97" s="8" t="s">
        <v>272</v>
      </c>
      <c r="E97" s="8" t="s">
        <v>178</v>
      </c>
      <c r="F97" s="19" t="n">
        <v>8.3</v>
      </c>
      <c r="G97" s="33" t="n">
        <f aca="false">F97*0.006477</f>
        <v>0.0537591</v>
      </c>
      <c r="H97" s="19" t="n">
        <f aca="false">F97*1.079436</f>
        <v>8.9593188</v>
      </c>
      <c r="I97" s="18" t="n">
        <f aca="false">MAX(1,ROUNDUP(G97/0.096,0))</f>
        <v>1</v>
      </c>
      <c r="J97" s="31" t="n">
        <v>46498</v>
      </c>
      <c r="K97" s="34" t="n">
        <f aca="false">J97-WEEKDAY(J97,2)+1</f>
        <v>46496</v>
      </c>
      <c r="L97" s="31" t="n">
        <f aca="false">J97</f>
        <v>46498</v>
      </c>
      <c r="M97" s="26" t="n">
        <f aca="false">INDEX(LR_Target,MATCH(B97,LR_Lane,0))</f>
        <v>2</v>
      </c>
      <c r="N97" s="31" t="n">
        <f aca="false">WORKDAY.INTL(L97,M97,INDEX(LR_Code,MATCH(B97,LR_Lane,0)),INDEX(DH_Table,0,MATCH(B97&amp;"*",DH_Head,0)))</f>
        <v>46502</v>
      </c>
      <c r="O97" s="35" t="n">
        <f aca="false">IF(W97&lt;&gt;"",W97,IF(U97="Helmond",IF(COUNTIFS(RC_Lane,B97,RC_Band,E97,RC_Transit,"&lt;&gt;")=0,"",SUMIFS(RC_Transit,RC_Lane,B97,RC_Band,E97)),IF(U97="Other","",IF(INDEX(RS_Transit,MATCH(B97,RS_Lane,0))="","",INDEX(RS_Transit,MATCH(B97,RS_Lane,0))))))</f>
        <v>1</v>
      </c>
      <c r="P97" s="36"/>
      <c r="Q97" s="31" t="n">
        <f aca="false">IF(P97&lt;&gt;"",P97,IF(O97="","",WORKDAY.INTL(L97,ROUNDUP(O97,0),INDEX(LR_Code,MATCH(B97,LR_Lane,0)),INDEX(DH_Table,0,MATCH(B97&amp;"*",DH_Head,0)))))</f>
        <v>46499</v>
      </c>
      <c r="R97" s="37" t="str">
        <f aca="false">IF(Q97="","",IF(Q97&lt;=N97,"Yes","No"))</f>
        <v>Yes</v>
      </c>
      <c r="S97" s="26" t="n">
        <f aca="false">IF(Q97="","",IF(Q97&lt;=N97,0,NETWORKDAYS.INTL(N97,Q97,INDEX(LR_Code,MATCH(B97,LR_Lane,0)),INDEX(DH_Table,0,MATCH(B97&amp;"*",DH_Head,0)))-1))</f>
        <v>0</v>
      </c>
      <c r="T97" s="4"/>
      <c r="U97" s="25" t="str">
        <f aca="false">IF(V97&lt;&gt;"",V97,IF(IFERROR(INDEX(RS_Flag,MATCH(B97,RS_Lane,0)),"")="Yes",IF(IFERROR(INDEX(RS_Loc,MATCH(B97,RS_Lane,0)),"")="","Regional stock",IFERROR(INDEX(RS_Loc,MATCH(B97,RS_Lane,0)),"")),"Helmond"))</f>
        <v>Helmond</v>
      </c>
      <c r="V97" s="17"/>
      <c r="W97" s="38"/>
      <c r="X97" s="39"/>
      <c r="Y97" s="40" t="n">
        <f aca="false">IF(X97&lt;&gt;"",X97,IF(U97="Helmond",IF(COUNTIFS(RC_Lane,B97,RC_Band,E97,RC_CostPS,"&gt;0")=0,"",SUMIFS(RC_CostPS,RC_Lane,B97,RC_Band,E97)*(1-SUMIFS(RC_Disc,RC_Lane,B97,RC_Band,E97))),IF(U97="Other","",IF(INDEX(RS_Rate,MATCH(B97,RS_Lane,0))="","",INDEX(RS_Rate,MATCH(B97,RS_Lane,0))))))</f>
        <v>72.485</v>
      </c>
    </row>
    <row r="98" customFormat="false" ht="15" hidden="false" customHeight="false" outlineLevel="0" collapsed="false">
      <c r="A98" s="3" t="s">
        <v>507</v>
      </c>
      <c r="B98" s="25" t="s">
        <v>108</v>
      </c>
      <c r="C98" s="8" t="s">
        <v>109</v>
      </c>
      <c r="D98" s="8" t="s">
        <v>272</v>
      </c>
      <c r="E98" s="8" t="s">
        <v>178</v>
      </c>
      <c r="F98" s="19" t="n">
        <v>5.3</v>
      </c>
      <c r="G98" s="33" t="n">
        <f aca="false">F98*0.006477</f>
        <v>0.0343281</v>
      </c>
      <c r="H98" s="19" t="n">
        <f aca="false">F98*1.079436</f>
        <v>5.7210108</v>
      </c>
      <c r="I98" s="18" t="n">
        <f aca="false">MAX(1,ROUNDUP(G98/0.096,0))</f>
        <v>1</v>
      </c>
      <c r="J98" s="31" t="n">
        <v>46499</v>
      </c>
      <c r="K98" s="34" t="n">
        <f aca="false">J98-WEEKDAY(J98,2)+1</f>
        <v>46496</v>
      </c>
      <c r="L98" s="31" t="n">
        <f aca="false">J98</f>
        <v>46499</v>
      </c>
      <c r="M98" s="26" t="n">
        <f aca="false">INDEX(LR_Target,MATCH(B98,LR_Lane,0))</f>
        <v>2</v>
      </c>
      <c r="N98" s="31" t="n">
        <f aca="false">WORKDAY.INTL(L98,M98,INDEX(LR_Code,MATCH(B98,LR_Lane,0)),INDEX(DH_Table,0,MATCH(B98&amp;"*",DH_Head,0)))</f>
        <v>46503</v>
      </c>
      <c r="O98" s="35" t="n">
        <f aca="false">IF(W98&lt;&gt;"",W98,IF(U98="Helmond",IF(COUNTIFS(RC_Lane,B98,RC_Band,E98,RC_Transit,"&lt;&gt;")=0,"",SUMIFS(RC_Transit,RC_Lane,B98,RC_Band,E98)),IF(U98="Other","",IF(INDEX(RS_Transit,MATCH(B98,RS_Lane,0))="","",INDEX(RS_Transit,MATCH(B98,RS_Lane,0))))))</f>
        <v>1</v>
      </c>
      <c r="P98" s="36"/>
      <c r="Q98" s="31" t="n">
        <f aca="false">IF(P98&lt;&gt;"",P98,IF(O98="","",WORKDAY.INTL(L98,ROUNDUP(O98,0),INDEX(LR_Code,MATCH(B98,LR_Lane,0)),INDEX(DH_Table,0,MATCH(B98&amp;"*",DH_Head,0)))))</f>
        <v>46502</v>
      </c>
      <c r="R98" s="37" t="str">
        <f aca="false">IF(Q98="","",IF(Q98&lt;=N98,"Yes","No"))</f>
        <v>Yes</v>
      </c>
      <c r="S98" s="26" t="n">
        <f aca="false">IF(Q98="","",IF(Q98&lt;=N98,0,NETWORKDAYS.INTL(N98,Q98,INDEX(LR_Code,MATCH(B98,LR_Lane,0)),INDEX(DH_Table,0,MATCH(B98&amp;"*",DH_Head,0)))-1))</f>
        <v>0</v>
      </c>
      <c r="T98" s="4"/>
      <c r="U98" s="25" t="str">
        <f aca="false">IF(V98&lt;&gt;"",V98,IF(IFERROR(INDEX(RS_Flag,MATCH(B98,RS_Lane,0)),"")="Yes",IF(IFERROR(INDEX(RS_Loc,MATCH(B98,RS_Lane,0)),"")="","Regional stock",IFERROR(INDEX(RS_Loc,MATCH(B98,RS_Lane,0)),"")),"Helmond"))</f>
        <v>Helmond</v>
      </c>
      <c r="V98" s="17"/>
      <c r="W98" s="38"/>
      <c r="X98" s="39"/>
      <c r="Y98" s="40" t="n">
        <f aca="false">IF(X98&lt;&gt;"",X98,IF(U98="Helmond",IF(COUNTIFS(RC_Lane,B98,RC_Band,E98,RC_CostPS,"&gt;0")=0,"",SUMIFS(RC_CostPS,RC_Lane,B98,RC_Band,E98)*(1-SUMIFS(RC_Disc,RC_Lane,B98,RC_Band,E98))),IF(U98="Other","",IF(INDEX(RS_Rate,MATCH(B98,RS_Lane,0))="","",INDEX(RS_Rate,MATCH(B98,RS_Lane,0))))))</f>
        <v>72.485</v>
      </c>
    </row>
    <row r="99" customFormat="false" ht="15" hidden="false" customHeight="false" outlineLevel="0" collapsed="false">
      <c r="A99" s="3" t="s">
        <v>508</v>
      </c>
      <c r="B99" s="25" t="s">
        <v>112</v>
      </c>
      <c r="C99" s="8" t="s">
        <v>113</v>
      </c>
      <c r="D99" s="8" t="s">
        <v>152</v>
      </c>
      <c r="E99" s="8" t="s">
        <v>178</v>
      </c>
      <c r="F99" s="19" t="n">
        <v>4.3</v>
      </c>
      <c r="G99" s="33" t="n">
        <f aca="false">F99*0.006477</f>
        <v>0.0278511</v>
      </c>
      <c r="H99" s="19" t="n">
        <f aca="false">F99*1.079436</f>
        <v>4.6415748</v>
      </c>
      <c r="I99" s="18" t="n">
        <f aca="false">MAX(1,ROUNDUP(G99/0.096,0))</f>
        <v>1</v>
      </c>
      <c r="J99" s="31" t="n">
        <v>46503</v>
      </c>
      <c r="K99" s="34" t="n">
        <f aca="false">J99-WEEKDAY(J99,2)+1</f>
        <v>46503</v>
      </c>
      <c r="L99" s="31" t="n">
        <f aca="false">J99</f>
        <v>46503</v>
      </c>
      <c r="M99" s="26" t="n">
        <f aca="false">INDEX(LR_Target,MATCH(B99,LR_Lane,0))</f>
        <v>2</v>
      </c>
      <c r="N99" s="31" t="n">
        <f aca="false">WORKDAY.INTL(L99,M99,INDEX(LR_Code,MATCH(B99,LR_Lane,0)),INDEX(DH_Table,0,MATCH(B99&amp;"*",DH_Head,0)))</f>
        <v>46505</v>
      </c>
      <c r="O99" s="35" t="n">
        <f aca="false">IF(W99&lt;&gt;"",W99,IF(U99="Helmond",IF(COUNTIFS(RC_Lane,B99,RC_Band,E99,RC_Transit,"&lt;&gt;")=0,"",SUMIFS(RC_Transit,RC_Lane,B99,RC_Band,E99)),IF(U99="Other","",IF(INDEX(RS_Transit,MATCH(B99,RS_Lane,0))="","",INDEX(RS_Transit,MATCH(B99,RS_Lane,0))))))</f>
        <v>1</v>
      </c>
      <c r="P99" s="36"/>
      <c r="Q99" s="31" t="n">
        <f aca="false">IF(P99&lt;&gt;"",P99,IF(O99="","",WORKDAY.INTL(L99,ROUNDUP(O99,0),INDEX(LR_Code,MATCH(B99,LR_Lane,0)),INDEX(DH_Table,0,MATCH(B99&amp;"*",DH_Head,0)))))</f>
        <v>46504</v>
      </c>
      <c r="R99" s="37" t="str">
        <f aca="false">IF(Q99="","",IF(Q99&lt;=N99,"Yes","No"))</f>
        <v>Yes</v>
      </c>
      <c r="S99" s="26" t="n">
        <f aca="false">IF(Q99="","",IF(Q99&lt;=N99,0,NETWORKDAYS.INTL(N99,Q99,INDEX(LR_Code,MATCH(B99,LR_Lane,0)),INDEX(DH_Table,0,MATCH(B99&amp;"*",DH_Head,0)))-1))</f>
        <v>0</v>
      </c>
      <c r="T99" s="4"/>
      <c r="U99" s="25" t="str">
        <f aca="false">IF(V99&lt;&gt;"",V99,IF(IFERROR(INDEX(RS_Flag,MATCH(B99,RS_Lane,0)),"")="Yes",IF(IFERROR(INDEX(RS_Loc,MATCH(B99,RS_Lane,0)),"")="","Regional stock",IFERROR(INDEX(RS_Loc,MATCH(B99,RS_Lane,0)),"")),"Helmond"))</f>
        <v>Helmond</v>
      </c>
      <c r="V99" s="17"/>
      <c r="W99" s="38"/>
      <c r="X99" s="39"/>
      <c r="Y99" s="40" t="n">
        <f aca="false">IF(X99&lt;&gt;"",X99,IF(U99="Helmond",IF(COUNTIFS(RC_Lane,B99,RC_Band,E99,RC_CostPS,"&gt;0")=0,"",SUMIFS(RC_CostPS,RC_Lane,B99,RC_Band,E99)*(1-SUMIFS(RC_Disc,RC_Lane,B99,RC_Band,E99))),IF(U99="Other","",IF(INDEX(RS_Rate,MATCH(B99,RS_Lane,0))="","",INDEX(RS_Rate,MATCH(B99,RS_Lane,0))))))</f>
        <v>72.485</v>
      </c>
    </row>
    <row r="100" customFormat="false" ht="15" hidden="false" customHeight="false" outlineLevel="0" collapsed="false">
      <c r="A100" s="3" t="s">
        <v>509</v>
      </c>
      <c r="B100" s="25" t="s">
        <v>108</v>
      </c>
      <c r="C100" s="8" t="s">
        <v>109</v>
      </c>
      <c r="D100" s="8" t="s">
        <v>272</v>
      </c>
      <c r="E100" s="8" t="s">
        <v>183</v>
      </c>
      <c r="F100" s="19" t="n">
        <v>1120.3</v>
      </c>
      <c r="G100" s="33" t="n">
        <f aca="false">F100*0.006477</f>
        <v>7.2561831</v>
      </c>
      <c r="H100" s="19" t="n">
        <f aca="false">F100*1.079436</f>
        <v>1209.2921508</v>
      </c>
      <c r="I100" s="18" t="n">
        <f aca="false">MAX(1,ROUNDUP(G100/0.096,0))</f>
        <v>76</v>
      </c>
      <c r="J100" s="31" t="n">
        <v>46505</v>
      </c>
      <c r="K100" s="34" t="n">
        <f aca="false">J100-WEEKDAY(J100,2)+1</f>
        <v>46503</v>
      </c>
      <c r="L100" s="31" t="n">
        <f aca="false">J100</f>
        <v>46505</v>
      </c>
      <c r="M100" s="26" t="n">
        <f aca="false">INDEX(LR_Target,MATCH(B100,LR_Lane,0))</f>
        <v>2</v>
      </c>
      <c r="N100" s="31" t="n">
        <f aca="false">WORKDAY.INTL(L100,M100,INDEX(LR_Code,MATCH(B100,LR_Lane,0)),INDEX(DH_Table,0,MATCH(B100&amp;"*",DH_Head,0)))</f>
        <v>46509</v>
      </c>
      <c r="O100" s="35" t="n">
        <f aca="false">IF(W100&lt;&gt;"",W100,IF(U100="Helmond",IF(COUNTIFS(RC_Lane,B100,RC_Band,E100,RC_Transit,"&lt;&gt;")=0,"",SUMIFS(RC_Transit,RC_Lane,B100,RC_Band,E100)),IF(U100="Other","",IF(INDEX(RS_Transit,MATCH(B100,RS_Lane,0))="","",INDEX(RS_Transit,MATCH(B100,RS_Lane,0))))))</f>
        <v>4</v>
      </c>
      <c r="P100" s="36"/>
      <c r="Q100" s="31" t="n">
        <f aca="false">IF(P100&lt;&gt;"",P100,IF(O100="","",WORKDAY.INTL(L100,ROUNDUP(O100,0),INDEX(LR_Code,MATCH(B100,LR_Lane,0)),INDEX(DH_Table,0,MATCH(B100&amp;"*",DH_Head,0)))))</f>
        <v>46511</v>
      </c>
      <c r="R100" s="37" t="str">
        <f aca="false">IF(Q100="","",IF(Q100&lt;=N100,"Yes","No"))</f>
        <v>No</v>
      </c>
      <c r="S100" s="26" t="n">
        <f aca="false">IF(Q100="","",IF(Q100&lt;=N100,0,NETWORKDAYS.INTL(N100,Q100,INDEX(LR_Code,MATCH(B100,LR_Lane,0)),INDEX(DH_Table,0,MATCH(B100&amp;"*",DH_Head,0)))-1))</f>
        <v>2</v>
      </c>
      <c r="T100" s="4"/>
      <c r="U100" s="25" t="str">
        <f aca="false">IF(V100&lt;&gt;"",V100,IF(IFERROR(INDEX(RS_Flag,MATCH(B100,RS_Lane,0)),"")="Yes",IF(IFERROR(INDEX(RS_Loc,MATCH(B100,RS_Lane,0)),"")="","Regional stock",IFERROR(INDEX(RS_Loc,MATCH(B100,RS_Lane,0)),"")),"Helmond"))</f>
        <v>Helmond</v>
      </c>
      <c r="V100" s="17"/>
      <c r="W100" s="38"/>
      <c r="X100" s="39"/>
      <c r="Y100" s="40" t="n">
        <f aca="false">IF(X100&lt;&gt;"",X100,IF(U100="Helmond",IF(COUNTIFS(RC_Lane,B100,RC_Band,E100,RC_CostPS,"&gt;0")=0,"",SUMIFS(RC_CostPS,RC_Lane,B100,RC_Band,E100)*(1-SUMIFS(RC_Disc,RC_Lane,B100,RC_Band,E100))),IF(U100="Other","",IF(INDEX(RS_Rate,MATCH(B100,RS_Lane,0))="","",INDEX(RS_Rate,MATCH(B100,RS_Lane,0))))))</f>
        <v>3051.4304</v>
      </c>
    </row>
    <row r="101" customFormat="false" ht="15" hidden="false" customHeight="false" outlineLevel="0" collapsed="false">
      <c r="A101" s="3" t="s">
        <v>510</v>
      </c>
      <c r="B101" s="25" t="s">
        <v>108</v>
      </c>
      <c r="C101" s="8" t="s">
        <v>109</v>
      </c>
      <c r="D101" s="8" t="s">
        <v>272</v>
      </c>
      <c r="E101" s="8" t="s">
        <v>178</v>
      </c>
      <c r="F101" s="19" t="n">
        <v>2.7</v>
      </c>
      <c r="G101" s="33" t="n">
        <f aca="false">F101*0.006477</f>
        <v>0.0174879</v>
      </c>
      <c r="H101" s="19" t="n">
        <f aca="false">F101*1.079436</f>
        <v>2.9144772</v>
      </c>
      <c r="I101" s="18" t="n">
        <f aca="false">MAX(1,ROUNDUP(G101/0.096,0))</f>
        <v>1</v>
      </c>
      <c r="J101" s="31" t="n">
        <v>46505</v>
      </c>
      <c r="K101" s="34" t="n">
        <f aca="false">J101-WEEKDAY(J101,2)+1</f>
        <v>46503</v>
      </c>
      <c r="L101" s="31" t="n">
        <f aca="false">J101</f>
        <v>46505</v>
      </c>
      <c r="M101" s="26" t="n">
        <f aca="false">INDEX(LR_Target,MATCH(B101,LR_Lane,0))</f>
        <v>2</v>
      </c>
      <c r="N101" s="31" t="n">
        <f aca="false">WORKDAY.INTL(L101,M101,INDEX(LR_Code,MATCH(B101,LR_Lane,0)),INDEX(DH_Table,0,MATCH(B101&amp;"*",DH_Head,0)))</f>
        <v>46509</v>
      </c>
      <c r="O101" s="35" t="n">
        <f aca="false">IF(W101&lt;&gt;"",W101,IF(U101="Helmond",IF(COUNTIFS(RC_Lane,B101,RC_Band,E101,RC_Transit,"&lt;&gt;")=0,"",SUMIFS(RC_Transit,RC_Lane,B101,RC_Band,E101)),IF(U101="Other","",IF(INDEX(RS_Transit,MATCH(B101,RS_Lane,0))="","",INDEX(RS_Transit,MATCH(B101,RS_Lane,0))))))</f>
        <v>1</v>
      </c>
      <c r="P101" s="36"/>
      <c r="Q101" s="31" t="n">
        <f aca="false">IF(P101&lt;&gt;"",P101,IF(O101="","",WORKDAY.INTL(L101,ROUNDUP(O101,0),INDEX(LR_Code,MATCH(B101,LR_Lane,0)),INDEX(DH_Table,0,MATCH(B101&amp;"*",DH_Head,0)))))</f>
        <v>46506</v>
      </c>
      <c r="R101" s="37" t="str">
        <f aca="false">IF(Q101="","",IF(Q101&lt;=N101,"Yes","No"))</f>
        <v>Yes</v>
      </c>
      <c r="S101" s="26" t="n">
        <f aca="false">IF(Q101="","",IF(Q101&lt;=N101,0,NETWORKDAYS.INTL(N101,Q101,INDEX(LR_Code,MATCH(B101,LR_Lane,0)),INDEX(DH_Table,0,MATCH(B101&amp;"*",DH_Head,0)))-1))</f>
        <v>0</v>
      </c>
      <c r="T101" s="4"/>
      <c r="U101" s="25" t="str">
        <f aca="false">IF(V101&lt;&gt;"",V101,IF(IFERROR(INDEX(RS_Flag,MATCH(B101,RS_Lane,0)),"")="Yes",IF(IFERROR(INDEX(RS_Loc,MATCH(B101,RS_Lane,0)),"")="","Regional stock",IFERROR(INDEX(RS_Loc,MATCH(B101,RS_Lane,0)),"")),"Helmond"))</f>
        <v>Helmond</v>
      </c>
      <c r="V101" s="17"/>
      <c r="W101" s="38"/>
      <c r="X101" s="39"/>
      <c r="Y101" s="40" t="n">
        <f aca="false">IF(X101&lt;&gt;"",X101,IF(U101="Helmond",IF(COUNTIFS(RC_Lane,B101,RC_Band,E101,RC_CostPS,"&gt;0")=0,"",SUMIFS(RC_CostPS,RC_Lane,B101,RC_Band,E101)*(1-SUMIFS(RC_Disc,RC_Lane,B101,RC_Band,E101))),IF(U101="Other","",IF(INDEX(RS_Rate,MATCH(B101,RS_Lane,0))="","",INDEX(RS_Rate,MATCH(B101,RS_Lane,0))))))</f>
        <v>72.485</v>
      </c>
    </row>
    <row r="102" customFormat="false" ht="15" hidden="false" customHeight="false" outlineLevel="0" collapsed="false">
      <c r="A102" s="3" t="s">
        <v>511</v>
      </c>
      <c r="B102" s="25" t="s">
        <v>112</v>
      </c>
      <c r="C102" s="8" t="s">
        <v>113</v>
      </c>
      <c r="D102" s="8" t="s">
        <v>152</v>
      </c>
      <c r="E102" s="8" t="s">
        <v>178</v>
      </c>
      <c r="F102" s="19" t="n">
        <v>7.9</v>
      </c>
      <c r="G102" s="33" t="n">
        <f aca="false">F102*0.006477</f>
        <v>0.0511683</v>
      </c>
      <c r="H102" s="19" t="n">
        <f aca="false">F102*1.079436</f>
        <v>8.5275444</v>
      </c>
      <c r="I102" s="18" t="n">
        <f aca="false">MAX(1,ROUNDUP(G102/0.096,0))</f>
        <v>1</v>
      </c>
      <c r="J102" s="31" t="n">
        <v>46505</v>
      </c>
      <c r="K102" s="34" t="n">
        <f aca="false">J102-WEEKDAY(J102,2)+1</f>
        <v>46503</v>
      </c>
      <c r="L102" s="31" t="n">
        <f aca="false">J102</f>
        <v>46505</v>
      </c>
      <c r="M102" s="26" t="n">
        <f aca="false">INDEX(LR_Target,MATCH(B102,LR_Lane,0))</f>
        <v>2</v>
      </c>
      <c r="N102" s="31" t="n">
        <f aca="false">WORKDAY.INTL(L102,M102,INDEX(LR_Code,MATCH(B102,LR_Lane,0)),INDEX(DH_Table,0,MATCH(B102&amp;"*",DH_Head,0)))</f>
        <v>46507</v>
      </c>
      <c r="O102" s="35" t="n">
        <f aca="false">IF(W102&lt;&gt;"",W102,IF(U102="Helmond",IF(COUNTIFS(RC_Lane,B102,RC_Band,E102,RC_Transit,"&lt;&gt;")=0,"",SUMIFS(RC_Transit,RC_Lane,B102,RC_Band,E102)),IF(U102="Other","",IF(INDEX(RS_Transit,MATCH(B102,RS_Lane,0))="","",INDEX(RS_Transit,MATCH(B102,RS_Lane,0))))))</f>
        <v>1</v>
      </c>
      <c r="P102" s="36"/>
      <c r="Q102" s="31" t="n">
        <f aca="false">IF(P102&lt;&gt;"",P102,IF(O102="","",WORKDAY.INTL(L102,ROUNDUP(O102,0),INDEX(LR_Code,MATCH(B102,LR_Lane,0)),INDEX(DH_Table,0,MATCH(B102&amp;"*",DH_Head,0)))))</f>
        <v>46506</v>
      </c>
      <c r="R102" s="37" t="str">
        <f aca="false">IF(Q102="","",IF(Q102&lt;=N102,"Yes","No"))</f>
        <v>Yes</v>
      </c>
      <c r="S102" s="26" t="n">
        <f aca="false">IF(Q102="","",IF(Q102&lt;=N102,0,NETWORKDAYS.INTL(N102,Q102,INDEX(LR_Code,MATCH(B102,LR_Lane,0)),INDEX(DH_Table,0,MATCH(B102&amp;"*",DH_Head,0)))-1))</f>
        <v>0</v>
      </c>
      <c r="T102" s="4"/>
      <c r="U102" s="25" t="str">
        <f aca="false">IF(V102&lt;&gt;"",V102,IF(IFERROR(INDEX(RS_Flag,MATCH(B102,RS_Lane,0)),"")="Yes",IF(IFERROR(INDEX(RS_Loc,MATCH(B102,RS_Lane,0)),"")="","Regional stock",IFERROR(INDEX(RS_Loc,MATCH(B102,RS_Lane,0)),"")),"Helmond"))</f>
        <v>Helmond</v>
      </c>
      <c r="V102" s="17"/>
      <c r="W102" s="38"/>
      <c r="X102" s="39"/>
      <c r="Y102" s="40" t="n">
        <f aca="false">IF(X102&lt;&gt;"",X102,IF(U102="Helmond",IF(COUNTIFS(RC_Lane,B102,RC_Band,E102,RC_CostPS,"&gt;0")=0,"",SUMIFS(RC_CostPS,RC_Lane,B102,RC_Band,E102)*(1-SUMIFS(RC_Disc,RC_Lane,B102,RC_Band,E102))),IF(U102="Other","",IF(INDEX(RS_Rate,MATCH(B102,RS_Lane,0))="","",INDEX(RS_Rate,MATCH(B102,RS_Lane,0))))))</f>
        <v>72.485</v>
      </c>
    </row>
    <row r="103" customFormat="false" ht="15" hidden="false" customHeight="false" outlineLevel="0" collapsed="false">
      <c r="A103" s="3" t="s">
        <v>512</v>
      </c>
      <c r="B103" s="25" t="s">
        <v>108</v>
      </c>
      <c r="C103" s="8" t="s">
        <v>109</v>
      </c>
      <c r="D103" s="8" t="s">
        <v>272</v>
      </c>
      <c r="E103" s="8" t="s">
        <v>183</v>
      </c>
      <c r="F103" s="19" t="n">
        <v>1097</v>
      </c>
      <c r="G103" s="33" t="n">
        <f aca="false">F103*0.006477</f>
        <v>7.105269</v>
      </c>
      <c r="H103" s="19" t="n">
        <f aca="false">F103*1.079436</f>
        <v>1184.141292</v>
      </c>
      <c r="I103" s="18" t="n">
        <f aca="false">MAX(1,ROUNDUP(G103/0.096,0))</f>
        <v>75</v>
      </c>
      <c r="J103" s="31" t="n">
        <v>46506</v>
      </c>
      <c r="K103" s="34" t="n">
        <f aca="false">J103-WEEKDAY(J103,2)+1</f>
        <v>46503</v>
      </c>
      <c r="L103" s="31" t="n">
        <f aca="false">J103</f>
        <v>46506</v>
      </c>
      <c r="M103" s="26" t="n">
        <f aca="false">INDEX(LR_Target,MATCH(B103,LR_Lane,0))</f>
        <v>2</v>
      </c>
      <c r="N103" s="31" t="n">
        <f aca="false">WORKDAY.INTL(L103,M103,INDEX(LR_Code,MATCH(B103,LR_Lane,0)),INDEX(DH_Table,0,MATCH(B103&amp;"*",DH_Head,0)))</f>
        <v>46510</v>
      </c>
      <c r="O103" s="35" t="n">
        <f aca="false">IF(W103&lt;&gt;"",W103,IF(U103="Helmond",IF(COUNTIFS(RC_Lane,B103,RC_Band,E103,RC_Transit,"&lt;&gt;")=0,"",SUMIFS(RC_Transit,RC_Lane,B103,RC_Band,E103)),IF(U103="Other","",IF(INDEX(RS_Transit,MATCH(B103,RS_Lane,0))="","",INDEX(RS_Transit,MATCH(B103,RS_Lane,0))))))</f>
        <v>4</v>
      </c>
      <c r="P103" s="36"/>
      <c r="Q103" s="31" t="n">
        <f aca="false">IF(P103&lt;&gt;"",P103,IF(O103="","",WORKDAY.INTL(L103,ROUNDUP(O103,0),INDEX(LR_Code,MATCH(B103,LR_Lane,0)),INDEX(DH_Table,0,MATCH(B103&amp;"*",DH_Head,0)))))</f>
        <v>46512</v>
      </c>
      <c r="R103" s="37" t="str">
        <f aca="false">IF(Q103="","",IF(Q103&lt;=N103,"Yes","No"))</f>
        <v>No</v>
      </c>
      <c r="S103" s="26" t="n">
        <f aca="false">IF(Q103="","",IF(Q103&lt;=N103,0,NETWORKDAYS.INTL(N103,Q103,INDEX(LR_Code,MATCH(B103,LR_Lane,0)),INDEX(DH_Table,0,MATCH(B103&amp;"*",DH_Head,0)))-1))</f>
        <v>2</v>
      </c>
      <c r="T103" s="4"/>
      <c r="U103" s="25" t="str">
        <f aca="false">IF(V103&lt;&gt;"",V103,IF(IFERROR(INDEX(RS_Flag,MATCH(B103,RS_Lane,0)),"")="Yes",IF(IFERROR(INDEX(RS_Loc,MATCH(B103,RS_Lane,0)),"")="","Regional stock",IFERROR(INDEX(RS_Loc,MATCH(B103,RS_Lane,0)),"")),"Helmond"))</f>
        <v>Helmond</v>
      </c>
      <c r="V103" s="17"/>
      <c r="W103" s="38"/>
      <c r="X103" s="39"/>
      <c r="Y103" s="40" t="n">
        <f aca="false">IF(X103&lt;&gt;"",X103,IF(U103="Helmond",IF(COUNTIFS(RC_Lane,B103,RC_Band,E103,RC_CostPS,"&gt;0")=0,"",SUMIFS(RC_CostPS,RC_Lane,B103,RC_Band,E103)*(1-SUMIFS(RC_Disc,RC_Lane,B103,RC_Band,E103))),IF(U103="Other","",IF(INDEX(RS_Rate,MATCH(B103,RS_Lane,0))="","",INDEX(RS_Rate,MATCH(B103,RS_Lane,0))))))</f>
        <v>3051.4304</v>
      </c>
    </row>
    <row r="104" customFormat="false" ht="15" hidden="false" customHeight="false" outlineLevel="0" collapsed="false">
      <c r="A104" s="3" t="s">
        <v>513</v>
      </c>
      <c r="B104" s="25" t="s">
        <v>112</v>
      </c>
      <c r="C104" s="8" t="s">
        <v>113</v>
      </c>
      <c r="D104" s="8" t="s">
        <v>152</v>
      </c>
      <c r="E104" s="8" t="s">
        <v>178</v>
      </c>
      <c r="F104" s="19" t="n">
        <v>3.9</v>
      </c>
      <c r="G104" s="33" t="n">
        <f aca="false">F104*0.006477</f>
        <v>0.0252603</v>
      </c>
      <c r="H104" s="19" t="n">
        <f aca="false">F104*1.079436</f>
        <v>4.2098004</v>
      </c>
      <c r="I104" s="18" t="n">
        <f aca="false">MAX(1,ROUNDUP(G104/0.096,0))</f>
        <v>1</v>
      </c>
      <c r="J104" s="31" t="n">
        <v>46507</v>
      </c>
      <c r="K104" s="34" t="n">
        <f aca="false">J104-WEEKDAY(J104,2)+1</f>
        <v>46503</v>
      </c>
      <c r="L104" s="31" t="n">
        <f aca="false">J104</f>
        <v>46507</v>
      </c>
      <c r="M104" s="26" t="n">
        <f aca="false">INDEX(LR_Target,MATCH(B104,LR_Lane,0))</f>
        <v>2</v>
      </c>
      <c r="N104" s="31" t="n">
        <f aca="false">WORKDAY.INTL(L104,M104,INDEX(LR_Code,MATCH(B104,LR_Lane,0)),INDEX(DH_Table,0,MATCH(B104&amp;"*",DH_Head,0)))</f>
        <v>46511</v>
      </c>
      <c r="O104" s="35" t="n">
        <f aca="false">IF(W104&lt;&gt;"",W104,IF(U104="Helmond",IF(COUNTIFS(RC_Lane,B104,RC_Band,E104,RC_Transit,"&lt;&gt;")=0,"",SUMIFS(RC_Transit,RC_Lane,B104,RC_Band,E104)),IF(U104="Other","",IF(INDEX(RS_Transit,MATCH(B104,RS_Lane,0))="","",INDEX(RS_Transit,MATCH(B104,RS_Lane,0))))))</f>
        <v>1</v>
      </c>
      <c r="P104" s="36"/>
      <c r="Q104" s="31" t="n">
        <f aca="false">IF(P104&lt;&gt;"",P104,IF(O104="","",WORKDAY.INTL(L104,ROUNDUP(O104,0),INDEX(LR_Code,MATCH(B104,LR_Lane,0)),INDEX(DH_Table,0,MATCH(B104&amp;"*",DH_Head,0)))))</f>
        <v>46510</v>
      </c>
      <c r="R104" s="37" t="str">
        <f aca="false">IF(Q104="","",IF(Q104&lt;=N104,"Yes","No"))</f>
        <v>Yes</v>
      </c>
      <c r="S104" s="26" t="n">
        <f aca="false">IF(Q104="","",IF(Q104&lt;=N104,0,NETWORKDAYS.INTL(N104,Q104,INDEX(LR_Code,MATCH(B104,LR_Lane,0)),INDEX(DH_Table,0,MATCH(B104&amp;"*",DH_Head,0)))-1))</f>
        <v>0</v>
      </c>
      <c r="T104" s="4"/>
      <c r="U104" s="25" t="str">
        <f aca="false">IF(V104&lt;&gt;"",V104,IF(IFERROR(INDEX(RS_Flag,MATCH(B104,RS_Lane,0)),"")="Yes",IF(IFERROR(INDEX(RS_Loc,MATCH(B104,RS_Lane,0)),"")="","Regional stock",IFERROR(INDEX(RS_Loc,MATCH(B104,RS_Lane,0)),"")),"Helmond"))</f>
        <v>Helmond</v>
      </c>
      <c r="V104" s="17"/>
      <c r="W104" s="38"/>
      <c r="X104" s="39"/>
      <c r="Y104" s="40" t="n">
        <f aca="false">IF(X104&lt;&gt;"",X104,IF(U104="Helmond",IF(COUNTIFS(RC_Lane,B104,RC_Band,E104,RC_CostPS,"&gt;0")=0,"",SUMIFS(RC_CostPS,RC_Lane,B104,RC_Band,E104)*(1-SUMIFS(RC_Disc,RC_Lane,B104,RC_Band,E104))),IF(U104="Other","",IF(INDEX(RS_Rate,MATCH(B104,RS_Lane,0))="","",INDEX(RS_Rate,MATCH(B104,RS_Lane,0))))))</f>
        <v>72.485</v>
      </c>
    </row>
    <row r="105" customFormat="false" ht="15" hidden="false" customHeight="false" outlineLevel="0" collapsed="false">
      <c r="A105" s="3" t="s">
        <v>514</v>
      </c>
      <c r="B105" s="25" t="s">
        <v>112</v>
      </c>
      <c r="C105" s="8" t="s">
        <v>113</v>
      </c>
      <c r="D105" s="8" t="s">
        <v>152</v>
      </c>
      <c r="E105" s="8" t="s">
        <v>178</v>
      </c>
      <c r="F105" s="19" t="n">
        <v>11.5</v>
      </c>
      <c r="G105" s="33" t="n">
        <f aca="false">F105*0.006477</f>
        <v>0.0744855</v>
      </c>
      <c r="H105" s="19" t="n">
        <f aca="false">F105*1.079436</f>
        <v>12.413514</v>
      </c>
      <c r="I105" s="18" t="n">
        <f aca="false">MAX(1,ROUNDUP(G105/0.096,0))</f>
        <v>1</v>
      </c>
      <c r="J105" s="31" t="n">
        <v>46510</v>
      </c>
      <c r="K105" s="34" t="n">
        <f aca="false">J105-WEEKDAY(J105,2)+1</f>
        <v>46510</v>
      </c>
      <c r="L105" s="31" t="n">
        <f aca="false">J105</f>
        <v>46510</v>
      </c>
      <c r="M105" s="26" t="n">
        <f aca="false">INDEX(LR_Target,MATCH(B105,LR_Lane,0))</f>
        <v>2</v>
      </c>
      <c r="N105" s="31" t="n">
        <f aca="false">WORKDAY.INTL(L105,M105,INDEX(LR_Code,MATCH(B105,LR_Lane,0)),INDEX(DH_Table,0,MATCH(B105&amp;"*",DH_Head,0)))</f>
        <v>46512</v>
      </c>
      <c r="O105" s="35" t="n">
        <f aca="false">IF(W105&lt;&gt;"",W105,IF(U105="Helmond",IF(COUNTIFS(RC_Lane,B105,RC_Band,E105,RC_Transit,"&lt;&gt;")=0,"",SUMIFS(RC_Transit,RC_Lane,B105,RC_Band,E105)),IF(U105="Other","",IF(INDEX(RS_Transit,MATCH(B105,RS_Lane,0))="","",INDEX(RS_Transit,MATCH(B105,RS_Lane,0))))))</f>
        <v>1</v>
      </c>
      <c r="P105" s="36"/>
      <c r="Q105" s="31" t="n">
        <f aca="false">IF(P105&lt;&gt;"",P105,IF(O105="","",WORKDAY.INTL(L105,ROUNDUP(O105,0),INDEX(LR_Code,MATCH(B105,LR_Lane,0)),INDEX(DH_Table,0,MATCH(B105&amp;"*",DH_Head,0)))))</f>
        <v>46511</v>
      </c>
      <c r="R105" s="37" t="str">
        <f aca="false">IF(Q105="","",IF(Q105&lt;=N105,"Yes","No"))</f>
        <v>Yes</v>
      </c>
      <c r="S105" s="26" t="n">
        <f aca="false">IF(Q105="","",IF(Q105&lt;=N105,0,NETWORKDAYS.INTL(N105,Q105,INDEX(LR_Code,MATCH(B105,LR_Lane,0)),INDEX(DH_Table,0,MATCH(B105&amp;"*",DH_Head,0)))-1))</f>
        <v>0</v>
      </c>
      <c r="T105" s="4"/>
      <c r="U105" s="25" t="str">
        <f aca="false">IF(V105&lt;&gt;"",V105,IF(IFERROR(INDEX(RS_Flag,MATCH(B105,RS_Lane,0)),"")="Yes",IF(IFERROR(INDEX(RS_Loc,MATCH(B105,RS_Lane,0)),"")="","Regional stock",IFERROR(INDEX(RS_Loc,MATCH(B105,RS_Lane,0)),"")),"Helmond"))</f>
        <v>Helmond</v>
      </c>
      <c r="V105" s="17"/>
      <c r="W105" s="38"/>
      <c r="X105" s="39"/>
      <c r="Y105" s="40" t="n">
        <f aca="false">IF(X105&lt;&gt;"",X105,IF(U105="Helmond",IF(COUNTIFS(RC_Lane,B105,RC_Band,E105,RC_CostPS,"&gt;0")=0,"",SUMIFS(RC_CostPS,RC_Lane,B105,RC_Band,E105)*(1-SUMIFS(RC_Disc,RC_Lane,B105,RC_Band,E105))),IF(U105="Other","",IF(INDEX(RS_Rate,MATCH(B105,RS_Lane,0))="","",INDEX(RS_Rate,MATCH(B105,RS_Lane,0))))))</f>
        <v>72.485</v>
      </c>
    </row>
    <row r="106" customFormat="false" ht="15" hidden="false" customHeight="false" outlineLevel="0" collapsed="false">
      <c r="A106" s="3" t="s">
        <v>515</v>
      </c>
      <c r="B106" s="25" t="s">
        <v>119</v>
      </c>
      <c r="C106" s="8" t="s">
        <v>120</v>
      </c>
      <c r="D106" s="8" t="s">
        <v>155</v>
      </c>
      <c r="E106" s="8" t="s">
        <v>182</v>
      </c>
      <c r="F106" s="19" t="n">
        <v>281.4</v>
      </c>
      <c r="G106" s="33" t="n">
        <f aca="false">F106*0.006477</f>
        <v>1.8226278</v>
      </c>
      <c r="H106" s="19" t="n">
        <f aca="false">F106*1.079436</f>
        <v>303.7532904</v>
      </c>
      <c r="I106" s="18" t="n">
        <f aca="false">MAX(1,ROUNDUP(G106/0.096,0))</f>
        <v>19</v>
      </c>
      <c r="J106" s="31" t="n">
        <v>46510</v>
      </c>
      <c r="K106" s="34" t="n">
        <f aca="false">J106-WEEKDAY(J106,2)+1</f>
        <v>46510</v>
      </c>
      <c r="L106" s="31" t="n">
        <f aca="false">J106</f>
        <v>46510</v>
      </c>
      <c r="M106" s="26" t="n">
        <f aca="false">INDEX(LR_Target,MATCH(B106,LR_Lane,0))</f>
        <v>3</v>
      </c>
      <c r="N106" s="31" t="n">
        <f aca="false">WORKDAY.INTL(L106,M106,INDEX(LR_Code,MATCH(B106,LR_Lane,0)),INDEX(DH_Table,0,MATCH(B106&amp;"*",DH_Head,0)))</f>
        <v>46513</v>
      </c>
      <c r="O106" s="35" t="n">
        <f aca="false">IF(W106&lt;&gt;"",W106,IF(U106="Helmond",IF(COUNTIFS(RC_Lane,B106,RC_Band,E106,RC_Transit,"&lt;&gt;")=0,"",SUMIFS(RC_Transit,RC_Lane,B106,RC_Band,E106)),IF(U106="Other","",IF(INDEX(RS_Transit,MATCH(B106,RS_Lane,0))="","",INDEX(RS_Transit,MATCH(B106,RS_Lane,0))))))</f>
        <v>3</v>
      </c>
      <c r="P106" s="36"/>
      <c r="Q106" s="31" t="n">
        <f aca="false">IF(P106&lt;&gt;"",P106,IF(O106="","",WORKDAY.INTL(L106,ROUNDUP(O106,0),INDEX(LR_Code,MATCH(B106,LR_Lane,0)),INDEX(DH_Table,0,MATCH(B106&amp;"*",DH_Head,0)))))</f>
        <v>46513</v>
      </c>
      <c r="R106" s="37" t="str">
        <f aca="false">IF(Q106="","",IF(Q106&lt;=N106,"Yes","No"))</f>
        <v>Yes</v>
      </c>
      <c r="S106" s="26" t="n">
        <f aca="false">IF(Q106="","",IF(Q106&lt;=N106,0,NETWORKDAYS.INTL(N106,Q106,INDEX(LR_Code,MATCH(B106,LR_Lane,0)),INDEX(DH_Table,0,MATCH(B106&amp;"*",DH_Head,0)))-1))</f>
        <v>0</v>
      </c>
      <c r="T106" s="4"/>
      <c r="U106" s="25" t="str">
        <f aca="false">IF(V106&lt;&gt;"",V106,IF(IFERROR(INDEX(RS_Flag,MATCH(B106,RS_Lane,0)),"")="Yes",IF(IFERROR(INDEX(RS_Loc,MATCH(B106,RS_Lane,0)),"")="","Regional stock",IFERROR(INDEX(RS_Loc,MATCH(B106,RS_Lane,0)),"")),"Helmond"))</f>
        <v>Helmond</v>
      </c>
      <c r="V106" s="17"/>
      <c r="W106" s="38"/>
      <c r="X106" s="39"/>
      <c r="Y106" s="40" t="n">
        <f aca="false">IF(X106&lt;&gt;"",X106,IF(U106="Helmond",IF(COUNTIFS(RC_Lane,B106,RC_Band,E106,RC_CostPS,"&gt;0")=0,"",SUMIFS(RC_CostPS,RC_Lane,B106,RC_Band,E106)*(1-SUMIFS(RC_Disc,RC_Lane,B106,RC_Band,E106))),IF(U106="Other","",IF(INDEX(RS_Rate,MATCH(B106,RS_Lane,0))="","",INDEX(RS_Rate,MATCH(B106,RS_Lane,0))))))</f>
        <v>1400.35434</v>
      </c>
    </row>
    <row r="107" customFormat="false" ht="15" hidden="false" customHeight="false" outlineLevel="0" collapsed="false">
      <c r="A107" s="3" t="s">
        <v>516</v>
      </c>
      <c r="B107" s="25" t="s">
        <v>108</v>
      </c>
      <c r="C107" s="8" t="s">
        <v>109</v>
      </c>
      <c r="D107" s="8" t="s">
        <v>272</v>
      </c>
      <c r="E107" s="8" t="s">
        <v>178</v>
      </c>
      <c r="F107" s="19" t="n">
        <v>7.2</v>
      </c>
      <c r="G107" s="33" t="n">
        <f aca="false">F107*0.006477</f>
        <v>0.0466344</v>
      </c>
      <c r="H107" s="19" t="n">
        <f aca="false">F107*1.079436</f>
        <v>7.7719392</v>
      </c>
      <c r="I107" s="18" t="n">
        <f aca="false">MAX(1,ROUNDUP(G107/0.096,0))</f>
        <v>1</v>
      </c>
      <c r="J107" s="31" t="n">
        <v>46512</v>
      </c>
      <c r="K107" s="34" t="n">
        <f aca="false">J107-WEEKDAY(J107,2)+1</f>
        <v>46510</v>
      </c>
      <c r="L107" s="31" t="n">
        <f aca="false">J107</f>
        <v>46512</v>
      </c>
      <c r="M107" s="26" t="n">
        <f aca="false">INDEX(LR_Target,MATCH(B107,LR_Lane,0))</f>
        <v>2</v>
      </c>
      <c r="N107" s="31" t="n">
        <f aca="false">WORKDAY.INTL(L107,M107,INDEX(LR_Code,MATCH(B107,LR_Lane,0)),INDEX(DH_Table,0,MATCH(B107&amp;"*",DH_Head,0)))</f>
        <v>46516</v>
      </c>
      <c r="O107" s="35" t="n">
        <f aca="false">IF(W107&lt;&gt;"",W107,IF(U107="Helmond",IF(COUNTIFS(RC_Lane,B107,RC_Band,E107,RC_Transit,"&lt;&gt;")=0,"",SUMIFS(RC_Transit,RC_Lane,B107,RC_Band,E107)),IF(U107="Other","",IF(INDEX(RS_Transit,MATCH(B107,RS_Lane,0))="","",INDEX(RS_Transit,MATCH(B107,RS_Lane,0))))))</f>
        <v>1</v>
      </c>
      <c r="P107" s="36"/>
      <c r="Q107" s="31" t="n">
        <f aca="false">IF(P107&lt;&gt;"",P107,IF(O107="","",WORKDAY.INTL(L107,ROUNDUP(O107,0),INDEX(LR_Code,MATCH(B107,LR_Lane,0)),INDEX(DH_Table,0,MATCH(B107&amp;"*",DH_Head,0)))))</f>
        <v>46513</v>
      </c>
      <c r="R107" s="37" t="str">
        <f aca="false">IF(Q107="","",IF(Q107&lt;=N107,"Yes","No"))</f>
        <v>Yes</v>
      </c>
      <c r="S107" s="26" t="n">
        <f aca="false">IF(Q107="","",IF(Q107&lt;=N107,0,NETWORKDAYS.INTL(N107,Q107,INDEX(LR_Code,MATCH(B107,LR_Lane,0)),INDEX(DH_Table,0,MATCH(B107&amp;"*",DH_Head,0)))-1))</f>
        <v>0</v>
      </c>
      <c r="T107" s="4"/>
      <c r="U107" s="25" t="str">
        <f aca="false">IF(V107&lt;&gt;"",V107,IF(IFERROR(INDEX(RS_Flag,MATCH(B107,RS_Lane,0)),"")="Yes",IF(IFERROR(INDEX(RS_Loc,MATCH(B107,RS_Lane,0)),"")="","Regional stock",IFERROR(INDEX(RS_Loc,MATCH(B107,RS_Lane,0)),"")),"Helmond"))</f>
        <v>Helmond</v>
      </c>
      <c r="V107" s="17"/>
      <c r="W107" s="38"/>
      <c r="X107" s="39"/>
      <c r="Y107" s="40" t="n">
        <f aca="false">IF(X107&lt;&gt;"",X107,IF(U107="Helmond",IF(COUNTIFS(RC_Lane,B107,RC_Band,E107,RC_CostPS,"&gt;0")=0,"",SUMIFS(RC_CostPS,RC_Lane,B107,RC_Band,E107)*(1-SUMIFS(RC_Disc,RC_Lane,B107,RC_Band,E107))),IF(U107="Other","",IF(INDEX(RS_Rate,MATCH(B107,RS_Lane,0))="","",INDEX(RS_Rate,MATCH(B107,RS_Lane,0))))))</f>
        <v>72.485</v>
      </c>
    </row>
    <row r="108" customFormat="false" ht="15" hidden="false" customHeight="false" outlineLevel="0" collapsed="false">
      <c r="A108" s="3" t="s">
        <v>517</v>
      </c>
      <c r="B108" s="25" t="s">
        <v>108</v>
      </c>
      <c r="C108" s="8" t="s">
        <v>109</v>
      </c>
      <c r="D108" s="8" t="s">
        <v>272</v>
      </c>
      <c r="E108" s="8" t="s">
        <v>182</v>
      </c>
      <c r="F108" s="19" t="n">
        <v>380.7</v>
      </c>
      <c r="G108" s="33" t="n">
        <f aca="false">F108*0.006477</f>
        <v>2.4657939</v>
      </c>
      <c r="H108" s="19" t="n">
        <f aca="false">F108*1.079436</f>
        <v>410.9412852</v>
      </c>
      <c r="I108" s="18" t="n">
        <f aca="false">MAX(1,ROUNDUP(G108/0.096,0))</f>
        <v>26</v>
      </c>
      <c r="J108" s="31" t="n">
        <v>46514</v>
      </c>
      <c r="K108" s="34" t="n">
        <f aca="false">J108-WEEKDAY(J108,2)+1</f>
        <v>46510</v>
      </c>
      <c r="L108" s="31" t="n">
        <f aca="false">J108</f>
        <v>46514</v>
      </c>
      <c r="M108" s="26" t="n">
        <f aca="false">INDEX(LR_Target,MATCH(B108,LR_Lane,0))</f>
        <v>2</v>
      </c>
      <c r="N108" s="31" t="n">
        <f aca="false">WORKDAY.INTL(L108,M108,INDEX(LR_Code,MATCH(B108,LR_Lane,0)),INDEX(DH_Table,0,MATCH(B108&amp;"*",DH_Head,0)))</f>
        <v>46517</v>
      </c>
      <c r="O108" s="35" t="n">
        <f aca="false">IF(W108&lt;&gt;"",W108,IF(U108="Helmond",IF(COUNTIFS(RC_Lane,B108,RC_Band,E108,RC_Transit,"&lt;&gt;")=0,"",SUMIFS(RC_Transit,RC_Lane,B108,RC_Band,E108)),IF(U108="Other","",IF(INDEX(RS_Transit,MATCH(B108,RS_Lane,0))="","",INDEX(RS_Transit,MATCH(B108,RS_Lane,0))))))</f>
        <v>3</v>
      </c>
      <c r="P108" s="36"/>
      <c r="Q108" s="31" t="n">
        <f aca="false">IF(P108&lt;&gt;"",P108,IF(O108="","",WORKDAY.INTL(L108,ROUNDUP(O108,0),INDEX(LR_Code,MATCH(B108,LR_Lane,0)),INDEX(DH_Table,0,MATCH(B108&amp;"*",DH_Head,0)))))</f>
        <v>46518</v>
      </c>
      <c r="R108" s="37" t="str">
        <f aca="false">IF(Q108="","",IF(Q108&lt;=N108,"Yes","No"))</f>
        <v>No</v>
      </c>
      <c r="S108" s="26" t="n">
        <f aca="false">IF(Q108="","",IF(Q108&lt;=N108,0,NETWORKDAYS.INTL(N108,Q108,INDEX(LR_Code,MATCH(B108,LR_Lane,0)),INDEX(DH_Table,0,MATCH(B108&amp;"*",DH_Head,0)))-1))</f>
        <v>1</v>
      </c>
      <c r="T108" s="4"/>
      <c r="U108" s="25" t="str">
        <f aca="false">IF(V108&lt;&gt;"",V108,IF(IFERROR(INDEX(RS_Flag,MATCH(B108,RS_Lane,0)),"")="Yes",IF(IFERROR(INDEX(RS_Loc,MATCH(B108,RS_Lane,0)),"")="","Regional stock",IFERROR(INDEX(RS_Loc,MATCH(B108,RS_Lane,0)),"")),"Helmond"))</f>
        <v>Helmond</v>
      </c>
      <c r="V108" s="17"/>
      <c r="W108" s="38"/>
      <c r="X108" s="39"/>
      <c r="Y108" s="40" t="n">
        <f aca="false">IF(X108&lt;&gt;"",X108,IF(U108="Helmond",IF(COUNTIFS(RC_Lane,B108,RC_Band,E108,RC_CostPS,"&gt;0")=0,"",SUMIFS(RC_CostPS,RC_Lane,B108,RC_Band,E108)*(1-SUMIFS(RC_Disc,RC_Lane,B108,RC_Band,E108))),IF(U108="Other","",IF(INDEX(RS_Rate,MATCH(B108,RS_Lane,0))="","",INDEX(RS_Rate,MATCH(B108,RS_Lane,0))))))</f>
        <v>1009.7531</v>
      </c>
    </row>
    <row r="109" customFormat="false" ht="15" hidden="false" customHeight="false" outlineLevel="0" collapsed="false">
      <c r="A109" s="3" t="s">
        <v>518</v>
      </c>
      <c r="B109" s="25" t="s">
        <v>108</v>
      </c>
      <c r="C109" s="8" t="s">
        <v>109</v>
      </c>
      <c r="D109" s="8" t="s">
        <v>272</v>
      </c>
      <c r="E109" s="8" t="s">
        <v>178</v>
      </c>
      <c r="F109" s="19" t="n">
        <v>5.7</v>
      </c>
      <c r="G109" s="33" t="n">
        <f aca="false">F109*0.006477</f>
        <v>0.0369189</v>
      </c>
      <c r="H109" s="19" t="n">
        <f aca="false">F109*1.079436</f>
        <v>6.1527852</v>
      </c>
      <c r="I109" s="18" t="n">
        <f aca="false">MAX(1,ROUNDUP(G109/0.096,0))</f>
        <v>1</v>
      </c>
      <c r="J109" s="31" t="n">
        <v>46520</v>
      </c>
      <c r="K109" s="34" t="n">
        <f aca="false">J109-WEEKDAY(J109,2)+1</f>
        <v>46517</v>
      </c>
      <c r="L109" s="31" t="n">
        <f aca="false">J109</f>
        <v>46520</v>
      </c>
      <c r="M109" s="26" t="n">
        <f aca="false">INDEX(LR_Target,MATCH(B109,LR_Lane,0))</f>
        <v>2</v>
      </c>
      <c r="N109" s="31" t="n">
        <f aca="false">WORKDAY.INTL(L109,M109,INDEX(LR_Code,MATCH(B109,LR_Lane,0)),INDEX(DH_Table,0,MATCH(B109&amp;"*",DH_Head,0)))</f>
        <v>46527</v>
      </c>
      <c r="O109" s="35" t="n">
        <f aca="false">IF(W109&lt;&gt;"",W109,IF(U109="Helmond",IF(COUNTIFS(RC_Lane,B109,RC_Band,E109,RC_Transit,"&lt;&gt;")=0,"",SUMIFS(RC_Transit,RC_Lane,B109,RC_Band,E109)),IF(U109="Other","",IF(INDEX(RS_Transit,MATCH(B109,RS_Lane,0))="","",INDEX(RS_Transit,MATCH(B109,RS_Lane,0))))))</f>
        <v>1</v>
      </c>
      <c r="P109" s="36"/>
      <c r="Q109" s="31" t="n">
        <f aca="false">IF(P109&lt;&gt;"",P109,IF(O109="","",WORKDAY.INTL(L109,ROUNDUP(O109,0),INDEX(LR_Code,MATCH(B109,LR_Lane,0)),INDEX(DH_Table,0,MATCH(B109&amp;"*",DH_Head,0)))))</f>
        <v>46526</v>
      </c>
      <c r="R109" s="37" t="str">
        <f aca="false">IF(Q109="","",IF(Q109&lt;=N109,"Yes","No"))</f>
        <v>Yes</v>
      </c>
      <c r="S109" s="26" t="n">
        <f aca="false">IF(Q109="","",IF(Q109&lt;=N109,0,NETWORKDAYS.INTL(N109,Q109,INDEX(LR_Code,MATCH(B109,LR_Lane,0)),INDEX(DH_Table,0,MATCH(B109&amp;"*",DH_Head,0)))-1))</f>
        <v>0</v>
      </c>
      <c r="T109" s="4"/>
      <c r="U109" s="25" t="str">
        <f aca="false">IF(V109&lt;&gt;"",V109,IF(IFERROR(INDEX(RS_Flag,MATCH(B109,RS_Lane,0)),"")="Yes",IF(IFERROR(INDEX(RS_Loc,MATCH(B109,RS_Lane,0)),"")="","Regional stock",IFERROR(INDEX(RS_Loc,MATCH(B109,RS_Lane,0)),"")),"Helmond"))</f>
        <v>Helmond</v>
      </c>
      <c r="V109" s="17"/>
      <c r="W109" s="38"/>
      <c r="X109" s="39"/>
      <c r="Y109" s="40" t="n">
        <f aca="false">IF(X109&lt;&gt;"",X109,IF(U109="Helmond",IF(COUNTIFS(RC_Lane,B109,RC_Band,E109,RC_CostPS,"&gt;0")=0,"",SUMIFS(RC_CostPS,RC_Lane,B109,RC_Band,E109)*(1-SUMIFS(RC_Disc,RC_Lane,B109,RC_Band,E109))),IF(U109="Other","",IF(INDEX(RS_Rate,MATCH(B109,RS_Lane,0))="","",INDEX(RS_Rate,MATCH(B109,RS_Lane,0))))))</f>
        <v>72.485</v>
      </c>
    </row>
    <row r="110" customFormat="false" ht="15" hidden="false" customHeight="false" outlineLevel="0" collapsed="false">
      <c r="A110" s="3" t="s">
        <v>519</v>
      </c>
      <c r="B110" s="25" t="s">
        <v>112</v>
      </c>
      <c r="C110" s="8" t="s">
        <v>113</v>
      </c>
      <c r="D110" s="8" t="s">
        <v>152</v>
      </c>
      <c r="E110" s="8" t="s">
        <v>178</v>
      </c>
      <c r="F110" s="19" t="n">
        <v>4.2</v>
      </c>
      <c r="G110" s="33" t="n">
        <f aca="false">F110*0.006477</f>
        <v>0.0272034</v>
      </c>
      <c r="H110" s="19" t="n">
        <f aca="false">F110*1.079436</f>
        <v>4.5336312</v>
      </c>
      <c r="I110" s="18" t="n">
        <f aca="false">MAX(1,ROUNDUP(G110/0.096,0))</f>
        <v>1</v>
      </c>
      <c r="J110" s="31" t="n">
        <v>46520</v>
      </c>
      <c r="K110" s="34" t="n">
        <f aca="false">J110-WEEKDAY(J110,2)+1</f>
        <v>46517</v>
      </c>
      <c r="L110" s="31" t="n">
        <f aca="false">J110</f>
        <v>46520</v>
      </c>
      <c r="M110" s="26" t="n">
        <f aca="false">INDEX(LR_Target,MATCH(B110,LR_Lane,0))</f>
        <v>2</v>
      </c>
      <c r="N110" s="31" t="n">
        <f aca="false">WORKDAY.INTL(L110,M110,INDEX(LR_Code,MATCH(B110,LR_Lane,0)),INDEX(DH_Table,0,MATCH(B110&amp;"*",DH_Head,0)))</f>
        <v>46526</v>
      </c>
      <c r="O110" s="35" t="n">
        <f aca="false">IF(W110&lt;&gt;"",W110,IF(U110="Helmond",IF(COUNTIFS(RC_Lane,B110,RC_Band,E110,RC_Transit,"&lt;&gt;")=0,"",SUMIFS(RC_Transit,RC_Lane,B110,RC_Band,E110)),IF(U110="Other","",IF(INDEX(RS_Transit,MATCH(B110,RS_Lane,0))="","",INDEX(RS_Transit,MATCH(B110,RS_Lane,0))))))</f>
        <v>1</v>
      </c>
      <c r="P110" s="36"/>
      <c r="Q110" s="31" t="n">
        <f aca="false">IF(P110&lt;&gt;"",P110,IF(O110="","",WORKDAY.INTL(L110,ROUNDUP(O110,0),INDEX(LR_Code,MATCH(B110,LR_Lane,0)),INDEX(DH_Table,0,MATCH(B110&amp;"*",DH_Head,0)))))</f>
        <v>46521</v>
      </c>
      <c r="R110" s="37" t="str">
        <f aca="false">IF(Q110="","",IF(Q110&lt;=N110,"Yes","No"))</f>
        <v>Yes</v>
      </c>
      <c r="S110" s="26" t="n">
        <f aca="false">IF(Q110="","",IF(Q110&lt;=N110,0,NETWORKDAYS.INTL(N110,Q110,INDEX(LR_Code,MATCH(B110,LR_Lane,0)),INDEX(DH_Table,0,MATCH(B110&amp;"*",DH_Head,0)))-1))</f>
        <v>0</v>
      </c>
      <c r="T110" s="4"/>
      <c r="U110" s="25" t="str">
        <f aca="false">IF(V110&lt;&gt;"",V110,IF(IFERROR(INDEX(RS_Flag,MATCH(B110,RS_Lane,0)),"")="Yes",IF(IFERROR(INDEX(RS_Loc,MATCH(B110,RS_Lane,0)),"")="","Regional stock",IFERROR(INDEX(RS_Loc,MATCH(B110,RS_Lane,0)),"")),"Helmond"))</f>
        <v>Helmond</v>
      </c>
      <c r="V110" s="17"/>
      <c r="W110" s="38"/>
      <c r="X110" s="39"/>
      <c r="Y110" s="40" t="n">
        <f aca="false">IF(X110&lt;&gt;"",X110,IF(U110="Helmond",IF(COUNTIFS(RC_Lane,B110,RC_Band,E110,RC_CostPS,"&gt;0")=0,"",SUMIFS(RC_CostPS,RC_Lane,B110,RC_Band,E110)*(1-SUMIFS(RC_Disc,RC_Lane,B110,RC_Band,E110))),IF(U110="Other","",IF(INDEX(RS_Rate,MATCH(B110,RS_Lane,0))="","",INDEX(RS_Rate,MATCH(B110,RS_Lane,0))))))</f>
        <v>72.485</v>
      </c>
    </row>
    <row r="111" customFormat="false" ht="15" hidden="false" customHeight="false" outlineLevel="0" collapsed="false">
      <c r="A111" s="3" t="s">
        <v>520</v>
      </c>
      <c r="B111" s="25" t="s">
        <v>108</v>
      </c>
      <c r="C111" s="8" t="s">
        <v>109</v>
      </c>
      <c r="D111" s="8" t="s">
        <v>270</v>
      </c>
      <c r="E111" s="8" t="s">
        <v>182</v>
      </c>
      <c r="F111" s="19" t="n">
        <v>248</v>
      </c>
      <c r="G111" s="33" t="n">
        <f aca="false">F111*0.006477</f>
        <v>1.606296</v>
      </c>
      <c r="H111" s="19" t="n">
        <f aca="false">F111*1.079436</f>
        <v>267.700128</v>
      </c>
      <c r="I111" s="18" t="n">
        <f aca="false">MAX(1,ROUNDUP(G111/0.096,0))</f>
        <v>17</v>
      </c>
      <c r="J111" s="31" t="n">
        <v>46521</v>
      </c>
      <c r="K111" s="34" t="n">
        <f aca="false">J111-WEEKDAY(J111,2)+1</f>
        <v>46517</v>
      </c>
      <c r="L111" s="31" t="n">
        <f aca="false">J111</f>
        <v>46521</v>
      </c>
      <c r="M111" s="26" t="n">
        <f aca="false">INDEX(LR_Target,MATCH(B111,LR_Lane,0))</f>
        <v>2</v>
      </c>
      <c r="N111" s="31" t="n">
        <f aca="false">WORKDAY.INTL(L111,M111,INDEX(LR_Code,MATCH(B111,LR_Lane,0)),INDEX(DH_Table,0,MATCH(B111&amp;"*",DH_Head,0)))</f>
        <v>46527</v>
      </c>
      <c r="O111" s="35" t="n">
        <f aca="false">IF(W111&lt;&gt;"",W111,IF(U111="Helmond",IF(COUNTIFS(RC_Lane,B111,RC_Band,E111,RC_Transit,"&lt;&gt;")=0,"",SUMIFS(RC_Transit,RC_Lane,B111,RC_Band,E111)),IF(U111="Other","",IF(INDEX(RS_Transit,MATCH(B111,RS_Lane,0))="","",INDEX(RS_Transit,MATCH(B111,RS_Lane,0))))))</f>
        <v>3</v>
      </c>
      <c r="P111" s="36"/>
      <c r="Q111" s="31" t="n">
        <f aca="false">IF(P111&lt;&gt;"",P111,IF(O111="","",WORKDAY.INTL(L111,ROUNDUP(O111,0),INDEX(LR_Code,MATCH(B111,LR_Lane,0)),INDEX(DH_Table,0,MATCH(B111&amp;"*",DH_Head,0)))))</f>
        <v>46530</v>
      </c>
      <c r="R111" s="37" t="str">
        <f aca="false">IF(Q111="","",IF(Q111&lt;=N111,"Yes","No"))</f>
        <v>No</v>
      </c>
      <c r="S111" s="26" t="n">
        <f aca="false">IF(Q111="","",IF(Q111&lt;=N111,0,NETWORKDAYS.INTL(N111,Q111,INDEX(LR_Code,MATCH(B111,LR_Lane,0)),INDEX(DH_Table,0,MATCH(B111&amp;"*",DH_Head,0)))-1))</f>
        <v>1</v>
      </c>
      <c r="T111" s="4"/>
      <c r="U111" s="25" t="str">
        <f aca="false">IF(V111&lt;&gt;"",V111,IF(IFERROR(INDEX(RS_Flag,MATCH(B111,RS_Lane,0)),"")="Yes",IF(IFERROR(INDEX(RS_Loc,MATCH(B111,RS_Lane,0)),"")="","Regional stock",IFERROR(INDEX(RS_Loc,MATCH(B111,RS_Lane,0)),"")),"Helmond"))</f>
        <v>Helmond</v>
      </c>
      <c r="V111" s="17"/>
      <c r="W111" s="38"/>
      <c r="X111" s="39"/>
      <c r="Y111" s="40" t="n">
        <f aca="false">IF(X111&lt;&gt;"",X111,IF(U111="Helmond",IF(COUNTIFS(RC_Lane,B111,RC_Band,E111,RC_CostPS,"&gt;0")=0,"",SUMIFS(RC_CostPS,RC_Lane,B111,RC_Band,E111)*(1-SUMIFS(RC_Disc,RC_Lane,B111,RC_Band,E111))),IF(U111="Other","",IF(INDEX(RS_Rate,MATCH(B111,RS_Lane,0))="","",INDEX(RS_Rate,MATCH(B111,RS_Lane,0))))))</f>
        <v>1009.7531</v>
      </c>
    </row>
    <row r="112" customFormat="false" ht="15" hidden="false" customHeight="false" outlineLevel="0" collapsed="false">
      <c r="A112" s="3" t="s">
        <v>521</v>
      </c>
      <c r="B112" s="25" t="s">
        <v>112</v>
      </c>
      <c r="C112" s="8" t="s">
        <v>113</v>
      </c>
      <c r="D112" s="8" t="s">
        <v>152</v>
      </c>
      <c r="E112" s="8" t="s">
        <v>178</v>
      </c>
      <c r="F112" s="19" t="n">
        <v>7.5</v>
      </c>
      <c r="G112" s="33" t="n">
        <f aca="false">F112*0.006477</f>
        <v>0.0485775</v>
      </c>
      <c r="H112" s="19" t="n">
        <f aca="false">F112*1.079436</f>
        <v>8.09577</v>
      </c>
      <c r="I112" s="18" t="n">
        <f aca="false">MAX(1,ROUNDUP(G112/0.096,0))</f>
        <v>1</v>
      </c>
      <c r="J112" s="31" t="n">
        <v>46521</v>
      </c>
      <c r="K112" s="34" t="n">
        <f aca="false">J112-WEEKDAY(J112,2)+1</f>
        <v>46517</v>
      </c>
      <c r="L112" s="31" t="n">
        <f aca="false">J112</f>
        <v>46521</v>
      </c>
      <c r="M112" s="26" t="n">
        <f aca="false">INDEX(LR_Target,MATCH(B112,LR_Lane,0))</f>
        <v>2</v>
      </c>
      <c r="N112" s="31" t="n">
        <f aca="false">WORKDAY.INTL(L112,M112,INDEX(LR_Code,MATCH(B112,LR_Lane,0)),INDEX(DH_Table,0,MATCH(B112&amp;"*",DH_Head,0)))</f>
        <v>46527</v>
      </c>
      <c r="O112" s="35" t="n">
        <f aca="false">IF(W112&lt;&gt;"",W112,IF(U112="Helmond",IF(COUNTIFS(RC_Lane,B112,RC_Band,E112,RC_Transit,"&lt;&gt;")=0,"",SUMIFS(RC_Transit,RC_Lane,B112,RC_Band,E112)),IF(U112="Other","",IF(INDEX(RS_Transit,MATCH(B112,RS_Lane,0))="","",INDEX(RS_Transit,MATCH(B112,RS_Lane,0))))))</f>
        <v>1</v>
      </c>
      <c r="P112" s="36"/>
      <c r="Q112" s="31" t="n">
        <f aca="false">IF(P112&lt;&gt;"",P112,IF(O112="","",WORKDAY.INTL(L112,ROUNDUP(O112,0),INDEX(LR_Code,MATCH(B112,LR_Lane,0)),INDEX(DH_Table,0,MATCH(B112&amp;"*",DH_Head,0)))))</f>
        <v>46526</v>
      </c>
      <c r="R112" s="37" t="str">
        <f aca="false">IF(Q112="","",IF(Q112&lt;=N112,"Yes","No"))</f>
        <v>Yes</v>
      </c>
      <c r="S112" s="26" t="n">
        <f aca="false">IF(Q112="","",IF(Q112&lt;=N112,0,NETWORKDAYS.INTL(N112,Q112,INDEX(LR_Code,MATCH(B112,LR_Lane,0)),INDEX(DH_Table,0,MATCH(B112&amp;"*",DH_Head,0)))-1))</f>
        <v>0</v>
      </c>
      <c r="T112" s="4"/>
      <c r="U112" s="25" t="str">
        <f aca="false">IF(V112&lt;&gt;"",V112,IF(IFERROR(INDEX(RS_Flag,MATCH(B112,RS_Lane,0)),"")="Yes",IF(IFERROR(INDEX(RS_Loc,MATCH(B112,RS_Lane,0)),"")="","Regional stock",IFERROR(INDEX(RS_Loc,MATCH(B112,RS_Lane,0)),"")),"Helmond"))</f>
        <v>Helmond</v>
      </c>
      <c r="V112" s="17"/>
      <c r="W112" s="38"/>
      <c r="X112" s="39"/>
      <c r="Y112" s="40" t="n">
        <f aca="false">IF(X112&lt;&gt;"",X112,IF(U112="Helmond",IF(COUNTIFS(RC_Lane,B112,RC_Band,E112,RC_CostPS,"&gt;0")=0,"",SUMIFS(RC_CostPS,RC_Lane,B112,RC_Band,E112)*(1-SUMIFS(RC_Disc,RC_Lane,B112,RC_Band,E112))),IF(U112="Other","",IF(INDEX(RS_Rate,MATCH(B112,RS_Lane,0))="","",INDEX(RS_Rate,MATCH(B112,RS_Lane,0))))))</f>
        <v>72.485</v>
      </c>
    </row>
    <row r="113" customFormat="false" ht="15" hidden="false" customHeight="false" outlineLevel="0" collapsed="false">
      <c r="A113" s="3" t="s">
        <v>522</v>
      </c>
      <c r="B113" s="25" t="s">
        <v>112</v>
      </c>
      <c r="C113" s="8" t="s">
        <v>113</v>
      </c>
      <c r="D113" s="8" t="s">
        <v>152</v>
      </c>
      <c r="E113" s="8" t="s">
        <v>178</v>
      </c>
      <c r="F113" s="19" t="n">
        <v>7.6</v>
      </c>
      <c r="G113" s="33" t="n">
        <f aca="false">F113*0.006477</f>
        <v>0.0492252</v>
      </c>
      <c r="H113" s="19" t="n">
        <f aca="false">F113*1.079436</f>
        <v>8.2037136</v>
      </c>
      <c r="I113" s="18" t="n">
        <f aca="false">MAX(1,ROUNDUP(G113/0.096,0))</f>
        <v>1</v>
      </c>
      <c r="J113" s="31" t="n">
        <v>46521</v>
      </c>
      <c r="K113" s="34" t="n">
        <f aca="false">J113-WEEKDAY(J113,2)+1</f>
        <v>46517</v>
      </c>
      <c r="L113" s="31" t="n">
        <f aca="false">J113</f>
        <v>46521</v>
      </c>
      <c r="M113" s="26" t="n">
        <f aca="false">INDEX(LR_Target,MATCH(B113,LR_Lane,0))</f>
        <v>2</v>
      </c>
      <c r="N113" s="31" t="n">
        <f aca="false">WORKDAY.INTL(L113,M113,INDEX(LR_Code,MATCH(B113,LR_Lane,0)),INDEX(DH_Table,0,MATCH(B113&amp;"*",DH_Head,0)))</f>
        <v>46527</v>
      </c>
      <c r="O113" s="35" t="n">
        <f aca="false">IF(W113&lt;&gt;"",W113,IF(U113="Helmond",IF(COUNTIFS(RC_Lane,B113,RC_Band,E113,RC_Transit,"&lt;&gt;")=0,"",SUMIFS(RC_Transit,RC_Lane,B113,RC_Band,E113)),IF(U113="Other","",IF(INDEX(RS_Transit,MATCH(B113,RS_Lane,0))="","",INDEX(RS_Transit,MATCH(B113,RS_Lane,0))))))</f>
        <v>1</v>
      </c>
      <c r="P113" s="36"/>
      <c r="Q113" s="31" t="n">
        <f aca="false">IF(P113&lt;&gt;"",P113,IF(O113="","",WORKDAY.INTL(L113,ROUNDUP(O113,0),INDEX(LR_Code,MATCH(B113,LR_Lane,0)),INDEX(DH_Table,0,MATCH(B113&amp;"*",DH_Head,0)))))</f>
        <v>46526</v>
      </c>
      <c r="R113" s="37" t="str">
        <f aca="false">IF(Q113="","",IF(Q113&lt;=N113,"Yes","No"))</f>
        <v>Yes</v>
      </c>
      <c r="S113" s="26" t="n">
        <f aca="false">IF(Q113="","",IF(Q113&lt;=N113,0,NETWORKDAYS.INTL(N113,Q113,INDEX(LR_Code,MATCH(B113,LR_Lane,0)),INDEX(DH_Table,0,MATCH(B113&amp;"*",DH_Head,0)))-1))</f>
        <v>0</v>
      </c>
      <c r="T113" s="4"/>
      <c r="U113" s="25" t="str">
        <f aca="false">IF(V113&lt;&gt;"",V113,IF(IFERROR(INDEX(RS_Flag,MATCH(B113,RS_Lane,0)),"")="Yes",IF(IFERROR(INDEX(RS_Loc,MATCH(B113,RS_Lane,0)),"")="","Regional stock",IFERROR(INDEX(RS_Loc,MATCH(B113,RS_Lane,0)),"")),"Helmond"))</f>
        <v>Helmond</v>
      </c>
      <c r="V113" s="17"/>
      <c r="W113" s="38"/>
      <c r="X113" s="39"/>
      <c r="Y113" s="40" t="n">
        <f aca="false">IF(X113&lt;&gt;"",X113,IF(U113="Helmond",IF(COUNTIFS(RC_Lane,B113,RC_Band,E113,RC_CostPS,"&gt;0")=0,"",SUMIFS(RC_CostPS,RC_Lane,B113,RC_Band,E113)*(1-SUMIFS(RC_Disc,RC_Lane,B113,RC_Band,E113))),IF(U113="Other","",IF(INDEX(RS_Rate,MATCH(B113,RS_Lane,0))="","",INDEX(RS_Rate,MATCH(B113,RS_Lane,0))))))</f>
        <v>72.485</v>
      </c>
    </row>
    <row r="114" customFormat="false" ht="15" hidden="false" customHeight="false" outlineLevel="0" collapsed="false">
      <c r="A114" s="3" t="s">
        <v>523</v>
      </c>
      <c r="B114" s="25" t="s">
        <v>112</v>
      </c>
      <c r="C114" s="8" t="s">
        <v>113</v>
      </c>
      <c r="D114" s="8" t="s">
        <v>152</v>
      </c>
      <c r="E114" s="8" t="s">
        <v>178</v>
      </c>
      <c r="F114" s="19" t="n">
        <v>8.4</v>
      </c>
      <c r="G114" s="33" t="n">
        <f aca="false">F114*0.006477</f>
        <v>0.0544068</v>
      </c>
      <c r="H114" s="19" t="n">
        <f aca="false">F114*1.079436</f>
        <v>9.0672624</v>
      </c>
      <c r="I114" s="18" t="n">
        <f aca="false">MAX(1,ROUNDUP(G114/0.096,0))</f>
        <v>1</v>
      </c>
      <c r="J114" s="31" t="n">
        <v>46521</v>
      </c>
      <c r="K114" s="34" t="n">
        <f aca="false">J114-WEEKDAY(J114,2)+1</f>
        <v>46517</v>
      </c>
      <c r="L114" s="31" t="n">
        <f aca="false">J114</f>
        <v>46521</v>
      </c>
      <c r="M114" s="26" t="n">
        <f aca="false">INDEX(LR_Target,MATCH(B114,LR_Lane,0))</f>
        <v>2</v>
      </c>
      <c r="N114" s="31" t="n">
        <f aca="false">WORKDAY.INTL(L114,M114,INDEX(LR_Code,MATCH(B114,LR_Lane,0)),INDEX(DH_Table,0,MATCH(B114&amp;"*",DH_Head,0)))</f>
        <v>46527</v>
      </c>
      <c r="O114" s="35" t="n">
        <f aca="false">IF(W114&lt;&gt;"",W114,IF(U114="Helmond",IF(COUNTIFS(RC_Lane,B114,RC_Band,E114,RC_Transit,"&lt;&gt;")=0,"",SUMIFS(RC_Transit,RC_Lane,B114,RC_Band,E114)),IF(U114="Other","",IF(INDEX(RS_Transit,MATCH(B114,RS_Lane,0))="","",INDEX(RS_Transit,MATCH(B114,RS_Lane,0))))))</f>
        <v>1</v>
      </c>
      <c r="P114" s="36"/>
      <c r="Q114" s="31" t="n">
        <f aca="false">IF(P114&lt;&gt;"",P114,IF(O114="","",WORKDAY.INTL(L114,ROUNDUP(O114,0),INDEX(LR_Code,MATCH(B114,LR_Lane,0)),INDEX(DH_Table,0,MATCH(B114&amp;"*",DH_Head,0)))))</f>
        <v>46526</v>
      </c>
      <c r="R114" s="37" t="str">
        <f aca="false">IF(Q114="","",IF(Q114&lt;=N114,"Yes","No"))</f>
        <v>Yes</v>
      </c>
      <c r="S114" s="26" t="n">
        <f aca="false">IF(Q114="","",IF(Q114&lt;=N114,0,NETWORKDAYS.INTL(N114,Q114,INDEX(LR_Code,MATCH(B114,LR_Lane,0)),INDEX(DH_Table,0,MATCH(B114&amp;"*",DH_Head,0)))-1))</f>
        <v>0</v>
      </c>
      <c r="T114" s="4"/>
      <c r="U114" s="25" t="str">
        <f aca="false">IF(V114&lt;&gt;"",V114,IF(IFERROR(INDEX(RS_Flag,MATCH(B114,RS_Lane,0)),"")="Yes",IF(IFERROR(INDEX(RS_Loc,MATCH(B114,RS_Lane,0)),"")="","Regional stock",IFERROR(INDEX(RS_Loc,MATCH(B114,RS_Lane,0)),"")),"Helmond"))</f>
        <v>Helmond</v>
      </c>
      <c r="V114" s="17"/>
      <c r="W114" s="38"/>
      <c r="X114" s="39"/>
      <c r="Y114" s="40" t="n">
        <f aca="false">IF(X114&lt;&gt;"",X114,IF(U114="Helmond",IF(COUNTIFS(RC_Lane,B114,RC_Band,E114,RC_CostPS,"&gt;0")=0,"",SUMIFS(RC_CostPS,RC_Lane,B114,RC_Band,E114)*(1-SUMIFS(RC_Disc,RC_Lane,B114,RC_Band,E114))),IF(U114="Other","",IF(INDEX(RS_Rate,MATCH(B114,RS_Lane,0))="","",INDEX(RS_Rate,MATCH(B114,RS_Lane,0))))))</f>
        <v>72.485</v>
      </c>
    </row>
    <row r="115" customFormat="false" ht="15" hidden="false" customHeight="false" outlineLevel="0" collapsed="false">
      <c r="A115" s="3" t="s">
        <v>524</v>
      </c>
      <c r="B115" s="25" t="s">
        <v>119</v>
      </c>
      <c r="C115" s="8" t="s">
        <v>120</v>
      </c>
      <c r="D115" s="8" t="s">
        <v>155</v>
      </c>
      <c r="E115" s="8" t="s">
        <v>178</v>
      </c>
      <c r="F115" s="19" t="n">
        <v>5.5</v>
      </c>
      <c r="G115" s="33" t="n">
        <f aca="false">F115*0.006477</f>
        <v>0.0356235</v>
      </c>
      <c r="H115" s="19" t="n">
        <f aca="false">F115*1.079436</f>
        <v>5.936898</v>
      </c>
      <c r="I115" s="18" t="n">
        <f aca="false">MAX(1,ROUNDUP(G115/0.096,0))</f>
        <v>1</v>
      </c>
      <c r="J115" s="31" t="n">
        <v>46521</v>
      </c>
      <c r="K115" s="34" t="n">
        <f aca="false">J115-WEEKDAY(J115,2)+1</f>
        <v>46517</v>
      </c>
      <c r="L115" s="31" t="n">
        <f aca="false">J115</f>
        <v>46521</v>
      </c>
      <c r="M115" s="26" t="n">
        <f aca="false">INDEX(LR_Target,MATCH(B115,LR_Lane,0))</f>
        <v>3</v>
      </c>
      <c r="N115" s="31" t="n">
        <f aca="false">WORKDAY.INTL(L115,M115,INDEX(LR_Code,MATCH(B115,LR_Lane,0)),INDEX(DH_Table,0,MATCH(B115&amp;"*",DH_Head,0)))</f>
        <v>46531</v>
      </c>
      <c r="O115" s="35" t="n">
        <f aca="false">IF(W115&lt;&gt;"",W115,IF(U115="Helmond",IF(COUNTIFS(RC_Lane,B115,RC_Band,E115,RC_Transit,"&lt;&gt;")=0,"",SUMIFS(RC_Transit,RC_Lane,B115,RC_Band,E115)),IF(U115="Other","",IF(INDEX(RS_Transit,MATCH(B115,RS_Lane,0))="","",INDEX(RS_Transit,MATCH(B115,RS_Lane,0))))))</f>
        <v>1</v>
      </c>
      <c r="P115" s="36"/>
      <c r="Q115" s="31" t="n">
        <f aca="false">IF(P115&lt;&gt;"",P115,IF(O115="","",WORKDAY.INTL(L115,ROUNDUP(O115,0),INDEX(LR_Code,MATCH(B115,LR_Lane,0)),INDEX(DH_Table,0,MATCH(B115&amp;"*",DH_Head,0)))))</f>
        <v>46527</v>
      </c>
      <c r="R115" s="37" t="str">
        <f aca="false">IF(Q115="","",IF(Q115&lt;=N115,"Yes","No"))</f>
        <v>Yes</v>
      </c>
      <c r="S115" s="26" t="n">
        <f aca="false">IF(Q115="","",IF(Q115&lt;=N115,0,NETWORKDAYS.INTL(N115,Q115,INDEX(LR_Code,MATCH(B115,LR_Lane,0)),INDEX(DH_Table,0,MATCH(B115&amp;"*",DH_Head,0)))-1))</f>
        <v>0</v>
      </c>
      <c r="T115" s="4"/>
      <c r="U115" s="25" t="str">
        <f aca="false">IF(V115&lt;&gt;"",V115,IF(IFERROR(INDEX(RS_Flag,MATCH(B115,RS_Lane,0)),"")="Yes",IF(IFERROR(INDEX(RS_Loc,MATCH(B115,RS_Lane,0)),"")="","Regional stock",IFERROR(INDEX(RS_Loc,MATCH(B115,RS_Lane,0)),"")),"Helmond"))</f>
        <v>Helmond</v>
      </c>
      <c r="V115" s="17"/>
      <c r="W115" s="38"/>
      <c r="X115" s="39"/>
      <c r="Y115" s="40" t="n">
        <f aca="false">IF(X115&lt;&gt;"",X115,IF(U115="Helmond",IF(COUNTIFS(RC_Lane,B115,RC_Band,E115,RC_CostPS,"&gt;0")=0,"",SUMIFS(RC_CostPS,RC_Lane,B115,RC_Band,E115)*(1-SUMIFS(RC_Disc,RC_Lane,B115,RC_Band,E115))),IF(U115="Other","",IF(INDEX(RS_Rate,MATCH(B115,RS_Lane,0))="","",INDEX(RS_Rate,MATCH(B115,RS_Lane,0))))))</f>
        <v>72.485</v>
      </c>
    </row>
    <row r="116" customFormat="false" ht="15" hidden="false" customHeight="false" outlineLevel="0" collapsed="false">
      <c r="A116" s="3" t="s">
        <v>525</v>
      </c>
      <c r="B116" s="25" t="s">
        <v>108</v>
      </c>
      <c r="C116" s="8" t="s">
        <v>109</v>
      </c>
      <c r="D116" s="8" t="s">
        <v>272</v>
      </c>
      <c r="E116" s="8" t="s">
        <v>178</v>
      </c>
      <c r="F116" s="19" t="n">
        <v>5.9</v>
      </c>
      <c r="G116" s="33" t="n">
        <f aca="false">F116*0.006477</f>
        <v>0.0382143</v>
      </c>
      <c r="H116" s="19" t="n">
        <f aca="false">F116*1.079436</f>
        <v>6.3686724</v>
      </c>
      <c r="I116" s="18" t="n">
        <f aca="false">MAX(1,ROUNDUP(G116/0.096,0))</f>
        <v>1</v>
      </c>
      <c r="J116" s="31" t="n">
        <v>46525</v>
      </c>
      <c r="K116" s="34" t="n">
        <f aca="false">J116-WEEKDAY(J116,2)+1</f>
        <v>46524</v>
      </c>
      <c r="L116" s="31" t="n">
        <f aca="false">J116</f>
        <v>46525</v>
      </c>
      <c r="M116" s="26" t="n">
        <f aca="false">INDEX(LR_Target,MATCH(B116,LR_Lane,0))</f>
        <v>2</v>
      </c>
      <c r="N116" s="31" t="n">
        <f aca="false">WORKDAY.INTL(L116,M116,INDEX(LR_Code,MATCH(B116,LR_Lane,0)),INDEX(DH_Table,0,MATCH(B116&amp;"*",DH_Head,0)))</f>
        <v>46527</v>
      </c>
      <c r="O116" s="35" t="n">
        <f aca="false">IF(W116&lt;&gt;"",W116,IF(U116="Helmond",IF(COUNTIFS(RC_Lane,B116,RC_Band,E116,RC_Transit,"&lt;&gt;")=0,"",SUMIFS(RC_Transit,RC_Lane,B116,RC_Band,E116)),IF(U116="Other","",IF(INDEX(RS_Transit,MATCH(B116,RS_Lane,0))="","",INDEX(RS_Transit,MATCH(B116,RS_Lane,0))))))</f>
        <v>1</v>
      </c>
      <c r="P116" s="36"/>
      <c r="Q116" s="31" t="n">
        <f aca="false">IF(P116&lt;&gt;"",P116,IF(O116="","",WORKDAY.INTL(L116,ROUNDUP(O116,0),INDEX(LR_Code,MATCH(B116,LR_Lane,0)),INDEX(DH_Table,0,MATCH(B116&amp;"*",DH_Head,0)))))</f>
        <v>46526</v>
      </c>
      <c r="R116" s="37" t="str">
        <f aca="false">IF(Q116="","",IF(Q116&lt;=N116,"Yes","No"))</f>
        <v>Yes</v>
      </c>
      <c r="S116" s="26" t="n">
        <f aca="false">IF(Q116="","",IF(Q116&lt;=N116,0,NETWORKDAYS.INTL(N116,Q116,INDEX(LR_Code,MATCH(B116,LR_Lane,0)),INDEX(DH_Table,0,MATCH(B116&amp;"*",DH_Head,0)))-1))</f>
        <v>0</v>
      </c>
      <c r="T116" s="4"/>
      <c r="U116" s="25" t="str">
        <f aca="false">IF(V116&lt;&gt;"",V116,IF(IFERROR(INDEX(RS_Flag,MATCH(B116,RS_Lane,0)),"")="Yes",IF(IFERROR(INDEX(RS_Loc,MATCH(B116,RS_Lane,0)),"")="","Regional stock",IFERROR(INDEX(RS_Loc,MATCH(B116,RS_Lane,0)),"")),"Helmond"))</f>
        <v>Helmond</v>
      </c>
      <c r="V116" s="17"/>
      <c r="W116" s="38"/>
      <c r="X116" s="39"/>
      <c r="Y116" s="40" t="n">
        <f aca="false">IF(X116&lt;&gt;"",X116,IF(U116="Helmond",IF(COUNTIFS(RC_Lane,B116,RC_Band,E116,RC_CostPS,"&gt;0")=0,"",SUMIFS(RC_CostPS,RC_Lane,B116,RC_Band,E116)*(1-SUMIFS(RC_Disc,RC_Lane,B116,RC_Band,E116))),IF(U116="Other","",IF(INDEX(RS_Rate,MATCH(B116,RS_Lane,0))="","",INDEX(RS_Rate,MATCH(B116,RS_Lane,0))))))</f>
        <v>72.485</v>
      </c>
    </row>
    <row r="117" customFormat="false" ht="15" hidden="false" customHeight="false" outlineLevel="0" collapsed="false">
      <c r="A117" s="3" t="s">
        <v>526</v>
      </c>
      <c r="B117" s="25" t="s">
        <v>117</v>
      </c>
      <c r="C117" s="8" t="s">
        <v>118</v>
      </c>
      <c r="D117" s="8" t="s">
        <v>154</v>
      </c>
      <c r="E117" s="8" t="s">
        <v>180</v>
      </c>
      <c r="F117" s="19" t="n">
        <v>48.3</v>
      </c>
      <c r="G117" s="33" t="n">
        <f aca="false">F117*0.006477</f>
        <v>0.3128391</v>
      </c>
      <c r="H117" s="19" t="n">
        <f aca="false">F117*1.079436</f>
        <v>52.1367588</v>
      </c>
      <c r="I117" s="18" t="n">
        <f aca="false">MAX(1,ROUNDUP(G117/0.096,0))</f>
        <v>4</v>
      </c>
      <c r="J117" s="31" t="n">
        <v>46525</v>
      </c>
      <c r="K117" s="34" t="n">
        <f aca="false">J117-WEEKDAY(J117,2)+1</f>
        <v>46524</v>
      </c>
      <c r="L117" s="31" t="n">
        <f aca="false">J117</f>
        <v>46525</v>
      </c>
      <c r="M117" s="26" t="n">
        <f aca="false">INDEX(LR_Target,MATCH(B117,LR_Lane,0))</f>
        <v>2</v>
      </c>
      <c r="N117" s="31" t="n">
        <f aca="false">WORKDAY.INTL(L117,M117,INDEX(LR_Code,MATCH(B117,LR_Lane,0)),INDEX(DH_Table,0,MATCH(B117&amp;"*",DH_Head,0)))</f>
        <v>46527</v>
      </c>
      <c r="O117" s="35" t="n">
        <f aca="false">IF(W117&lt;&gt;"",W117,IF(U117="Helmond",IF(COUNTIFS(RC_Lane,B117,RC_Band,E117,RC_Transit,"&lt;&gt;")=0,"",SUMIFS(RC_Transit,RC_Lane,B117,RC_Band,E117)),IF(U117="Other","",IF(INDEX(RS_Transit,MATCH(B117,RS_Lane,0))="","",INDEX(RS_Transit,MATCH(B117,RS_Lane,0))))))</f>
        <v>2</v>
      </c>
      <c r="P117" s="36"/>
      <c r="Q117" s="31" t="n">
        <f aca="false">IF(P117&lt;&gt;"",P117,IF(O117="","",WORKDAY.INTL(L117,ROUNDUP(O117,0),INDEX(LR_Code,MATCH(B117,LR_Lane,0)),INDEX(DH_Table,0,MATCH(B117&amp;"*",DH_Head,0)))))</f>
        <v>46527</v>
      </c>
      <c r="R117" s="37" t="str">
        <f aca="false">IF(Q117="","",IF(Q117&lt;=N117,"Yes","No"))</f>
        <v>Yes</v>
      </c>
      <c r="S117" s="26" t="n">
        <f aca="false">IF(Q117="","",IF(Q117&lt;=N117,0,NETWORKDAYS.INTL(N117,Q117,INDEX(LR_Code,MATCH(B117,LR_Lane,0)),INDEX(DH_Table,0,MATCH(B117&amp;"*",DH_Head,0)))-1))</f>
        <v>0</v>
      </c>
      <c r="T117" s="4"/>
      <c r="U117" s="25" t="str">
        <f aca="false">IF(V117&lt;&gt;"",V117,IF(IFERROR(INDEX(RS_Flag,MATCH(B117,RS_Lane,0)),"")="Yes",IF(IFERROR(INDEX(RS_Loc,MATCH(B117,RS_Lane,0)),"")="","Regional stock",IFERROR(INDEX(RS_Loc,MATCH(B117,RS_Lane,0)),"")),"Helmond"))</f>
        <v>Helmond</v>
      </c>
      <c r="V117" s="17"/>
      <c r="W117" s="38"/>
      <c r="X117" s="39"/>
      <c r="Y117" s="40" t="n">
        <f aca="false">IF(X117&lt;&gt;"",X117,IF(U117="Helmond",IF(COUNTIFS(RC_Lane,B117,RC_Band,E117,RC_CostPS,"&gt;0")=0,"",SUMIFS(RC_CostPS,RC_Lane,B117,RC_Band,E117)*(1-SUMIFS(RC_Disc,RC_Lane,B117,RC_Band,E117))),IF(U117="Other","",IF(INDEX(RS_Rate,MATCH(B117,RS_Lane,0))="","",INDEX(RS_Rate,MATCH(B117,RS_Lane,0))))))</f>
        <v>154.40768</v>
      </c>
    </row>
    <row r="118" customFormat="false" ht="15" hidden="false" customHeight="false" outlineLevel="0" collapsed="false">
      <c r="A118" s="3" t="s">
        <v>527</v>
      </c>
      <c r="B118" s="25" t="s">
        <v>121</v>
      </c>
      <c r="C118" s="8" t="s">
        <v>122</v>
      </c>
      <c r="D118" s="8" t="s">
        <v>278</v>
      </c>
      <c r="E118" s="8" t="s">
        <v>180</v>
      </c>
      <c r="F118" s="19" t="n">
        <v>59.8</v>
      </c>
      <c r="G118" s="33" t="n">
        <f aca="false">F118*0.006477</f>
        <v>0.3873246</v>
      </c>
      <c r="H118" s="19" t="n">
        <f aca="false">F118*1.079436</f>
        <v>64.5502728</v>
      </c>
      <c r="I118" s="18" t="n">
        <f aca="false">MAX(1,ROUNDUP(G118/0.096,0))</f>
        <v>5</v>
      </c>
      <c r="J118" s="31" t="n">
        <v>46525</v>
      </c>
      <c r="K118" s="34" t="n">
        <f aca="false">J118-WEEKDAY(J118,2)+1</f>
        <v>46524</v>
      </c>
      <c r="L118" s="31" t="n">
        <f aca="false">J118</f>
        <v>46525</v>
      </c>
      <c r="M118" s="26" t="n">
        <f aca="false">INDEX(LR_Target,MATCH(B118,LR_Lane,0))</f>
        <v>3</v>
      </c>
      <c r="N118" s="31" t="n">
        <f aca="false">WORKDAY.INTL(L118,M118,INDEX(LR_Code,MATCH(B118,LR_Lane,0)),INDEX(DH_Table,0,MATCH(B118&amp;"*",DH_Head,0)))</f>
        <v>46528</v>
      </c>
      <c r="O118" s="35" t="n">
        <f aca="false">IF(W118&lt;&gt;"",W118,IF(U118="Helmond",IF(COUNTIFS(RC_Lane,B118,RC_Band,E118,RC_Transit,"&lt;&gt;")=0,"",SUMIFS(RC_Transit,RC_Lane,B118,RC_Band,E118)),IF(U118="Other","",IF(INDEX(RS_Transit,MATCH(B118,RS_Lane,0))="","",INDEX(RS_Transit,MATCH(B118,RS_Lane,0))))))</f>
        <v>2</v>
      </c>
      <c r="P118" s="36"/>
      <c r="Q118" s="31" t="n">
        <f aca="false">IF(P118&lt;&gt;"",P118,IF(O118="","",WORKDAY.INTL(L118,ROUNDUP(O118,0),INDEX(LR_Code,MATCH(B118,LR_Lane,0)),INDEX(DH_Table,0,MATCH(B118&amp;"*",DH_Head,0)))))</f>
        <v>46527</v>
      </c>
      <c r="R118" s="37" t="str">
        <f aca="false">IF(Q118="","",IF(Q118&lt;=N118,"Yes","No"))</f>
        <v>Yes</v>
      </c>
      <c r="S118" s="26" t="n">
        <f aca="false">IF(Q118="","",IF(Q118&lt;=N118,0,NETWORKDAYS.INTL(N118,Q118,INDEX(LR_Code,MATCH(B118,LR_Lane,0)),INDEX(DH_Table,0,MATCH(B118&amp;"*",DH_Head,0)))-1))</f>
        <v>0</v>
      </c>
      <c r="T118" s="4"/>
      <c r="U118" s="25" t="str">
        <f aca="false">IF(V118&lt;&gt;"",V118,IF(IFERROR(INDEX(RS_Flag,MATCH(B118,RS_Lane,0)),"")="Yes",IF(IFERROR(INDEX(RS_Loc,MATCH(B118,RS_Lane,0)),"")="","Regional stock",IFERROR(INDEX(RS_Loc,MATCH(B118,RS_Lane,0)),"")),"Helmond"))</f>
        <v>Helmond</v>
      </c>
      <c r="V118" s="17"/>
      <c r="W118" s="38"/>
      <c r="X118" s="39"/>
      <c r="Y118" s="40" t="n">
        <f aca="false">IF(X118&lt;&gt;"",X118,IF(U118="Helmond",IF(COUNTIFS(RC_Lane,B118,RC_Band,E118,RC_CostPS,"&gt;0")=0,"",SUMIFS(RC_CostPS,RC_Lane,B118,RC_Band,E118)*(1-SUMIFS(RC_Disc,RC_Lane,B118,RC_Band,E118))),IF(U118="Other","",IF(INDEX(RS_Rate,MATCH(B118,RS_Lane,0))="","",INDEX(RS_Rate,MATCH(B118,RS_Lane,0))))))</f>
        <v>277.44864</v>
      </c>
    </row>
    <row r="119" customFormat="false" ht="15" hidden="false" customHeight="false" outlineLevel="0" collapsed="false">
      <c r="A119" s="3" t="s">
        <v>528</v>
      </c>
      <c r="B119" s="25" t="s">
        <v>108</v>
      </c>
      <c r="C119" s="8" t="s">
        <v>109</v>
      </c>
      <c r="D119" s="8" t="s">
        <v>272</v>
      </c>
      <c r="E119" s="8" t="s">
        <v>178</v>
      </c>
      <c r="F119" s="19" t="n">
        <v>5.3</v>
      </c>
      <c r="G119" s="33" t="n">
        <f aca="false">F119*0.006477</f>
        <v>0.0343281</v>
      </c>
      <c r="H119" s="19" t="n">
        <f aca="false">F119*1.079436</f>
        <v>5.7210108</v>
      </c>
      <c r="I119" s="18" t="n">
        <f aca="false">MAX(1,ROUNDUP(G119/0.096,0))</f>
        <v>1</v>
      </c>
      <c r="J119" s="31" t="n">
        <v>46527</v>
      </c>
      <c r="K119" s="34" t="n">
        <f aca="false">J119-WEEKDAY(J119,2)+1</f>
        <v>46524</v>
      </c>
      <c r="L119" s="31" t="n">
        <f aca="false">J119</f>
        <v>46527</v>
      </c>
      <c r="M119" s="26" t="n">
        <f aca="false">INDEX(LR_Target,MATCH(B119,LR_Lane,0))</f>
        <v>2</v>
      </c>
      <c r="N119" s="31" t="n">
        <f aca="false">WORKDAY.INTL(L119,M119,INDEX(LR_Code,MATCH(B119,LR_Lane,0)),INDEX(DH_Table,0,MATCH(B119&amp;"*",DH_Head,0)))</f>
        <v>46531</v>
      </c>
      <c r="O119" s="35" t="n">
        <f aca="false">IF(W119&lt;&gt;"",W119,IF(U119="Helmond",IF(COUNTIFS(RC_Lane,B119,RC_Band,E119,RC_Transit,"&lt;&gt;")=0,"",SUMIFS(RC_Transit,RC_Lane,B119,RC_Band,E119)),IF(U119="Other","",IF(INDEX(RS_Transit,MATCH(B119,RS_Lane,0))="","",INDEX(RS_Transit,MATCH(B119,RS_Lane,0))))))</f>
        <v>1</v>
      </c>
      <c r="P119" s="36"/>
      <c r="Q119" s="31" t="n">
        <f aca="false">IF(P119&lt;&gt;"",P119,IF(O119="","",WORKDAY.INTL(L119,ROUNDUP(O119,0),INDEX(LR_Code,MATCH(B119,LR_Lane,0)),INDEX(DH_Table,0,MATCH(B119&amp;"*",DH_Head,0)))))</f>
        <v>46530</v>
      </c>
      <c r="R119" s="37" t="str">
        <f aca="false">IF(Q119="","",IF(Q119&lt;=N119,"Yes","No"))</f>
        <v>Yes</v>
      </c>
      <c r="S119" s="26" t="n">
        <f aca="false">IF(Q119="","",IF(Q119&lt;=N119,0,NETWORKDAYS.INTL(N119,Q119,INDEX(LR_Code,MATCH(B119,LR_Lane,0)),INDEX(DH_Table,0,MATCH(B119&amp;"*",DH_Head,0)))-1))</f>
        <v>0</v>
      </c>
      <c r="T119" s="4"/>
      <c r="U119" s="25" t="str">
        <f aca="false">IF(V119&lt;&gt;"",V119,IF(IFERROR(INDEX(RS_Flag,MATCH(B119,RS_Lane,0)),"")="Yes",IF(IFERROR(INDEX(RS_Loc,MATCH(B119,RS_Lane,0)),"")="","Regional stock",IFERROR(INDEX(RS_Loc,MATCH(B119,RS_Lane,0)),"")),"Helmond"))</f>
        <v>Helmond</v>
      </c>
      <c r="V119" s="17"/>
      <c r="W119" s="38"/>
      <c r="X119" s="39"/>
      <c r="Y119" s="40" t="n">
        <f aca="false">IF(X119&lt;&gt;"",X119,IF(U119="Helmond",IF(COUNTIFS(RC_Lane,B119,RC_Band,E119,RC_CostPS,"&gt;0")=0,"",SUMIFS(RC_CostPS,RC_Lane,B119,RC_Band,E119)*(1-SUMIFS(RC_Disc,RC_Lane,B119,RC_Band,E119))),IF(U119="Other","",IF(INDEX(RS_Rate,MATCH(B119,RS_Lane,0))="","",INDEX(RS_Rate,MATCH(B119,RS_Lane,0))))))</f>
        <v>72.485</v>
      </c>
    </row>
    <row r="120" customFormat="false" ht="15" hidden="false" customHeight="false" outlineLevel="0" collapsed="false">
      <c r="A120" s="3" t="s">
        <v>529</v>
      </c>
      <c r="B120" s="25" t="s">
        <v>112</v>
      </c>
      <c r="C120" s="8" t="s">
        <v>113</v>
      </c>
      <c r="D120" s="8" t="s">
        <v>152</v>
      </c>
      <c r="E120" s="8" t="s">
        <v>178</v>
      </c>
      <c r="F120" s="19" t="n">
        <v>3.5</v>
      </c>
      <c r="G120" s="33" t="n">
        <f aca="false">F120*0.006477</f>
        <v>0.0226695</v>
      </c>
      <c r="H120" s="19" t="n">
        <f aca="false">F120*1.079436</f>
        <v>3.778026</v>
      </c>
      <c r="I120" s="18" t="n">
        <f aca="false">MAX(1,ROUNDUP(G120/0.096,0))</f>
        <v>1</v>
      </c>
      <c r="J120" s="31" t="n">
        <v>46528</v>
      </c>
      <c r="K120" s="34" t="n">
        <f aca="false">J120-WEEKDAY(J120,2)+1</f>
        <v>46524</v>
      </c>
      <c r="L120" s="31" t="n">
        <f aca="false">J120</f>
        <v>46528</v>
      </c>
      <c r="M120" s="26" t="n">
        <f aca="false">INDEX(LR_Target,MATCH(B120,LR_Lane,0))</f>
        <v>2</v>
      </c>
      <c r="N120" s="31" t="n">
        <f aca="false">WORKDAY.INTL(L120,M120,INDEX(LR_Code,MATCH(B120,LR_Lane,0)),INDEX(DH_Table,0,MATCH(B120&amp;"*",DH_Head,0)))</f>
        <v>46532</v>
      </c>
      <c r="O120" s="35" t="n">
        <f aca="false">IF(W120&lt;&gt;"",W120,IF(U120="Helmond",IF(COUNTIFS(RC_Lane,B120,RC_Band,E120,RC_Transit,"&lt;&gt;")=0,"",SUMIFS(RC_Transit,RC_Lane,B120,RC_Band,E120)),IF(U120="Other","",IF(INDEX(RS_Transit,MATCH(B120,RS_Lane,0))="","",INDEX(RS_Transit,MATCH(B120,RS_Lane,0))))))</f>
        <v>1</v>
      </c>
      <c r="P120" s="36"/>
      <c r="Q120" s="31" t="n">
        <f aca="false">IF(P120&lt;&gt;"",P120,IF(O120="","",WORKDAY.INTL(L120,ROUNDUP(O120,0),INDEX(LR_Code,MATCH(B120,LR_Lane,0)),INDEX(DH_Table,0,MATCH(B120&amp;"*",DH_Head,0)))))</f>
        <v>46531</v>
      </c>
      <c r="R120" s="37" t="str">
        <f aca="false">IF(Q120="","",IF(Q120&lt;=N120,"Yes","No"))</f>
        <v>Yes</v>
      </c>
      <c r="S120" s="26" t="n">
        <f aca="false">IF(Q120="","",IF(Q120&lt;=N120,0,NETWORKDAYS.INTL(N120,Q120,INDEX(LR_Code,MATCH(B120,LR_Lane,0)),INDEX(DH_Table,0,MATCH(B120&amp;"*",DH_Head,0)))-1))</f>
        <v>0</v>
      </c>
      <c r="T120" s="4"/>
      <c r="U120" s="25" t="str">
        <f aca="false">IF(V120&lt;&gt;"",V120,IF(IFERROR(INDEX(RS_Flag,MATCH(B120,RS_Lane,0)),"")="Yes",IF(IFERROR(INDEX(RS_Loc,MATCH(B120,RS_Lane,0)),"")="","Regional stock",IFERROR(INDEX(RS_Loc,MATCH(B120,RS_Lane,0)),"")),"Helmond"))</f>
        <v>Helmond</v>
      </c>
      <c r="V120" s="17"/>
      <c r="W120" s="38"/>
      <c r="X120" s="39"/>
      <c r="Y120" s="40" t="n">
        <f aca="false">IF(X120&lt;&gt;"",X120,IF(U120="Helmond",IF(COUNTIFS(RC_Lane,B120,RC_Band,E120,RC_CostPS,"&gt;0")=0,"",SUMIFS(RC_CostPS,RC_Lane,B120,RC_Band,E120)*(1-SUMIFS(RC_Disc,RC_Lane,B120,RC_Band,E120))),IF(U120="Other","",IF(INDEX(RS_Rate,MATCH(B120,RS_Lane,0))="","",INDEX(RS_Rate,MATCH(B120,RS_Lane,0))))))</f>
        <v>72.485</v>
      </c>
    </row>
    <row r="121" customFormat="false" ht="15" hidden="false" customHeight="false" outlineLevel="0" collapsed="false">
      <c r="A121" s="3" t="s">
        <v>530</v>
      </c>
      <c r="B121" s="25" t="s">
        <v>117</v>
      </c>
      <c r="C121" s="8" t="s">
        <v>118</v>
      </c>
      <c r="D121" s="8" t="s">
        <v>154</v>
      </c>
      <c r="E121" s="8" t="s">
        <v>180</v>
      </c>
      <c r="F121" s="19" t="n">
        <v>55.3</v>
      </c>
      <c r="G121" s="33" t="n">
        <f aca="false">F121*0.006477</f>
        <v>0.3581781</v>
      </c>
      <c r="H121" s="19" t="n">
        <f aca="false">F121*1.079436</f>
        <v>59.6928108</v>
      </c>
      <c r="I121" s="18" t="n">
        <f aca="false">MAX(1,ROUNDUP(G121/0.096,0))</f>
        <v>4</v>
      </c>
      <c r="J121" s="31" t="n">
        <v>46528</v>
      </c>
      <c r="K121" s="34" t="n">
        <f aca="false">J121-WEEKDAY(J121,2)+1</f>
        <v>46524</v>
      </c>
      <c r="L121" s="31" t="n">
        <f aca="false">J121</f>
        <v>46528</v>
      </c>
      <c r="M121" s="26" t="n">
        <f aca="false">INDEX(LR_Target,MATCH(B121,LR_Lane,0))</f>
        <v>2</v>
      </c>
      <c r="N121" s="31" t="n">
        <f aca="false">WORKDAY.INTL(L121,M121,INDEX(LR_Code,MATCH(B121,LR_Lane,0)),INDEX(DH_Table,0,MATCH(B121&amp;"*",DH_Head,0)))</f>
        <v>46531</v>
      </c>
      <c r="O121" s="35" t="n">
        <f aca="false">IF(W121&lt;&gt;"",W121,IF(U121="Helmond",IF(COUNTIFS(RC_Lane,B121,RC_Band,E121,RC_Transit,"&lt;&gt;")=0,"",SUMIFS(RC_Transit,RC_Lane,B121,RC_Band,E121)),IF(U121="Other","",IF(INDEX(RS_Transit,MATCH(B121,RS_Lane,0))="","",INDEX(RS_Transit,MATCH(B121,RS_Lane,0))))))</f>
        <v>2</v>
      </c>
      <c r="P121" s="36"/>
      <c r="Q121" s="31" t="n">
        <f aca="false">IF(P121&lt;&gt;"",P121,IF(O121="","",WORKDAY.INTL(L121,ROUNDUP(O121,0),INDEX(LR_Code,MATCH(B121,LR_Lane,0)),INDEX(DH_Table,0,MATCH(B121&amp;"*",DH_Head,0)))))</f>
        <v>46531</v>
      </c>
      <c r="R121" s="37" t="str">
        <f aca="false">IF(Q121="","",IF(Q121&lt;=N121,"Yes","No"))</f>
        <v>Yes</v>
      </c>
      <c r="S121" s="26" t="n">
        <f aca="false">IF(Q121="","",IF(Q121&lt;=N121,0,NETWORKDAYS.INTL(N121,Q121,INDEX(LR_Code,MATCH(B121,LR_Lane,0)),INDEX(DH_Table,0,MATCH(B121&amp;"*",DH_Head,0)))-1))</f>
        <v>0</v>
      </c>
      <c r="T121" s="4"/>
      <c r="U121" s="25" t="str">
        <f aca="false">IF(V121&lt;&gt;"",V121,IF(IFERROR(INDEX(RS_Flag,MATCH(B121,RS_Lane,0)),"")="Yes",IF(IFERROR(INDEX(RS_Loc,MATCH(B121,RS_Lane,0)),"")="","Regional stock",IFERROR(INDEX(RS_Loc,MATCH(B121,RS_Lane,0)),"")),"Helmond"))</f>
        <v>Helmond</v>
      </c>
      <c r="V121" s="17"/>
      <c r="W121" s="38"/>
      <c r="X121" s="39"/>
      <c r="Y121" s="40" t="n">
        <f aca="false">IF(X121&lt;&gt;"",X121,IF(U121="Helmond",IF(COUNTIFS(RC_Lane,B121,RC_Band,E121,RC_CostPS,"&gt;0")=0,"",SUMIFS(RC_CostPS,RC_Lane,B121,RC_Band,E121)*(1-SUMIFS(RC_Disc,RC_Lane,B121,RC_Band,E121))),IF(U121="Other","",IF(INDEX(RS_Rate,MATCH(B121,RS_Lane,0))="","",INDEX(RS_Rate,MATCH(B121,RS_Lane,0))))))</f>
        <v>154.40768</v>
      </c>
    </row>
    <row r="122" customFormat="false" ht="15" hidden="false" customHeight="false" outlineLevel="0" collapsed="false">
      <c r="A122" s="3" t="s">
        <v>531</v>
      </c>
      <c r="B122" s="25" t="s">
        <v>108</v>
      </c>
      <c r="C122" s="8" t="s">
        <v>109</v>
      </c>
      <c r="D122" s="8" t="s">
        <v>270</v>
      </c>
      <c r="E122" s="8" t="s">
        <v>178</v>
      </c>
      <c r="F122" s="19" t="n">
        <v>12.5</v>
      </c>
      <c r="G122" s="33" t="n">
        <f aca="false">F122*0.006477</f>
        <v>0.0809625</v>
      </c>
      <c r="H122" s="19" t="n">
        <f aca="false">F122*1.079436</f>
        <v>13.49295</v>
      </c>
      <c r="I122" s="18" t="n">
        <f aca="false">MAX(1,ROUNDUP(G122/0.096,0))</f>
        <v>1</v>
      </c>
      <c r="J122" s="31" t="n">
        <v>46531</v>
      </c>
      <c r="K122" s="34" t="n">
        <f aca="false">J122-WEEKDAY(J122,2)+1</f>
        <v>46531</v>
      </c>
      <c r="L122" s="31" t="n">
        <f aca="false">J122</f>
        <v>46531</v>
      </c>
      <c r="M122" s="26" t="n">
        <f aca="false">INDEX(LR_Target,MATCH(B122,LR_Lane,0))</f>
        <v>2</v>
      </c>
      <c r="N122" s="31" t="n">
        <f aca="false">WORKDAY.INTL(L122,M122,INDEX(LR_Code,MATCH(B122,LR_Lane,0)),INDEX(DH_Table,0,MATCH(B122&amp;"*",DH_Head,0)))</f>
        <v>46533</v>
      </c>
      <c r="O122" s="35" t="n">
        <f aca="false">IF(W122&lt;&gt;"",W122,IF(U122="Helmond",IF(COUNTIFS(RC_Lane,B122,RC_Band,E122,RC_Transit,"&lt;&gt;")=0,"",SUMIFS(RC_Transit,RC_Lane,B122,RC_Band,E122)),IF(U122="Other","",IF(INDEX(RS_Transit,MATCH(B122,RS_Lane,0))="","",INDEX(RS_Transit,MATCH(B122,RS_Lane,0))))))</f>
        <v>1</v>
      </c>
      <c r="P122" s="36"/>
      <c r="Q122" s="31" t="n">
        <f aca="false">IF(P122&lt;&gt;"",P122,IF(O122="","",WORKDAY.INTL(L122,ROUNDUP(O122,0),INDEX(LR_Code,MATCH(B122,LR_Lane,0)),INDEX(DH_Table,0,MATCH(B122&amp;"*",DH_Head,0)))))</f>
        <v>46532</v>
      </c>
      <c r="R122" s="37" t="str">
        <f aca="false">IF(Q122="","",IF(Q122&lt;=N122,"Yes","No"))</f>
        <v>Yes</v>
      </c>
      <c r="S122" s="26" t="n">
        <f aca="false">IF(Q122="","",IF(Q122&lt;=N122,0,NETWORKDAYS.INTL(N122,Q122,INDEX(LR_Code,MATCH(B122,LR_Lane,0)),INDEX(DH_Table,0,MATCH(B122&amp;"*",DH_Head,0)))-1))</f>
        <v>0</v>
      </c>
      <c r="T122" s="4"/>
      <c r="U122" s="25" t="str">
        <f aca="false">IF(V122&lt;&gt;"",V122,IF(IFERROR(INDEX(RS_Flag,MATCH(B122,RS_Lane,0)),"")="Yes",IF(IFERROR(INDEX(RS_Loc,MATCH(B122,RS_Lane,0)),"")="","Regional stock",IFERROR(INDEX(RS_Loc,MATCH(B122,RS_Lane,0)),"")),"Helmond"))</f>
        <v>Helmond</v>
      </c>
      <c r="V122" s="17"/>
      <c r="W122" s="38"/>
      <c r="X122" s="39"/>
      <c r="Y122" s="40" t="n">
        <f aca="false">IF(X122&lt;&gt;"",X122,IF(U122="Helmond",IF(COUNTIFS(RC_Lane,B122,RC_Band,E122,RC_CostPS,"&gt;0")=0,"",SUMIFS(RC_CostPS,RC_Lane,B122,RC_Band,E122)*(1-SUMIFS(RC_Disc,RC_Lane,B122,RC_Band,E122))),IF(U122="Other","",IF(INDEX(RS_Rate,MATCH(B122,RS_Lane,0))="","",INDEX(RS_Rate,MATCH(B122,RS_Lane,0))))))</f>
        <v>72.485</v>
      </c>
    </row>
    <row r="123" customFormat="false" ht="15" hidden="false" customHeight="false" outlineLevel="0" collapsed="false">
      <c r="A123" s="3" t="s">
        <v>532</v>
      </c>
      <c r="B123" s="25" t="s">
        <v>115</v>
      </c>
      <c r="C123" s="8" t="s">
        <v>116</v>
      </c>
      <c r="D123" s="8" t="s">
        <v>153</v>
      </c>
      <c r="E123" s="8" t="s">
        <v>182</v>
      </c>
      <c r="F123" s="19" t="n">
        <v>420.3</v>
      </c>
      <c r="G123" s="33" t="n">
        <f aca="false">F123*0.006477</f>
        <v>2.7222831</v>
      </c>
      <c r="H123" s="19" t="n">
        <f aca="false">F123*1.079436</f>
        <v>453.6869508</v>
      </c>
      <c r="I123" s="18" t="n">
        <f aca="false">MAX(1,ROUNDUP(G123/0.096,0))</f>
        <v>29</v>
      </c>
      <c r="J123" s="31" t="n">
        <v>46532</v>
      </c>
      <c r="K123" s="34" t="n">
        <f aca="false">J123-WEEKDAY(J123,2)+1</f>
        <v>46531</v>
      </c>
      <c r="L123" s="31" t="n">
        <f aca="false">J123</f>
        <v>46532</v>
      </c>
      <c r="M123" s="26" t="n">
        <f aca="false">INDEX(LR_Target,MATCH(B123,LR_Lane,0))</f>
        <v>2</v>
      </c>
      <c r="N123" s="31" t="n">
        <f aca="false">WORKDAY.INTL(L123,M123,INDEX(LR_Code,MATCH(B123,LR_Lane,0)),INDEX(DH_Table,0,MATCH(B123&amp;"*",DH_Head,0)))</f>
        <v>46534</v>
      </c>
      <c r="O123" s="35" t="n">
        <f aca="false">IF(W123&lt;&gt;"",W123,IF(U123="Helmond",IF(COUNTIFS(RC_Lane,B123,RC_Band,E123,RC_Transit,"&lt;&gt;")=0,"",SUMIFS(RC_Transit,RC_Lane,B123,RC_Band,E123)),IF(U123="Other","",IF(INDEX(RS_Transit,MATCH(B123,RS_Lane,0))="","",INDEX(RS_Transit,MATCH(B123,RS_Lane,0))))))</f>
        <v>3</v>
      </c>
      <c r="P123" s="36"/>
      <c r="Q123" s="31" t="n">
        <f aca="false">IF(P123&lt;&gt;"",P123,IF(O123="","",WORKDAY.INTL(L123,ROUNDUP(O123,0),INDEX(LR_Code,MATCH(B123,LR_Lane,0)),INDEX(DH_Table,0,MATCH(B123&amp;"*",DH_Head,0)))))</f>
        <v>46537</v>
      </c>
      <c r="R123" s="37" t="str">
        <f aca="false">IF(Q123="","",IF(Q123&lt;=N123,"Yes","No"))</f>
        <v>No</v>
      </c>
      <c r="S123" s="26" t="n">
        <f aca="false">IF(Q123="","",IF(Q123&lt;=N123,0,NETWORKDAYS.INTL(N123,Q123,INDEX(LR_Code,MATCH(B123,LR_Lane,0)),INDEX(DH_Table,0,MATCH(B123&amp;"*",DH_Head,0)))-1))</f>
        <v>1</v>
      </c>
      <c r="T123" s="4"/>
      <c r="U123" s="25" t="str">
        <f aca="false">IF(V123&lt;&gt;"",V123,IF(IFERROR(INDEX(RS_Flag,MATCH(B123,RS_Lane,0)),"")="Yes",IF(IFERROR(INDEX(RS_Loc,MATCH(B123,RS_Lane,0)),"")="","Regional stock",IFERROR(INDEX(RS_Loc,MATCH(B123,RS_Lane,0)),"")),"Helmond"))</f>
        <v>Helmond</v>
      </c>
      <c r="V123" s="17"/>
      <c r="W123" s="38"/>
      <c r="X123" s="39"/>
      <c r="Y123" s="40" t="n">
        <f aca="false">IF(X123&lt;&gt;"",X123,IF(U123="Helmond",IF(COUNTIFS(RC_Lane,B123,RC_Band,E123,RC_CostPS,"&gt;0")=0,"",SUMIFS(RC_CostPS,RC_Lane,B123,RC_Band,E123)*(1-SUMIFS(RC_Disc,RC_Lane,B123,RC_Band,E123))),IF(U123="Other","",IF(INDEX(RS_Rate,MATCH(B123,RS_Lane,0))="","",INDEX(RS_Rate,MATCH(B123,RS_Lane,0))))))</f>
        <v>1271.20393</v>
      </c>
    </row>
    <row r="124" customFormat="false" ht="15" hidden="false" customHeight="false" outlineLevel="0" collapsed="false">
      <c r="A124" s="3" t="s">
        <v>533</v>
      </c>
      <c r="B124" s="25" t="s">
        <v>119</v>
      </c>
      <c r="C124" s="8" t="s">
        <v>120</v>
      </c>
      <c r="D124" s="8" t="s">
        <v>155</v>
      </c>
      <c r="E124" s="8" t="s">
        <v>182</v>
      </c>
      <c r="F124" s="19" t="n">
        <v>290.6</v>
      </c>
      <c r="G124" s="33" t="n">
        <f aca="false">F124*0.006477</f>
        <v>1.8822162</v>
      </c>
      <c r="H124" s="19" t="n">
        <f aca="false">F124*1.079436</f>
        <v>313.6841016</v>
      </c>
      <c r="I124" s="18" t="n">
        <f aca="false">MAX(1,ROUNDUP(G124/0.096,0))</f>
        <v>20</v>
      </c>
      <c r="J124" s="31" t="n">
        <v>46532</v>
      </c>
      <c r="K124" s="34" t="n">
        <f aca="false">J124-WEEKDAY(J124,2)+1</f>
        <v>46531</v>
      </c>
      <c r="L124" s="31" t="n">
        <f aca="false">J124</f>
        <v>46532</v>
      </c>
      <c r="M124" s="26" t="n">
        <f aca="false">INDEX(LR_Target,MATCH(B124,LR_Lane,0))</f>
        <v>3</v>
      </c>
      <c r="N124" s="31" t="n">
        <f aca="false">WORKDAY.INTL(L124,M124,INDEX(LR_Code,MATCH(B124,LR_Lane,0)),INDEX(DH_Table,0,MATCH(B124&amp;"*",DH_Head,0)))</f>
        <v>46535</v>
      </c>
      <c r="O124" s="35" t="n">
        <f aca="false">IF(W124&lt;&gt;"",W124,IF(U124="Helmond",IF(COUNTIFS(RC_Lane,B124,RC_Band,E124,RC_Transit,"&lt;&gt;")=0,"",SUMIFS(RC_Transit,RC_Lane,B124,RC_Band,E124)),IF(U124="Other","",IF(INDEX(RS_Transit,MATCH(B124,RS_Lane,0))="","",INDEX(RS_Transit,MATCH(B124,RS_Lane,0))))))</f>
        <v>3</v>
      </c>
      <c r="P124" s="36"/>
      <c r="Q124" s="31" t="n">
        <f aca="false">IF(P124&lt;&gt;"",P124,IF(O124="","",WORKDAY.INTL(L124,ROUNDUP(O124,0),INDEX(LR_Code,MATCH(B124,LR_Lane,0)),INDEX(DH_Table,0,MATCH(B124&amp;"*",DH_Head,0)))))</f>
        <v>46535</v>
      </c>
      <c r="R124" s="37" t="str">
        <f aca="false">IF(Q124="","",IF(Q124&lt;=N124,"Yes","No"))</f>
        <v>Yes</v>
      </c>
      <c r="S124" s="26" t="n">
        <f aca="false">IF(Q124="","",IF(Q124&lt;=N124,0,NETWORKDAYS.INTL(N124,Q124,INDEX(LR_Code,MATCH(B124,LR_Lane,0)),INDEX(DH_Table,0,MATCH(B124&amp;"*",DH_Head,0)))-1))</f>
        <v>0</v>
      </c>
      <c r="T124" s="4"/>
      <c r="U124" s="25" t="str">
        <f aca="false">IF(V124&lt;&gt;"",V124,IF(IFERROR(INDEX(RS_Flag,MATCH(B124,RS_Lane,0)),"")="Yes",IF(IFERROR(INDEX(RS_Loc,MATCH(B124,RS_Lane,0)),"")="","Regional stock",IFERROR(INDEX(RS_Loc,MATCH(B124,RS_Lane,0)),"")),"Helmond"))</f>
        <v>Helmond</v>
      </c>
      <c r="V124" s="17"/>
      <c r="W124" s="38"/>
      <c r="X124" s="39"/>
      <c r="Y124" s="40" t="n">
        <f aca="false">IF(X124&lt;&gt;"",X124,IF(U124="Helmond",IF(COUNTIFS(RC_Lane,B124,RC_Band,E124,RC_CostPS,"&gt;0")=0,"",SUMIFS(RC_CostPS,RC_Lane,B124,RC_Band,E124)*(1-SUMIFS(RC_Disc,RC_Lane,B124,RC_Band,E124))),IF(U124="Other","",IF(INDEX(RS_Rate,MATCH(B124,RS_Lane,0))="","",INDEX(RS_Rate,MATCH(B124,RS_Lane,0))))))</f>
        <v>1400.35434</v>
      </c>
    </row>
    <row r="125" customFormat="false" ht="15" hidden="false" customHeight="false" outlineLevel="0" collapsed="false">
      <c r="A125" s="3" t="s">
        <v>534</v>
      </c>
      <c r="B125" s="25" t="s">
        <v>108</v>
      </c>
      <c r="C125" s="8" t="s">
        <v>109</v>
      </c>
      <c r="D125" s="8" t="s">
        <v>270</v>
      </c>
      <c r="E125" s="8" t="s">
        <v>183</v>
      </c>
      <c r="F125" s="19" t="n">
        <v>796.6</v>
      </c>
      <c r="G125" s="33" t="n">
        <f aca="false">F125*0.006477</f>
        <v>5.1595782</v>
      </c>
      <c r="H125" s="19" t="n">
        <f aca="false">F125*1.079436</f>
        <v>859.8787176</v>
      </c>
      <c r="I125" s="18" t="n">
        <f aca="false">MAX(1,ROUNDUP(G125/0.096,0))</f>
        <v>54</v>
      </c>
      <c r="J125" s="31" t="n">
        <v>46533</v>
      </c>
      <c r="K125" s="34" t="n">
        <f aca="false">J125-WEEKDAY(J125,2)+1</f>
        <v>46531</v>
      </c>
      <c r="L125" s="31" t="n">
        <f aca="false">J125</f>
        <v>46533</v>
      </c>
      <c r="M125" s="26" t="n">
        <f aca="false">INDEX(LR_Target,MATCH(B125,LR_Lane,0))</f>
        <v>2</v>
      </c>
      <c r="N125" s="31" t="n">
        <f aca="false">WORKDAY.INTL(L125,M125,INDEX(LR_Code,MATCH(B125,LR_Lane,0)),INDEX(DH_Table,0,MATCH(B125&amp;"*",DH_Head,0)))</f>
        <v>46537</v>
      </c>
      <c r="O125" s="35" t="n">
        <f aca="false">IF(W125&lt;&gt;"",W125,IF(U125="Helmond",IF(COUNTIFS(RC_Lane,B125,RC_Band,E125,RC_Transit,"&lt;&gt;")=0,"",SUMIFS(RC_Transit,RC_Lane,B125,RC_Band,E125)),IF(U125="Other","",IF(INDEX(RS_Transit,MATCH(B125,RS_Lane,0))="","",INDEX(RS_Transit,MATCH(B125,RS_Lane,0))))))</f>
        <v>4</v>
      </c>
      <c r="P125" s="36"/>
      <c r="Q125" s="31" t="n">
        <f aca="false">IF(P125&lt;&gt;"",P125,IF(O125="","",WORKDAY.INTL(L125,ROUNDUP(O125,0),INDEX(LR_Code,MATCH(B125,LR_Lane,0)),INDEX(DH_Table,0,MATCH(B125&amp;"*",DH_Head,0)))))</f>
        <v>46539</v>
      </c>
      <c r="R125" s="37" t="str">
        <f aca="false">IF(Q125="","",IF(Q125&lt;=N125,"Yes","No"))</f>
        <v>No</v>
      </c>
      <c r="S125" s="26" t="n">
        <f aca="false">IF(Q125="","",IF(Q125&lt;=N125,0,NETWORKDAYS.INTL(N125,Q125,INDEX(LR_Code,MATCH(B125,LR_Lane,0)),INDEX(DH_Table,0,MATCH(B125&amp;"*",DH_Head,0)))-1))</f>
        <v>2</v>
      </c>
      <c r="T125" s="4"/>
      <c r="U125" s="25" t="str">
        <f aca="false">IF(V125&lt;&gt;"",V125,IF(IFERROR(INDEX(RS_Flag,MATCH(B125,RS_Lane,0)),"")="Yes",IF(IFERROR(INDEX(RS_Loc,MATCH(B125,RS_Lane,0)),"")="","Regional stock",IFERROR(INDEX(RS_Loc,MATCH(B125,RS_Lane,0)),"")),"Helmond"))</f>
        <v>Helmond</v>
      </c>
      <c r="V125" s="17"/>
      <c r="W125" s="38"/>
      <c r="X125" s="39"/>
      <c r="Y125" s="40" t="n">
        <f aca="false">IF(X125&lt;&gt;"",X125,IF(U125="Helmond",IF(COUNTIFS(RC_Lane,B125,RC_Band,E125,RC_CostPS,"&gt;0")=0,"",SUMIFS(RC_CostPS,RC_Lane,B125,RC_Band,E125)*(1-SUMIFS(RC_Disc,RC_Lane,B125,RC_Band,E125))),IF(U125="Other","",IF(INDEX(RS_Rate,MATCH(B125,RS_Lane,0))="","",INDEX(RS_Rate,MATCH(B125,RS_Lane,0))))))</f>
        <v>3051.4304</v>
      </c>
    </row>
    <row r="126" customFormat="false" ht="15" hidden="false" customHeight="false" outlineLevel="0" collapsed="false">
      <c r="A126" s="3" t="s">
        <v>535</v>
      </c>
      <c r="B126" s="25" t="s">
        <v>115</v>
      </c>
      <c r="C126" s="8" t="s">
        <v>116</v>
      </c>
      <c r="D126" s="8" t="s">
        <v>153</v>
      </c>
      <c r="E126" s="8" t="s">
        <v>183</v>
      </c>
      <c r="F126" s="19" t="n">
        <v>614.1</v>
      </c>
      <c r="G126" s="33" t="n">
        <f aca="false">F126*0.006477</f>
        <v>3.9775257</v>
      </c>
      <c r="H126" s="19" t="n">
        <f aca="false">F126*1.079436</f>
        <v>662.8816476</v>
      </c>
      <c r="I126" s="18" t="n">
        <f aca="false">MAX(1,ROUNDUP(G126/0.096,0))</f>
        <v>42</v>
      </c>
      <c r="J126" s="31" t="n">
        <v>46533</v>
      </c>
      <c r="K126" s="34" t="n">
        <f aca="false">J126-WEEKDAY(J126,2)+1</f>
        <v>46531</v>
      </c>
      <c r="L126" s="31" t="n">
        <f aca="false">J126</f>
        <v>46533</v>
      </c>
      <c r="M126" s="26" t="n">
        <f aca="false">INDEX(LR_Target,MATCH(B126,LR_Lane,0))</f>
        <v>2</v>
      </c>
      <c r="N126" s="31" t="n">
        <f aca="false">WORKDAY.INTL(L126,M126,INDEX(LR_Code,MATCH(B126,LR_Lane,0)),INDEX(DH_Table,0,MATCH(B126&amp;"*",DH_Head,0)))</f>
        <v>46537</v>
      </c>
      <c r="O126" s="35" t="n">
        <f aca="false">IF(W126&lt;&gt;"",W126,IF(U126="Helmond",IF(COUNTIFS(RC_Lane,B126,RC_Band,E126,RC_Transit,"&lt;&gt;")=0,"",SUMIFS(RC_Transit,RC_Lane,B126,RC_Band,E126)),IF(U126="Other","",IF(INDEX(RS_Transit,MATCH(B126,RS_Lane,0))="","",INDEX(RS_Transit,MATCH(B126,RS_Lane,0))))))</f>
        <v>4</v>
      </c>
      <c r="P126" s="36"/>
      <c r="Q126" s="31" t="n">
        <f aca="false">IF(P126&lt;&gt;"",P126,IF(O126="","",WORKDAY.INTL(L126,ROUNDUP(O126,0),INDEX(LR_Code,MATCH(B126,LR_Lane,0)),INDEX(DH_Table,0,MATCH(B126&amp;"*",DH_Head,0)))))</f>
        <v>46539</v>
      </c>
      <c r="R126" s="37" t="str">
        <f aca="false">IF(Q126="","",IF(Q126&lt;=N126,"Yes","No"))</f>
        <v>No</v>
      </c>
      <c r="S126" s="26" t="n">
        <f aca="false">IF(Q126="","",IF(Q126&lt;=N126,0,NETWORKDAYS.INTL(N126,Q126,INDEX(LR_Code,MATCH(B126,LR_Lane,0)),INDEX(DH_Table,0,MATCH(B126&amp;"*",DH_Head,0)))-1))</f>
        <v>2</v>
      </c>
      <c r="T126" s="4"/>
      <c r="U126" s="25" t="str">
        <f aca="false">IF(V126&lt;&gt;"",V126,IF(IFERROR(INDEX(RS_Flag,MATCH(B126,RS_Lane,0)),"")="Yes",IF(IFERROR(INDEX(RS_Loc,MATCH(B126,RS_Lane,0)),"")="","Regional stock",IFERROR(INDEX(RS_Loc,MATCH(B126,RS_Lane,0)),"")),"Helmond"))</f>
        <v>Helmond</v>
      </c>
      <c r="V126" s="17"/>
      <c r="W126" s="38"/>
      <c r="X126" s="39"/>
      <c r="Y126" s="40" t="n">
        <f aca="false">IF(X126&lt;&gt;"",X126,IF(U126="Helmond",IF(COUNTIFS(RC_Lane,B126,RC_Band,E126,RC_CostPS,"&gt;0")=0,"",SUMIFS(RC_CostPS,RC_Lane,B126,RC_Band,E126)*(1-SUMIFS(RC_Disc,RC_Lane,B126,RC_Band,E126))),IF(U126="Other","",IF(INDEX(RS_Rate,MATCH(B126,RS_Lane,0))="","",INDEX(RS_Rate,MATCH(B126,RS_Lane,0))))))</f>
        <v>3210.88144</v>
      </c>
    </row>
    <row r="127" customFormat="false" ht="15" hidden="false" customHeight="false" outlineLevel="0" collapsed="false">
      <c r="A127" s="3" t="s">
        <v>536</v>
      </c>
      <c r="B127" s="25" t="s">
        <v>115</v>
      </c>
      <c r="C127" s="8" t="s">
        <v>116</v>
      </c>
      <c r="D127" s="8" t="s">
        <v>153</v>
      </c>
      <c r="E127" s="8" t="s">
        <v>182</v>
      </c>
      <c r="F127" s="19" t="n">
        <v>239.8</v>
      </c>
      <c r="G127" s="33" t="n">
        <f aca="false">F127*0.006477</f>
        <v>1.5531846</v>
      </c>
      <c r="H127" s="19" t="n">
        <f aca="false">F127*1.079436</f>
        <v>258.8487528</v>
      </c>
      <c r="I127" s="18" t="n">
        <f aca="false">MAX(1,ROUNDUP(G127/0.096,0))</f>
        <v>17</v>
      </c>
      <c r="J127" s="31" t="n">
        <v>46533</v>
      </c>
      <c r="K127" s="34" t="n">
        <f aca="false">J127-WEEKDAY(J127,2)+1</f>
        <v>46531</v>
      </c>
      <c r="L127" s="31" t="n">
        <f aca="false">J127</f>
        <v>46533</v>
      </c>
      <c r="M127" s="26" t="n">
        <f aca="false">INDEX(LR_Target,MATCH(B127,LR_Lane,0))</f>
        <v>2</v>
      </c>
      <c r="N127" s="31" t="n">
        <f aca="false">WORKDAY.INTL(L127,M127,INDEX(LR_Code,MATCH(B127,LR_Lane,0)),INDEX(DH_Table,0,MATCH(B127&amp;"*",DH_Head,0)))</f>
        <v>46537</v>
      </c>
      <c r="O127" s="35" t="n">
        <f aca="false">IF(W127&lt;&gt;"",W127,IF(U127="Helmond",IF(COUNTIFS(RC_Lane,B127,RC_Band,E127,RC_Transit,"&lt;&gt;")=0,"",SUMIFS(RC_Transit,RC_Lane,B127,RC_Band,E127)),IF(U127="Other","",IF(INDEX(RS_Transit,MATCH(B127,RS_Lane,0))="","",INDEX(RS_Transit,MATCH(B127,RS_Lane,0))))))</f>
        <v>3</v>
      </c>
      <c r="P127" s="36"/>
      <c r="Q127" s="31" t="n">
        <f aca="false">IF(P127&lt;&gt;"",P127,IF(O127="","",WORKDAY.INTL(L127,ROUNDUP(O127,0),INDEX(LR_Code,MATCH(B127,LR_Lane,0)),INDEX(DH_Table,0,MATCH(B127&amp;"*",DH_Head,0)))))</f>
        <v>46538</v>
      </c>
      <c r="R127" s="37" t="str">
        <f aca="false">IF(Q127="","",IF(Q127&lt;=N127,"Yes","No"))</f>
        <v>No</v>
      </c>
      <c r="S127" s="26" t="n">
        <f aca="false">IF(Q127="","",IF(Q127&lt;=N127,0,NETWORKDAYS.INTL(N127,Q127,INDEX(LR_Code,MATCH(B127,LR_Lane,0)),INDEX(DH_Table,0,MATCH(B127&amp;"*",DH_Head,0)))-1))</f>
        <v>1</v>
      </c>
      <c r="T127" s="4"/>
      <c r="U127" s="25" t="str">
        <f aca="false">IF(V127&lt;&gt;"",V127,IF(IFERROR(INDEX(RS_Flag,MATCH(B127,RS_Lane,0)),"")="Yes",IF(IFERROR(INDEX(RS_Loc,MATCH(B127,RS_Lane,0)),"")="","Regional stock",IFERROR(INDEX(RS_Loc,MATCH(B127,RS_Lane,0)),"")),"Helmond"))</f>
        <v>Helmond</v>
      </c>
      <c r="V127" s="17"/>
      <c r="W127" s="38"/>
      <c r="X127" s="39"/>
      <c r="Y127" s="40" t="n">
        <f aca="false">IF(X127&lt;&gt;"",X127,IF(U127="Helmond",IF(COUNTIFS(RC_Lane,B127,RC_Band,E127,RC_CostPS,"&gt;0")=0,"",SUMIFS(RC_CostPS,RC_Lane,B127,RC_Band,E127)*(1-SUMIFS(RC_Disc,RC_Lane,B127,RC_Band,E127))),IF(U127="Other","",IF(INDEX(RS_Rate,MATCH(B127,RS_Lane,0))="","",INDEX(RS_Rate,MATCH(B127,RS_Lane,0))))))</f>
        <v>1271.20393</v>
      </c>
    </row>
    <row r="128" customFormat="false" ht="15" hidden="false" customHeight="false" outlineLevel="0" collapsed="false">
      <c r="A128" s="3" t="s">
        <v>537</v>
      </c>
      <c r="B128" s="25" t="s">
        <v>108</v>
      </c>
      <c r="C128" s="8" t="s">
        <v>109</v>
      </c>
      <c r="D128" s="8" t="s">
        <v>272</v>
      </c>
      <c r="E128" s="8" t="s">
        <v>182</v>
      </c>
      <c r="F128" s="19" t="n">
        <v>159.4</v>
      </c>
      <c r="G128" s="33" t="n">
        <f aca="false">F128*0.006477</f>
        <v>1.0324338</v>
      </c>
      <c r="H128" s="19" t="n">
        <f aca="false">F128*1.079436</f>
        <v>172.0620984</v>
      </c>
      <c r="I128" s="18" t="n">
        <f aca="false">MAX(1,ROUNDUP(G128/0.096,0))</f>
        <v>11</v>
      </c>
      <c r="J128" s="31" t="n">
        <v>46538</v>
      </c>
      <c r="K128" s="34" t="n">
        <f aca="false">J128-WEEKDAY(J128,2)+1</f>
        <v>46538</v>
      </c>
      <c r="L128" s="31" t="n">
        <f aca="false">J128</f>
        <v>46538</v>
      </c>
      <c r="M128" s="26" t="n">
        <f aca="false">INDEX(LR_Target,MATCH(B128,LR_Lane,0))</f>
        <v>2</v>
      </c>
      <c r="N128" s="31" t="n">
        <f aca="false">WORKDAY.INTL(L128,M128,INDEX(LR_Code,MATCH(B128,LR_Lane,0)),INDEX(DH_Table,0,MATCH(B128&amp;"*",DH_Head,0)))</f>
        <v>46540</v>
      </c>
      <c r="O128" s="35" t="n">
        <f aca="false">IF(W128&lt;&gt;"",W128,IF(U128="Helmond",IF(COUNTIFS(RC_Lane,B128,RC_Band,E128,RC_Transit,"&lt;&gt;")=0,"",SUMIFS(RC_Transit,RC_Lane,B128,RC_Band,E128)),IF(U128="Other","",IF(INDEX(RS_Transit,MATCH(B128,RS_Lane,0))="","",INDEX(RS_Transit,MATCH(B128,RS_Lane,0))))))</f>
        <v>3</v>
      </c>
      <c r="P128" s="36"/>
      <c r="Q128" s="31" t="n">
        <f aca="false">IF(P128&lt;&gt;"",P128,IF(O128="","",WORKDAY.INTL(L128,ROUNDUP(O128,0),INDEX(LR_Code,MATCH(B128,LR_Lane,0)),INDEX(DH_Table,0,MATCH(B128&amp;"*",DH_Head,0)))))</f>
        <v>46541</v>
      </c>
      <c r="R128" s="37" t="str">
        <f aca="false">IF(Q128="","",IF(Q128&lt;=N128,"Yes","No"))</f>
        <v>No</v>
      </c>
      <c r="S128" s="26" t="n">
        <f aca="false">IF(Q128="","",IF(Q128&lt;=N128,0,NETWORKDAYS.INTL(N128,Q128,INDEX(LR_Code,MATCH(B128,LR_Lane,0)),INDEX(DH_Table,0,MATCH(B128&amp;"*",DH_Head,0)))-1))</f>
        <v>1</v>
      </c>
      <c r="T128" s="4"/>
      <c r="U128" s="25" t="str">
        <f aca="false">IF(V128&lt;&gt;"",V128,IF(IFERROR(INDEX(RS_Flag,MATCH(B128,RS_Lane,0)),"")="Yes",IF(IFERROR(INDEX(RS_Loc,MATCH(B128,RS_Lane,0)),"")="","Regional stock",IFERROR(INDEX(RS_Loc,MATCH(B128,RS_Lane,0)),"")),"Helmond"))</f>
        <v>Helmond</v>
      </c>
      <c r="V128" s="17"/>
      <c r="W128" s="38"/>
      <c r="X128" s="39"/>
      <c r="Y128" s="40" t="n">
        <f aca="false">IF(X128&lt;&gt;"",X128,IF(U128="Helmond",IF(COUNTIFS(RC_Lane,B128,RC_Band,E128,RC_CostPS,"&gt;0")=0,"",SUMIFS(RC_CostPS,RC_Lane,B128,RC_Band,E128)*(1-SUMIFS(RC_Disc,RC_Lane,B128,RC_Band,E128))),IF(U128="Other","",IF(INDEX(RS_Rate,MATCH(B128,RS_Lane,0))="","",INDEX(RS_Rate,MATCH(B128,RS_Lane,0))))))</f>
        <v>1009.7531</v>
      </c>
    </row>
    <row r="129" customFormat="false" ht="15" hidden="false" customHeight="false" outlineLevel="0" collapsed="false">
      <c r="A129" s="3" t="s">
        <v>538</v>
      </c>
      <c r="B129" s="25" t="s">
        <v>112</v>
      </c>
      <c r="C129" s="8" t="s">
        <v>113</v>
      </c>
      <c r="D129" s="8" t="s">
        <v>152</v>
      </c>
      <c r="E129" s="8" t="s">
        <v>178</v>
      </c>
      <c r="F129" s="19" t="n">
        <v>2.9</v>
      </c>
      <c r="G129" s="33" t="n">
        <f aca="false">F129*0.006477</f>
        <v>0.0187833</v>
      </c>
      <c r="H129" s="19" t="n">
        <f aca="false">F129*1.079436</f>
        <v>3.1303644</v>
      </c>
      <c r="I129" s="18" t="n">
        <f aca="false">MAX(1,ROUNDUP(G129/0.096,0))</f>
        <v>1</v>
      </c>
      <c r="J129" s="31" t="n">
        <v>46538</v>
      </c>
      <c r="K129" s="34" t="n">
        <f aca="false">J129-WEEKDAY(J129,2)+1</f>
        <v>46538</v>
      </c>
      <c r="L129" s="31" t="n">
        <f aca="false">J129</f>
        <v>46538</v>
      </c>
      <c r="M129" s="26" t="n">
        <f aca="false">INDEX(LR_Target,MATCH(B129,LR_Lane,0))</f>
        <v>2</v>
      </c>
      <c r="N129" s="31" t="n">
        <f aca="false">WORKDAY.INTL(L129,M129,INDEX(LR_Code,MATCH(B129,LR_Lane,0)),INDEX(DH_Table,0,MATCH(B129&amp;"*",DH_Head,0)))</f>
        <v>46540</v>
      </c>
      <c r="O129" s="35" t="n">
        <f aca="false">IF(W129&lt;&gt;"",W129,IF(U129="Helmond",IF(COUNTIFS(RC_Lane,B129,RC_Band,E129,RC_Transit,"&lt;&gt;")=0,"",SUMIFS(RC_Transit,RC_Lane,B129,RC_Band,E129)),IF(U129="Other","",IF(INDEX(RS_Transit,MATCH(B129,RS_Lane,0))="","",INDEX(RS_Transit,MATCH(B129,RS_Lane,0))))))</f>
        <v>1</v>
      </c>
      <c r="P129" s="36"/>
      <c r="Q129" s="31" t="n">
        <f aca="false">IF(P129&lt;&gt;"",P129,IF(O129="","",WORKDAY.INTL(L129,ROUNDUP(O129,0),INDEX(LR_Code,MATCH(B129,LR_Lane,0)),INDEX(DH_Table,0,MATCH(B129&amp;"*",DH_Head,0)))))</f>
        <v>46539</v>
      </c>
      <c r="R129" s="37" t="str">
        <f aca="false">IF(Q129="","",IF(Q129&lt;=N129,"Yes","No"))</f>
        <v>Yes</v>
      </c>
      <c r="S129" s="26" t="n">
        <f aca="false">IF(Q129="","",IF(Q129&lt;=N129,0,NETWORKDAYS.INTL(N129,Q129,INDEX(LR_Code,MATCH(B129,LR_Lane,0)),INDEX(DH_Table,0,MATCH(B129&amp;"*",DH_Head,0)))-1))</f>
        <v>0</v>
      </c>
      <c r="T129" s="4"/>
      <c r="U129" s="25" t="str">
        <f aca="false">IF(V129&lt;&gt;"",V129,IF(IFERROR(INDEX(RS_Flag,MATCH(B129,RS_Lane,0)),"")="Yes",IF(IFERROR(INDEX(RS_Loc,MATCH(B129,RS_Lane,0)),"")="","Regional stock",IFERROR(INDEX(RS_Loc,MATCH(B129,RS_Lane,0)),"")),"Helmond"))</f>
        <v>Helmond</v>
      </c>
      <c r="V129" s="17"/>
      <c r="W129" s="38"/>
      <c r="X129" s="39"/>
      <c r="Y129" s="40" t="n">
        <f aca="false">IF(X129&lt;&gt;"",X129,IF(U129="Helmond",IF(COUNTIFS(RC_Lane,B129,RC_Band,E129,RC_CostPS,"&gt;0")=0,"",SUMIFS(RC_CostPS,RC_Lane,B129,RC_Band,E129)*(1-SUMIFS(RC_Disc,RC_Lane,B129,RC_Band,E129))),IF(U129="Other","",IF(INDEX(RS_Rate,MATCH(B129,RS_Lane,0))="","",INDEX(RS_Rate,MATCH(B129,RS_Lane,0))))))</f>
        <v>72.485</v>
      </c>
    </row>
    <row r="130" customFormat="false" ht="15" hidden="false" customHeight="false" outlineLevel="0" collapsed="false">
      <c r="A130" s="3" t="s">
        <v>539</v>
      </c>
      <c r="B130" s="25" t="s">
        <v>126</v>
      </c>
      <c r="C130" s="8" t="s">
        <v>127</v>
      </c>
      <c r="D130" s="8" t="s">
        <v>158</v>
      </c>
      <c r="E130" s="8" t="s">
        <v>178</v>
      </c>
      <c r="F130" s="19" t="n">
        <v>14.3</v>
      </c>
      <c r="G130" s="33" t="n">
        <f aca="false">F130*0.006477</f>
        <v>0.0926211</v>
      </c>
      <c r="H130" s="19" t="n">
        <f aca="false">F130*1.079436</f>
        <v>15.4359348</v>
      </c>
      <c r="I130" s="18" t="n">
        <f aca="false">MAX(1,ROUNDUP(G130/0.096,0))</f>
        <v>1</v>
      </c>
      <c r="J130" s="31" t="n">
        <v>46538</v>
      </c>
      <c r="K130" s="34" t="n">
        <f aca="false">J130-WEEKDAY(J130,2)+1</f>
        <v>46538</v>
      </c>
      <c r="L130" s="31" t="n">
        <f aca="false">J130</f>
        <v>46538</v>
      </c>
      <c r="M130" s="26" t="n">
        <f aca="false">INDEX(LR_Target,MATCH(B130,LR_Lane,0))</f>
        <v>4</v>
      </c>
      <c r="N130" s="31" t="n">
        <f aca="false">WORKDAY.INTL(L130,M130,INDEX(LR_Code,MATCH(B130,LR_Lane,0)),INDEX(DH_Table,0,MATCH(B130&amp;"*",DH_Head,0)))</f>
        <v>46545</v>
      </c>
      <c r="O130" s="35" t="n">
        <f aca="false">IF(W130&lt;&gt;"",W130,IF(U130="Helmond",IF(COUNTIFS(RC_Lane,B130,RC_Band,E130,RC_Transit,"&lt;&gt;")=0,"",SUMIFS(RC_Transit,RC_Lane,B130,RC_Band,E130)),IF(U130="Other","",IF(INDEX(RS_Transit,MATCH(B130,RS_Lane,0))="","",INDEX(RS_Transit,MATCH(B130,RS_Lane,0))))))</f>
        <v>1</v>
      </c>
      <c r="P130" s="36"/>
      <c r="Q130" s="31" t="n">
        <f aca="false">IF(P130&lt;&gt;"",P130,IF(O130="","",WORKDAY.INTL(L130,ROUNDUP(O130,0),INDEX(LR_Code,MATCH(B130,LR_Lane,0)),INDEX(DH_Table,0,MATCH(B130&amp;"*",DH_Head,0)))))</f>
        <v>46539</v>
      </c>
      <c r="R130" s="37" t="str">
        <f aca="false">IF(Q130="","",IF(Q130&lt;=N130,"Yes","No"))</f>
        <v>Yes</v>
      </c>
      <c r="S130" s="26" t="n">
        <f aca="false">IF(Q130="","",IF(Q130&lt;=N130,0,NETWORKDAYS.INTL(N130,Q130,INDEX(LR_Code,MATCH(B130,LR_Lane,0)),INDEX(DH_Table,0,MATCH(B130&amp;"*",DH_Head,0)))-1))</f>
        <v>0</v>
      </c>
      <c r="T130" s="4"/>
      <c r="U130" s="25" t="str">
        <f aca="false">IF(V130&lt;&gt;"",V130,IF(IFERROR(INDEX(RS_Flag,MATCH(B130,RS_Lane,0)),"")="Yes",IF(IFERROR(INDEX(RS_Loc,MATCH(B130,RS_Lane,0)),"")="","Regional stock",IFERROR(INDEX(RS_Loc,MATCH(B130,RS_Lane,0)),"")),"Helmond"))</f>
        <v>Helmond</v>
      </c>
      <c r="V130" s="17"/>
      <c r="W130" s="38"/>
      <c r="X130" s="39"/>
      <c r="Y130" s="40" t="n">
        <f aca="false">IF(X130&lt;&gt;"",X130,IF(U130="Helmond",IF(COUNTIFS(RC_Lane,B130,RC_Band,E130,RC_CostPS,"&gt;0")=0,"",SUMIFS(RC_CostPS,RC_Lane,B130,RC_Band,E130)*(1-SUMIFS(RC_Disc,RC_Lane,B130,RC_Band,E130))),IF(U130="Other","",IF(INDEX(RS_Rate,MATCH(B130,RS_Lane,0))="","",INDEX(RS_Rate,MATCH(B130,RS_Lane,0))))))</f>
        <v>72.485</v>
      </c>
    </row>
    <row r="131" customFormat="false" ht="15" hidden="false" customHeight="false" outlineLevel="0" collapsed="false">
      <c r="A131" s="3" t="s">
        <v>540</v>
      </c>
      <c r="B131" s="25" t="s">
        <v>108</v>
      </c>
      <c r="C131" s="8" t="s">
        <v>109</v>
      </c>
      <c r="D131" s="8" t="s">
        <v>272</v>
      </c>
      <c r="E131" s="8" t="s">
        <v>182</v>
      </c>
      <c r="F131" s="19" t="n">
        <v>331</v>
      </c>
      <c r="G131" s="33" t="n">
        <f aca="false">F131*0.006477</f>
        <v>2.143887</v>
      </c>
      <c r="H131" s="19" t="n">
        <f aca="false">F131*1.079436</f>
        <v>357.293316</v>
      </c>
      <c r="I131" s="18" t="n">
        <f aca="false">MAX(1,ROUNDUP(G131/0.096,0))</f>
        <v>23</v>
      </c>
      <c r="J131" s="31" t="n">
        <v>46540</v>
      </c>
      <c r="K131" s="34" t="n">
        <f aca="false">J131-WEEKDAY(J131,2)+1</f>
        <v>46538</v>
      </c>
      <c r="L131" s="31" t="n">
        <f aca="false">J131</f>
        <v>46540</v>
      </c>
      <c r="M131" s="26" t="n">
        <f aca="false">INDEX(LR_Target,MATCH(B131,LR_Lane,0))</f>
        <v>2</v>
      </c>
      <c r="N131" s="31" t="n">
        <f aca="false">WORKDAY.INTL(L131,M131,INDEX(LR_Code,MATCH(B131,LR_Lane,0)),INDEX(DH_Table,0,MATCH(B131&amp;"*",DH_Head,0)))</f>
        <v>46544</v>
      </c>
      <c r="O131" s="35" t="n">
        <f aca="false">IF(W131&lt;&gt;"",W131,IF(U131="Helmond",IF(COUNTIFS(RC_Lane,B131,RC_Band,E131,RC_Transit,"&lt;&gt;")=0,"",SUMIFS(RC_Transit,RC_Lane,B131,RC_Band,E131)),IF(U131="Other","",IF(INDEX(RS_Transit,MATCH(B131,RS_Lane,0))="","",INDEX(RS_Transit,MATCH(B131,RS_Lane,0))))))</f>
        <v>3</v>
      </c>
      <c r="P131" s="36"/>
      <c r="Q131" s="31" t="n">
        <f aca="false">IF(P131&lt;&gt;"",P131,IF(O131="","",WORKDAY.INTL(L131,ROUNDUP(O131,0),INDEX(LR_Code,MATCH(B131,LR_Lane,0)),INDEX(DH_Table,0,MATCH(B131&amp;"*",DH_Head,0)))))</f>
        <v>46545</v>
      </c>
      <c r="R131" s="37" t="str">
        <f aca="false">IF(Q131="","",IF(Q131&lt;=N131,"Yes","No"))</f>
        <v>No</v>
      </c>
      <c r="S131" s="26" t="n">
        <f aca="false">IF(Q131="","",IF(Q131&lt;=N131,0,NETWORKDAYS.INTL(N131,Q131,INDEX(LR_Code,MATCH(B131,LR_Lane,0)),INDEX(DH_Table,0,MATCH(B131&amp;"*",DH_Head,0)))-1))</f>
        <v>1</v>
      </c>
      <c r="T131" s="4"/>
      <c r="U131" s="25" t="str">
        <f aca="false">IF(V131&lt;&gt;"",V131,IF(IFERROR(INDEX(RS_Flag,MATCH(B131,RS_Lane,0)),"")="Yes",IF(IFERROR(INDEX(RS_Loc,MATCH(B131,RS_Lane,0)),"")="","Regional stock",IFERROR(INDEX(RS_Loc,MATCH(B131,RS_Lane,0)),"")),"Helmond"))</f>
        <v>Helmond</v>
      </c>
      <c r="V131" s="17"/>
      <c r="W131" s="38"/>
      <c r="X131" s="39"/>
      <c r="Y131" s="40" t="n">
        <f aca="false">IF(X131&lt;&gt;"",X131,IF(U131="Helmond",IF(COUNTIFS(RC_Lane,B131,RC_Band,E131,RC_CostPS,"&gt;0")=0,"",SUMIFS(RC_CostPS,RC_Lane,B131,RC_Band,E131)*(1-SUMIFS(RC_Disc,RC_Lane,B131,RC_Band,E131))),IF(U131="Other","",IF(INDEX(RS_Rate,MATCH(B131,RS_Lane,0))="","",INDEX(RS_Rate,MATCH(B131,RS_Lane,0))))))</f>
        <v>1009.7531</v>
      </c>
    </row>
    <row r="132" customFormat="false" ht="15" hidden="false" customHeight="false" outlineLevel="0" collapsed="false">
      <c r="A132" s="3" t="s">
        <v>541</v>
      </c>
      <c r="B132" s="25" t="s">
        <v>112</v>
      </c>
      <c r="C132" s="8" t="s">
        <v>113</v>
      </c>
      <c r="D132" s="8" t="s">
        <v>152</v>
      </c>
      <c r="E132" s="8" t="s">
        <v>178</v>
      </c>
      <c r="F132" s="19" t="n">
        <v>10.3</v>
      </c>
      <c r="G132" s="33" t="n">
        <f aca="false">F132*0.006477</f>
        <v>0.0667131</v>
      </c>
      <c r="H132" s="19" t="n">
        <f aca="false">F132*1.079436</f>
        <v>11.1181908</v>
      </c>
      <c r="I132" s="18" t="n">
        <f aca="false">MAX(1,ROUNDUP(G132/0.096,0))</f>
        <v>1</v>
      </c>
      <c r="J132" s="31" t="n">
        <v>46540</v>
      </c>
      <c r="K132" s="34" t="n">
        <f aca="false">J132-WEEKDAY(J132,2)+1</f>
        <v>46538</v>
      </c>
      <c r="L132" s="31" t="n">
        <f aca="false">J132</f>
        <v>46540</v>
      </c>
      <c r="M132" s="26" t="n">
        <f aca="false">INDEX(LR_Target,MATCH(B132,LR_Lane,0))</f>
        <v>2</v>
      </c>
      <c r="N132" s="31" t="n">
        <f aca="false">WORKDAY.INTL(L132,M132,INDEX(LR_Code,MATCH(B132,LR_Lane,0)),INDEX(DH_Table,0,MATCH(B132&amp;"*",DH_Head,0)))</f>
        <v>46542</v>
      </c>
      <c r="O132" s="35" t="n">
        <f aca="false">IF(W132&lt;&gt;"",W132,IF(U132="Helmond",IF(COUNTIFS(RC_Lane,B132,RC_Band,E132,RC_Transit,"&lt;&gt;")=0,"",SUMIFS(RC_Transit,RC_Lane,B132,RC_Band,E132)),IF(U132="Other","",IF(INDEX(RS_Transit,MATCH(B132,RS_Lane,0))="","",INDEX(RS_Transit,MATCH(B132,RS_Lane,0))))))</f>
        <v>1</v>
      </c>
      <c r="P132" s="36"/>
      <c r="Q132" s="31" t="n">
        <f aca="false">IF(P132&lt;&gt;"",P132,IF(O132="","",WORKDAY.INTL(L132,ROUNDUP(O132,0),INDEX(LR_Code,MATCH(B132,LR_Lane,0)),INDEX(DH_Table,0,MATCH(B132&amp;"*",DH_Head,0)))))</f>
        <v>46541</v>
      </c>
      <c r="R132" s="37" t="str">
        <f aca="false">IF(Q132="","",IF(Q132&lt;=N132,"Yes","No"))</f>
        <v>Yes</v>
      </c>
      <c r="S132" s="26" t="n">
        <f aca="false">IF(Q132="","",IF(Q132&lt;=N132,0,NETWORKDAYS.INTL(N132,Q132,INDEX(LR_Code,MATCH(B132,LR_Lane,0)),INDEX(DH_Table,0,MATCH(B132&amp;"*",DH_Head,0)))-1))</f>
        <v>0</v>
      </c>
      <c r="T132" s="4"/>
      <c r="U132" s="25" t="str">
        <f aca="false">IF(V132&lt;&gt;"",V132,IF(IFERROR(INDEX(RS_Flag,MATCH(B132,RS_Lane,0)),"")="Yes",IF(IFERROR(INDEX(RS_Loc,MATCH(B132,RS_Lane,0)),"")="","Regional stock",IFERROR(INDEX(RS_Loc,MATCH(B132,RS_Lane,0)),"")),"Helmond"))</f>
        <v>Helmond</v>
      </c>
      <c r="V132" s="17"/>
      <c r="W132" s="38"/>
      <c r="X132" s="39"/>
      <c r="Y132" s="40" t="n">
        <f aca="false">IF(X132&lt;&gt;"",X132,IF(U132="Helmond",IF(COUNTIFS(RC_Lane,B132,RC_Band,E132,RC_CostPS,"&gt;0")=0,"",SUMIFS(RC_CostPS,RC_Lane,B132,RC_Band,E132)*(1-SUMIFS(RC_Disc,RC_Lane,B132,RC_Band,E132))),IF(U132="Other","",IF(INDEX(RS_Rate,MATCH(B132,RS_Lane,0))="","",INDEX(RS_Rate,MATCH(B132,RS_Lane,0))))))</f>
        <v>72.485</v>
      </c>
    </row>
    <row r="133" customFormat="false" ht="15" hidden="false" customHeight="false" outlineLevel="0" collapsed="false">
      <c r="A133" s="3" t="s">
        <v>542</v>
      </c>
      <c r="B133" s="25" t="s">
        <v>119</v>
      </c>
      <c r="C133" s="8" t="s">
        <v>120</v>
      </c>
      <c r="D133" s="8" t="s">
        <v>155</v>
      </c>
      <c r="E133" s="8" t="s">
        <v>178</v>
      </c>
      <c r="F133" s="19" t="n">
        <v>14.9</v>
      </c>
      <c r="G133" s="33" t="n">
        <f aca="false">F133*0.006477</f>
        <v>0.0965073</v>
      </c>
      <c r="H133" s="19" t="n">
        <f aca="false">F133*1.079436</f>
        <v>16.0835964</v>
      </c>
      <c r="I133" s="18" t="n">
        <f aca="false">MAX(1,ROUNDUP(G133/0.096,0))</f>
        <v>2</v>
      </c>
      <c r="J133" s="31" t="n">
        <v>46540</v>
      </c>
      <c r="K133" s="34" t="n">
        <f aca="false">J133-WEEKDAY(J133,2)+1</f>
        <v>46538</v>
      </c>
      <c r="L133" s="31" t="n">
        <f aca="false">J133</f>
        <v>46540</v>
      </c>
      <c r="M133" s="26" t="n">
        <f aca="false">INDEX(LR_Target,MATCH(B133,LR_Lane,0))</f>
        <v>3</v>
      </c>
      <c r="N133" s="31" t="n">
        <f aca="false">WORKDAY.INTL(L133,M133,INDEX(LR_Code,MATCH(B133,LR_Lane,0)),INDEX(DH_Table,0,MATCH(B133&amp;"*",DH_Head,0)))</f>
        <v>46545</v>
      </c>
      <c r="O133" s="35" t="n">
        <f aca="false">IF(W133&lt;&gt;"",W133,IF(U133="Helmond",IF(COUNTIFS(RC_Lane,B133,RC_Band,E133,RC_Transit,"&lt;&gt;")=0,"",SUMIFS(RC_Transit,RC_Lane,B133,RC_Band,E133)),IF(U133="Other","",IF(INDEX(RS_Transit,MATCH(B133,RS_Lane,0))="","",INDEX(RS_Transit,MATCH(B133,RS_Lane,0))))))</f>
        <v>1</v>
      </c>
      <c r="P133" s="36"/>
      <c r="Q133" s="31" t="n">
        <f aca="false">IF(P133&lt;&gt;"",P133,IF(O133="","",WORKDAY.INTL(L133,ROUNDUP(O133,0),INDEX(LR_Code,MATCH(B133,LR_Lane,0)),INDEX(DH_Table,0,MATCH(B133&amp;"*",DH_Head,0)))))</f>
        <v>46541</v>
      </c>
      <c r="R133" s="37" t="str">
        <f aca="false">IF(Q133="","",IF(Q133&lt;=N133,"Yes","No"))</f>
        <v>Yes</v>
      </c>
      <c r="S133" s="26" t="n">
        <f aca="false">IF(Q133="","",IF(Q133&lt;=N133,0,NETWORKDAYS.INTL(N133,Q133,INDEX(LR_Code,MATCH(B133,LR_Lane,0)),INDEX(DH_Table,0,MATCH(B133&amp;"*",DH_Head,0)))-1))</f>
        <v>0</v>
      </c>
      <c r="T133" s="4"/>
      <c r="U133" s="25" t="str">
        <f aca="false">IF(V133&lt;&gt;"",V133,IF(IFERROR(INDEX(RS_Flag,MATCH(B133,RS_Lane,0)),"")="Yes",IF(IFERROR(INDEX(RS_Loc,MATCH(B133,RS_Lane,0)),"")="","Regional stock",IFERROR(INDEX(RS_Loc,MATCH(B133,RS_Lane,0)),"")),"Helmond"))</f>
        <v>Helmond</v>
      </c>
      <c r="V133" s="17"/>
      <c r="W133" s="38"/>
      <c r="X133" s="39"/>
      <c r="Y133" s="40" t="n">
        <f aca="false">IF(X133&lt;&gt;"",X133,IF(U133="Helmond",IF(COUNTIFS(RC_Lane,B133,RC_Band,E133,RC_CostPS,"&gt;0")=0,"",SUMIFS(RC_CostPS,RC_Lane,B133,RC_Band,E133)*(1-SUMIFS(RC_Disc,RC_Lane,B133,RC_Band,E133))),IF(U133="Other","",IF(INDEX(RS_Rate,MATCH(B133,RS_Lane,0))="","",INDEX(RS_Rate,MATCH(B133,RS_Lane,0))))))</f>
        <v>72.485</v>
      </c>
    </row>
    <row r="134" customFormat="false" ht="15" hidden="false" customHeight="false" outlineLevel="0" collapsed="false">
      <c r="A134" s="3" t="s">
        <v>543</v>
      </c>
      <c r="B134" s="25" t="s">
        <v>119</v>
      </c>
      <c r="C134" s="8" t="s">
        <v>120</v>
      </c>
      <c r="D134" s="8" t="s">
        <v>155</v>
      </c>
      <c r="E134" s="8" t="s">
        <v>180</v>
      </c>
      <c r="F134" s="19" t="n">
        <v>42.1</v>
      </c>
      <c r="G134" s="33" t="n">
        <f aca="false">F134*0.006477</f>
        <v>0.2726817</v>
      </c>
      <c r="H134" s="19" t="n">
        <f aca="false">F134*1.079436</f>
        <v>45.4442556</v>
      </c>
      <c r="I134" s="18" t="n">
        <f aca="false">MAX(1,ROUNDUP(G134/0.096,0))</f>
        <v>3</v>
      </c>
      <c r="J134" s="31" t="n">
        <v>46541</v>
      </c>
      <c r="K134" s="34" t="n">
        <f aca="false">J134-WEEKDAY(J134,2)+1</f>
        <v>46538</v>
      </c>
      <c r="L134" s="31" t="n">
        <f aca="false">J134</f>
        <v>46541</v>
      </c>
      <c r="M134" s="26" t="n">
        <f aca="false">INDEX(LR_Target,MATCH(B134,LR_Lane,0))</f>
        <v>3</v>
      </c>
      <c r="N134" s="31" t="n">
        <f aca="false">WORKDAY.INTL(L134,M134,INDEX(LR_Code,MATCH(B134,LR_Lane,0)),INDEX(DH_Table,0,MATCH(B134&amp;"*",DH_Head,0)))</f>
        <v>46546</v>
      </c>
      <c r="O134" s="35" t="n">
        <f aca="false">IF(W134&lt;&gt;"",W134,IF(U134="Helmond",IF(COUNTIFS(RC_Lane,B134,RC_Band,E134,RC_Transit,"&lt;&gt;")=0,"",SUMIFS(RC_Transit,RC_Lane,B134,RC_Band,E134)),IF(U134="Other","",IF(INDEX(RS_Transit,MATCH(B134,RS_Lane,0))="","",INDEX(RS_Transit,MATCH(B134,RS_Lane,0))))))</f>
        <v>2</v>
      </c>
      <c r="P134" s="36"/>
      <c r="Q134" s="31" t="n">
        <f aca="false">IF(P134&lt;&gt;"",P134,IF(O134="","",WORKDAY.INTL(L134,ROUNDUP(O134,0),INDEX(LR_Code,MATCH(B134,LR_Lane,0)),INDEX(DH_Table,0,MATCH(B134&amp;"*",DH_Head,0)))))</f>
        <v>46545</v>
      </c>
      <c r="R134" s="37" t="str">
        <f aca="false">IF(Q134="","",IF(Q134&lt;=N134,"Yes","No"))</f>
        <v>Yes</v>
      </c>
      <c r="S134" s="26" t="n">
        <f aca="false">IF(Q134="","",IF(Q134&lt;=N134,0,NETWORKDAYS.INTL(N134,Q134,INDEX(LR_Code,MATCH(B134,LR_Lane,0)),INDEX(DH_Table,0,MATCH(B134&amp;"*",DH_Head,0)))-1))</f>
        <v>0</v>
      </c>
      <c r="T134" s="4"/>
      <c r="U134" s="25" t="str">
        <f aca="false">IF(V134&lt;&gt;"",V134,IF(IFERROR(INDEX(RS_Flag,MATCH(B134,RS_Lane,0)),"")="Yes",IF(IFERROR(INDEX(RS_Loc,MATCH(B134,RS_Lane,0)),"")="","Regional stock",IFERROR(INDEX(RS_Loc,MATCH(B134,RS_Lane,0)),"")),"Helmond"))</f>
        <v>Helmond</v>
      </c>
      <c r="V134" s="17"/>
      <c r="W134" s="38"/>
      <c r="X134" s="39"/>
      <c r="Y134" s="40" t="n">
        <f aca="false">IF(X134&lt;&gt;"",X134,IF(U134="Helmond",IF(COUNTIFS(RC_Lane,B134,RC_Band,E134,RC_CostPS,"&gt;0")=0,"",SUMIFS(RC_CostPS,RC_Lane,B134,RC_Band,E134)*(1-SUMIFS(RC_Disc,RC_Lane,B134,RC_Band,E134))),IF(U134="Other","",IF(INDEX(RS_Rate,MATCH(B134,RS_Lane,0))="","",INDEX(RS_Rate,MATCH(B134,RS_Lane,0))))))</f>
        <v>303.81456</v>
      </c>
    </row>
    <row r="135" customFormat="false" ht="15" hidden="false" customHeight="false" outlineLevel="0" collapsed="false">
      <c r="A135" s="3" t="s">
        <v>544</v>
      </c>
      <c r="B135" s="25" t="s">
        <v>117</v>
      </c>
      <c r="C135" s="8" t="s">
        <v>118</v>
      </c>
      <c r="D135" s="8" t="s">
        <v>154</v>
      </c>
      <c r="E135" s="8" t="s">
        <v>178</v>
      </c>
      <c r="F135" s="19" t="n">
        <v>10.9</v>
      </c>
      <c r="G135" s="33" t="n">
        <f aca="false">F135*0.006477</f>
        <v>0.0705993</v>
      </c>
      <c r="H135" s="19" t="n">
        <f aca="false">F135*1.079436</f>
        <v>11.7658524</v>
      </c>
      <c r="I135" s="18" t="n">
        <f aca="false">MAX(1,ROUNDUP(G135/0.096,0))</f>
        <v>1</v>
      </c>
      <c r="J135" s="31" t="n">
        <v>46542</v>
      </c>
      <c r="K135" s="34" t="n">
        <f aca="false">J135-WEEKDAY(J135,2)+1</f>
        <v>46538</v>
      </c>
      <c r="L135" s="31" t="n">
        <f aca="false">J135</f>
        <v>46542</v>
      </c>
      <c r="M135" s="26" t="n">
        <f aca="false">INDEX(LR_Target,MATCH(B135,LR_Lane,0))</f>
        <v>2</v>
      </c>
      <c r="N135" s="31" t="n">
        <f aca="false">WORKDAY.INTL(L135,M135,INDEX(LR_Code,MATCH(B135,LR_Lane,0)),INDEX(DH_Table,0,MATCH(B135&amp;"*",DH_Head,0)))</f>
        <v>46545</v>
      </c>
      <c r="O135" s="35" t="n">
        <f aca="false">IF(W135&lt;&gt;"",W135,IF(U135="Helmond",IF(COUNTIFS(RC_Lane,B135,RC_Band,E135,RC_Transit,"&lt;&gt;")=0,"",SUMIFS(RC_Transit,RC_Lane,B135,RC_Band,E135)),IF(U135="Other","",IF(INDEX(RS_Transit,MATCH(B135,RS_Lane,0))="","",INDEX(RS_Transit,MATCH(B135,RS_Lane,0))))))</f>
        <v>1</v>
      </c>
      <c r="P135" s="36"/>
      <c r="Q135" s="31" t="n">
        <f aca="false">IF(P135&lt;&gt;"",P135,IF(O135="","",WORKDAY.INTL(L135,ROUNDUP(O135,0),INDEX(LR_Code,MATCH(B135,LR_Lane,0)),INDEX(DH_Table,0,MATCH(B135&amp;"*",DH_Head,0)))))</f>
        <v>46544</v>
      </c>
      <c r="R135" s="37" t="str">
        <f aca="false">IF(Q135="","",IF(Q135&lt;=N135,"Yes","No"))</f>
        <v>Yes</v>
      </c>
      <c r="S135" s="26" t="n">
        <f aca="false">IF(Q135="","",IF(Q135&lt;=N135,0,NETWORKDAYS.INTL(N135,Q135,INDEX(LR_Code,MATCH(B135,LR_Lane,0)),INDEX(DH_Table,0,MATCH(B135&amp;"*",DH_Head,0)))-1))</f>
        <v>0</v>
      </c>
      <c r="T135" s="4"/>
      <c r="U135" s="25" t="str">
        <f aca="false">IF(V135&lt;&gt;"",V135,IF(IFERROR(INDEX(RS_Flag,MATCH(B135,RS_Lane,0)),"")="Yes",IF(IFERROR(INDEX(RS_Loc,MATCH(B135,RS_Lane,0)),"")="","Regional stock",IFERROR(INDEX(RS_Loc,MATCH(B135,RS_Lane,0)),"")),"Helmond"))</f>
        <v>Helmond</v>
      </c>
      <c r="V135" s="17"/>
      <c r="W135" s="38"/>
      <c r="X135" s="39"/>
      <c r="Y135" s="40" t="n">
        <f aca="false">IF(X135&lt;&gt;"",X135,IF(U135="Helmond",IF(COUNTIFS(RC_Lane,B135,RC_Band,E135,RC_CostPS,"&gt;0")=0,"",SUMIFS(RC_CostPS,RC_Lane,B135,RC_Band,E135)*(1-SUMIFS(RC_Disc,RC_Lane,B135,RC_Band,E135))),IF(U135="Other","",IF(INDEX(RS_Rate,MATCH(B135,RS_Lane,0))="","",INDEX(RS_Rate,MATCH(B135,RS_Lane,0))))))</f>
        <v>72.485</v>
      </c>
    </row>
    <row r="136" customFormat="false" ht="15" hidden="false" customHeight="false" outlineLevel="0" collapsed="false">
      <c r="A136" s="3" t="s">
        <v>545</v>
      </c>
      <c r="B136" s="25" t="s">
        <v>121</v>
      </c>
      <c r="C136" s="8" t="s">
        <v>122</v>
      </c>
      <c r="D136" s="8" t="s">
        <v>287</v>
      </c>
      <c r="E136" s="8" t="s">
        <v>178</v>
      </c>
      <c r="F136" s="19" t="n">
        <v>10.2</v>
      </c>
      <c r="G136" s="33" t="n">
        <f aca="false">F136*0.006477</f>
        <v>0.0660654</v>
      </c>
      <c r="H136" s="19" t="n">
        <f aca="false">F136*1.079436</f>
        <v>11.0102472</v>
      </c>
      <c r="I136" s="18" t="n">
        <f aca="false">MAX(1,ROUNDUP(G136/0.096,0))</f>
        <v>1</v>
      </c>
      <c r="J136" s="31" t="n">
        <v>46545</v>
      </c>
      <c r="K136" s="34" t="n">
        <f aca="false">J136-WEEKDAY(J136,2)+1</f>
        <v>46545</v>
      </c>
      <c r="L136" s="31" t="n">
        <f aca="false">J136</f>
        <v>46545</v>
      </c>
      <c r="M136" s="26" t="n">
        <f aca="false">INDEX(LR_Target,MATCH(B136,LR_Lane,0))</f>
        <v>3</v>
      </c>
      <c r="N136" s="31" t="n">
        <f aca="false">WORKDAY.INTL(L136,M136,INDEX(LR_Code,MATCH(B136,LR_Lane,0)),INDEX(DH_Table,0,MATCH(B136&amp;"*",DH_Head,0)))</f>
        <v>46548</v>
      </c>
      <c r="O136" s="35" t="n">
        <f aca="false">IF(W136&lt;&gt;"",W136,IF(U136="Helmond",IF(COUNTIFS(RC_Lane,B136,RC_Band,E136,RC_Transit,"&lt;&gt;")=0,"",SUMIFS(RC_Transit,RC_Lane,B136,RC_Band,E136)),IF(U136="Other","",IF(INDEX(RS_Transit,MATCH(B136,RS_Lane,0))="","",INDEX(RS_Transit,MATCH(B136,RS_Lane,0))))))</f>
        <v>1</v>
      </c>
      <c r="P136" s="36"/>
      <c r="Q136" s="31" t="n">
        <f aca="false">IF(P136&lt;&gt;"",P136,IF(O136="","",WORKDAY.INTL(L136,ROUNDUP(O136,0),INDEX(LR_Code,MATCH(B136,LR_Lane,0)),INDEX(DH_Table,0,MATCH(B136&amp;"*",DH_Head,0)))))</f>
        <v>46546</v>
      </c>
      <c r="R136" s="37" t="str">
        <f aca="false">IF(Q136="","",IF(Q136&lt;=N136,"Yes","No"))</f>
        <v>Yes</v>
      </c>
      <c r="S136" s="26" t="n">
        <f aca="false">IF(Q136="","",IF(Q136&lt;=N136,0,NETWORKDAYS.INTL(N136,Q136,INDEX(LR_Code,MATCH(B136,LR_Lane,0)),INDEX(DH_Table,0,MATCH(B136&amp;"*",DH_Head,0)))-1))</f>
        <v>0</v>
      </c>
      <c r="T136" s="4"/>
      <c r="U136" s="25" t="str">
        <f aca="false">IF(V136&lt;&gt;"",V136,IF(IFERROR(INDEX(RS_Flag,MATCH(B136,RS_Lane,0)),"")="Yes",IF(IFERROR(INDEX(RS_Loc,MATCH(B136,RS_Lane,0)),"")="","Regional stock",IFERROR(INDEX(RS_Loc,MATCH(B136,RS_Lane,0)),"")),"Helmond"))</f>
        <v>Helmond</v>
      </c>
      <c r="V136" s="17"/>
      <c r="W136" s="38"/>
      <c r="X136" s="39"/>
      <c r="Y136" s="40" t="n">
        <f aca="false">IF(X136&lt;&gt;"",X136,IF(U136="Helmond",IF(COUNTIFS(RC_Lane,B136,RC_Band,E136,RC_CostPS,"&gt;0")=0,"",SUMIFS(RC_CostPS,RC_Lane,B136,RC_Band,E136)*(1-SUMIFS(RC_Disc,RC_Lane,B136,RC_Band,E136))),IF(U136="Other","",IF(INDEX(RS_Rate,MATCH(B136,RS_Lane,0))="","",INDEX(RS_Rate,MATCH(B136,RS_Lane,0))))))</f>
        <v>72.485</v>
      </c>
    </row>
    <row r="137" customFormat="false" ht="15" hidden="false" customHeight="false" outlineLevel="0" collapsed="false">
      <c r="A137" s="3" t="s">
        <v>546</v>
      </c>
      <c r="B137" s="25" t="s">
        <v>108</v>
      </c>
      <c r="C137" s="8" t="s">
        <v>109</v>
      </c>
      <c r="D137" s="8" t="s">
        <v>270</v>
      </c>
      <c r="E137" s="8" t="s">
        <v>183</v>
      </c>
      <c r="F137" s="19" t="n">
        <v>1142.9</v>
      </c>
      <c r="G137" s="33" t="n">
        <f aca="false">F137*0.006477</f>
        <v>7.4025633</v>
      </c>
      <c r="H137" s="19" t="n">
        <f aca="false">F137*1.079436</f>
        <v>1233.6874044</v>
      </c>
      <c r="I137" s="18" t="n">
        <f aca="false">MAX(1,ROUNDUP(G137/0.096,0))</f>
        <v>78</v>
      </c>
      <c r="J137" s="31" t="n">
        <v>46546</v>
      </c>
      <c r="K137" s="34" t="n">
        <f aca="false">J137-WEEKDAY(J137,2)+1</f>
        <v>46545</v>
      </c>
      <c r="L137" s="31" t="n">
        <f aca="false">J137</f>
        <v>46546</v>
      </c>
      <c r="M137" s="26" t="n">
        <f aca="false">INDEX(LR_Target,MATCH(B137,LR_Lane,0))</f>
        <v>2</v>
      </c>
      <c r="N137" s="31" t="n">
        <f aca="false">WORKDAY.INTL(L137,M137,INDEX(LR_Code,MATCH(B137,LR_Lane,0)),INDEX(DH_Table,0,MATCH(B137&amp;"*",DH_Head,0)))</f>
        <v>46548</v>
      </c>
      <c r="O137" s="35" t="n">
        <f aca="false">IF(W137&lt;&gt;"",W137,IF(U137="Helmond",IF(COUNTIFS(RC_Lane,B137,RC_Band,E137,RC_Transit,"&lt;&gt;")=0,"",SUMIFS(RC_Transit,RC_Lane,B137,RC_Band,E137)),IF(U137="Other","",IF(INDEX(RS_Transit,MATCH(B137,RS_Lane,0))="","",INDEX(RS_Transit,MATCH(B137,RS_Lane,0))))))</f>
        <v>4</v>
      </c>
      <c r="P137" s="36"/>
      <c r="Q137" s="31" t="n">
        <f aca="false">IF(P137&lt;&gt;"",P137,IF(O137="","",WORKDAY.INTL(L137,ROUNDUP(O137,0),INDEX(LR_Code,MATCH(B137,LR_Lane,0)),INDEX(DH_Table,0,MATCH(B137&amp;"*",DH_Head,0)))))</f>
        <v>46552</v>
      </c>
      <c r="R137" s="37" t="str">
        <f aca="false">IF(Q137="","",IF(Q137&lt;=N137,"Yes","No"))</f>
        <v>No</v>
      </c>
      <c r="S137" s="26" t="n">
        <f aca="false">IF(Q137="","",IF(Q137&lt;=N137,0,NETWORKDAYS.INTL(N137,Q137,INDEX(LR_Code,MATCH(B137,LR_Lane,0)),INDEX(DH_Table,0,MATCH(B137&amp;"*",DH_Head,0)))-1))</f>
        <v>2</v>
      </c>
      <c r="T137" s="4"/>
      <c r="U137" s="25" t="str">
        <f aca="false">IF(V137&lt;&gt;"",V137,IF(IFERROR(INDEX(RS_Flag,MATCH(B137,RS_Lane,0)),"")="Yes",IF(IFERROR(INDEX(RS_Loc,MATCH(B137,RS_Lane,0)),"")="","Regional stock",IFERROR(INDEX(RS_Loc,MATCH(B137,RS_Lane,0)),"")),"Helmond"))</f>
        <v>Helmond</v>
      </c>
      <c r="V137" s="17"/>
      <c r="W137" s="38"/>
      <c r="X137" s="39"/>
      <c r="Y137" s="40" t="n">
        <f aca="false">IF(X137&lt;&gt;"",X137,IF(U137="Helmond",IF(COUNTIFS(RC_Lane,B137,RC_Band,E137,RC_CostPS,"&gt;0")=0,"",SUMIFS(RC_CostPS,RC_Lane,B137,RC_Band,E137)*(1-SUMIFS(RC_Disc,RC_Lane,B137,RC_Band,E137))),IF(U137="Other","",IF(INDEX(RS_Rate,MATCH(B137,RS_Lane,0))="","",INDEX(RS_Rate,MATCH(B137,RS_Lane,0))))))</f>
        <v>3051.4304</v>
      </c>
    </row>
    <row r="138" customFormat="false" ht="15" hidden="false" customHeight="false" outlineLevel="0" collapsed="false">
      <c r="A138" s="3" t="s">
        <v>547</v>
      </c>
      <c r="B138" s="25" t="s">
        <v>108</v>
      </c>
      <c r="C138" s="8" t="s">
        <v>109</v>
      </c>
      <c r="D138" s="8" t="s">
        <v>270</v>
      </c>
      <c r="E138" s="8" t="s">
        <v>180</v>
      </c>
      <c r="F138" s="19" t="n">
        <v>43.4</v>
      </c>
      <c r="G138" s="33" t="n">
        <f aca="false">F138*0.006477</f>
        <v>0.2811018</v>
      </c>
      <c r="H138" s="19" t="n">
        <f aca="false">F138*1.079436</f>
        <v>46.8475224</v>
      </c>
      <c r="I138" s="18" t="n">
        <f aca="false">MAX(1,ROUNDUP(G138/0.096,0))</f>
        <v>3</v>
      </c>
      <c r="J138" s="31" t="n">
        <v>46547</v>
      </c>
      <c r="K138" s="34" t="n">
        <f aca="false">J138-WEEKDAY(J138,2)+1</f>
        <v>46545</v>
      </c>
      <c r="L138" s="31" t="n">
        <f aca="false">J138</f>
        <v>46547</v>
      </c>
      <c r="M138" s="26" t="n">
        <f aca="false">INDEX(LR_Target,MATCH(B138,LR_Lane,0))</f>
        <v>2</v>
      </c>
      <c r="N138" s="31" t="n">
        <f aca="false">WORKDAY.INTL(L138,M138,INDEX(LR_Code,MATCH(B138,LR_Lane,0)),INDEX(DH_Table,0,MATCH(B138&amp;"*",DH_Head,0)))</f>
        <v>46551</v>
      </c>
      <c r="O138" s="35" t="n">
        <f aca="false">IF(W138&lt;&gt;"",W138,IF(U138="Helmond",IF(COUNTIFS(RC_Lane,B138,RC_Band,E138,RC_Transit,"&lt;&gt;")=0,"",SUMIFS(RC_Transit,RC_Lane,B138,RC_Band,E138)),IF(U138="Other","",IF(INDEX(RS_Transit,MATCH(B138,RS_Lane,0))="","",INDEX(RS_Transit,MATCH(B138,RS_Lane,0))))))</f>
        <v>2</v>
      </c>
      <c r="P138" s="36"/>
      <c r="Q138" s="31" t="n">
        <f aca="false">IF(P138&lt;&gt;"",P138,IF(O138="","",WORKDAY.INTL(L138,ROUNDUP(O138,0),INDEX(LR_Code,MATCH(B138,LR_Lane,0)),INDEX(DH_Table,0,MATCH(B138&amp;"*",DH_Head,0)))))</f>
        <v>46551</v>
      </c>
      <c r="R138" s="37" t="str">
        <f aca="false">IF(Q138="","",IF(Q138&lt;=N138,"Yes","No"))</f>
        <v>Yes</v>
      </c>
      <c r="S138" s="26" t="n">
        <f aca="false">IF(Q138="","",IF(Q138&lt;=N138,0,NETWORKDAYS.INTL(N138,Q138,INDEX(LR_Code,MATCH(B138,LR_Lane,0)),INDEX(DH_Table,0,MATCH(B138&amp;"*",DH_Head,0)))-1))</f>
        <v>0</v>
      </c>
      <c r="T138" s="4"/>
      <c r="U138" s="25" t="str">
        <f aca="false">IF(V138&lt;&gt;"",V138,IF(IFERROR(INDEX(RS_Flag,MATCH(B138,RS_Lane,0)),"")="Yes",IF(IFERROR(INDEX(RS_Loc,MATCH(B138,RS_Lane,0)),"")="","Regional stock",IFERROR(INDEX(RS_Loc,MATCH(B138,RS_Lane,0)),"")),"Helmond"))</f>
        <v>Helmond</v>
      </c>
      <c r="V138" s="17"/>
      <c r="W138" s="38"/>
      <c r="X138" s="39"/>
      <c r="Y138" s="40" t="n">
        <f aca="false">IF(X138&lt;&gt;"",X138,IF(U138="Helmond",IF(COUNTIFS(RC_Lane,B138,RC_Band,E138,RC_CostPS,"&gt;0")=0,"",SUMIFS(RC_CostPS,RC_Lane,B138,RC_Band,E138)*(1-SUMIFS(RC_Disc,RC_Lane,B138,RC_Band,E138))),IF(U138="Other","",IF(INDEX(RS_Rate,MATCH(B138,RS_Lane,0))="","",INDEX(RS_Rate,MATCH(B138,RS_Lane,0))))))</f>
        <v>284.98176</v>
      </c>
    </row>
    <row r="139" customFormat="false" ht="15" hidden="false" customHeight="false" outlineLevel="0" collapsed="false">
      <c r="A139" s="3" t="s">
        <v>548</v>
      </c>
      <c r="B139" s="25" t="s">
        <v>112</v>
      </c>
      <c r="C139" s="8" t="s">
        <v>113</v>
      </c>
      <c r="D139" s="8" t="s">
        <v>152</v>
      </c>
      <c r="E139" s="8" t="s">
        <v>178</v>
      </c>
      <c r="F139" s="19" t="n">
        <v>10.9</v>
      </c>
      <c r="G139" s="33" t="n">
        <f aca="false">F139*0.006477</f>
        <v>0.0705993</v>
      </c>
      <c r="H139" s="19" t="n">
        <f aca="false">F139*1.079436</f>
        <v>11.7658524</v>
      </c>
      <c r="I139" s="18" t="n">
        <f aca="false">MAX(1,ROUNDUP(G139/0.096,0))</f>
        <v>1</v>
      </c>
      <c r="J139" s="31" t="n">
        <v>46547</v>
      </c>
      <c r="K139" s="34" t="n">
        <f aca="false">J139-WEEKDAY(J139,2)+1</f>
        <v>46545</v>
      </c>
      <c r="L139" s="31" t="n">
        <f aca="false">J139</f>
        <v>46547</v>
      </c>
      <c r="M139" s="26" t="n">
        <f aca="false">INDEX(LR_Target,MATCH(B139,LR_Lane,0))</f>
        <v>2</v>
      </c>
      <c r="N139" s="31" t="n">
        <f aca="false">WORKDAY.INTL(L139,M139,INDEX(LR_Code,MATCH(B139,LR_Lane,0)),INDEX(DH_Table,0,MATCH(B139&amp;"*",DH_Head,0)))</f>
        <v>46549</v>
      </c>
      <c r="O139" s="35" t="n">
        <f aca="false">IF(W139&lt;&gt;"",W139,IF(U139="Helmond",IF(COUNTIFS(RC_Lane,B139,RC_Band,E139,RC_Transit,"&lt;&gt;")=0,"",SUMIFS(RC_Transit,RC_Lane,B139,RC_Band,E139)),IF(U139="Other","",IF(INDEX(RS_Transit,MATCH(B139,RS_Lane,0))="","",INDEX(RS_Transit,MATCH(B139,RS_Lane,0))))))</f>
        <v>1</v>
      </c>
      <c r="P139" s="36"/>
      <c r="Q139" s="31" t="n">
        <f aca="false">IF(P139&lt;&gt;"",P139,IF(O139="","",WORKDAY.INTL(L139,ROUNDUP(O139,0),INDEX(LR_Code,MATCH(B139,LR_Lane,0)),INDEX(DH_Table,0,MATCH(B139&amp;"*",DH_Head,0)))))</f>
        <v>46548</v>
      </c>
      <c r="R139" s="37" t="str">
        <f aca="false">IF(Q139="","",IF(Q139&lt;=N139,"Yes","No"))</f>
        <v>Yes</v>
      </c>
      <c r="S139" s="26" t="n">
        <f aca="false">IF(Q139="","",IF(Q139&lt;=N139,0,NETWORKDAYS.INTL(N139,Q139,INDEX(LR_Code,MATCH(B139,LR_Lane,0)),INDEX(DH_Table,0,MATCH(B139&amp;"*",DH_Head,0)))-1))</f>
        <v>0</v>
      </c>
      <c r="T139" s="4"/>
      <c r="U139" s="25" t="str">
        <f aca="false">IF(V139&lt;&gt;"",V139,IF(IFERROR(INDEX(RS_Flag,MATCH(B139,RS_Lane,0)),"")="Yes",IF(IFERROR(INDEX(RS_Loc,MATCH(B139,RS_Lane,0)),"")="","Regional stock",IFERROR(INDEX(RS_Loc,MATCH(B139,RS_Lane,0)),"")),"Helmond"))</f>
        <v>Helmond</v>
      </c>
      <c r="V139" s="17"/>
      <c r="W139" s="38"/>
      <c r="X139" s="39"/>
      <c r="Y139" s="40" t="n">
        <f aca="false">IF(X139&lt;&gt;"",X139,IF(U139="Helmond",IF(COUNTIFS(RC_Lane,B139,RC_Band,E139,RC_CostPS,"&gt;0")=0,"",SUMIFS(RC_CostPS,RC_Lane,B139,RC_Band,E139)*(1-SUMIFS(RC_Disc,RC_Lane,B139,RC_Band,E139))),IF(U139="Other","",IF(INDEX(RS_Rate,MATCH(B139,RS_Lane,0))="","",INDEX(RS_Rate,MATCH(B139,RS_Lane,0))))))</f>
        <v>72.485</v>
      </c>
    </row>
    <row r="140" customFormat="false" ht="15" hidden="false" customHeight="false" outlineLevel="0" collapsed="false">
      <c r="A140" s="3" t="s">
        <v>549</v>
      </c>
      <c r="B140" s="25" t="s">
        <v>126</v>
      </c>
      <c r="C140" s="8" t="s">
        <v>127</v>
      </c>
      <c r="D140" s="8" t="s">
        <v>158</v>
      </c>
      <c r="E140" s="8" t="s">
        <v>178</v>
      </c>
      <c r="F140" s="19" t="n">
        <v>6.2</v>
      </c>
      <c r="G140" s="33" t="n">
        <f aca="false">F140*0.006477</f>
        <v>0.0401574</v>
      </c>
      <c r="H140" s="19" t="n">
        <f aca="false">F140*1.079436</f>
        <v>6.6925032</v>
      </c>
      <c r="I140" s="18" t="n">
        <f aca="false">MAX(1,ROUNDUP(G140/0.096,0))</f>
        <v>1</v>
      </c>
      <c r="J140" s="31" t="n">
        <v>46547</v>
      </c>
      <c r="K140" s="34" t="n">
        <f aca="false">J140-WEEKDAY(J140,2)+1</f>
        <v>46545</v>
      </c>
      <c r="L140" s="31" t="n">
        <f aca="false">J140</f>
        <v>46547</v>
      </c>
      <c r="M140" s="26" t="n">
        <f aca="false">INDEX(LR_Target,MATCH(B140,LR_Lane,0))</f>
        <v>4</v>
      </c>
      <c r="N140" s="31" t="n">
        <f aca="false">WORKDAY.INTL(L140,M140,INDEX(LR_Code,MATCH(B140,LR_Lane,0)),INDEX(DH_Table,0,MATCH(B140&amp;"*",DH_Head,0)))</f>
        <v>46553</v>
      </c>
      <c r="O140" s="35" t="n">
        <f aca="false">IF(W140&lt;&gt;"",W140,IF(U140="Helmond",IF(COUNTIFS(RC_Lane,B140,RC_Band,E140,RC_Transit,"&lt;&gt;")=0,"",SUMIFS(RC_Transit,RC_Lane,B140,RC_Band,E140)),IF(U140="Other","",IF(INDEX(RS_Transit,MATCH(B140,RS_Lane,0))="","",INDEX(RS_Transit,MATCH(B140,RS_Lane,0))))))</f>
        <v>1</v>
      </c>
      <c r="P140" s="36"/>
      <c r="Q140" s="31" t="n">
        <f aca="false">IF(P140&lt;&gt;"",P140,IF(O140="","",WORKDAY.INTL(L140,ROUNDUP(O140,0),INDEX(LR_Code,MATCH(B140,LR_Lane,0)),INDEX(DH_Table,0,MATCH(B140&amp;"*",DH_Head,0)))))</f>
        <v>46548</v>
      </c>
      <c r="R140" s="37" t="str">
        <f aca="false">IF(Q140="","",IF(Q140&lt;=N140,"Yes","No"))</f>
        <v>Yes</v>
      </c>
      <c r="S140" s="26" t="n">
        <f aca="false">IF(Q140="","",IF(Q140&lt;=N140,0,NETWORKDAYS.INTL(N140,Q140,INDEX(LR_Code,MATCH(B140,LR_Lane,0)),INDEX(DH_Table,0,MATCH(B140&amp;"*",DH_Head,0)))-1))</f>
        <v>0</v>
      </c>
      <c r="T140" s="4"/>
      <c r="U140" s="25" t="str">
        <f aca="false">IF(V140&lt;&gt;"",V140,IF(IFERROR(INDEX(RS_Flag,MATCH(B140,RS_Lane,0)),"")="Yes",IF(IFERROR(INDEX(RS_Loc,MATCH(B140,RS_Lane,0)),"")="","Regional stock",IFERROR(INDEX(RS_Loc,MATCH(B140,RS_Lane,0)),"")),"Helmond"))</f>
        <v>Helmond</v>
      </c>
      <c r="V140" s="17"/>
      <c r="W140" s="38"/>
      <c r="X140" s="39"/>
      <c r="Y140" s="40" t="n">
        <f aca="false">IF(X140&lt;&gt;"",X140,IF(U140="Helmond",IF(COUNTIFS(RC_Lane,B140,RC_Band,E140,RC_CostPS,"&gt;0")=0,"",SUMIFS(RC_CostPS,RC_Lane,B140,RC_Band,E140)*(1-SUMIFS(RC_Disc,RC_Lane,B140,RC_Band,E140))),IF(U140="Other","",IF(INDEX(RS_Rate,MATCH(B140,RS_Lane,0))="","",INDEX(RS_Rate,MATCH(B140,RS_Lane,0))))))</f>
        <v>72.485</v>
      </c>
    </row>
    <row r="141" customFormat="false" ht="15" hidden="false" customHeight="false" outlineLevel="0" collapsed="false">
      <c r="A141" s="3" t="s">
        <v>550</v>
      </c>
      <c r="B141" s="25" t="s">
        <v>112</v>
      </c>
      <c r="C141" s="8" t="s">
        <v>113</v>
      </c>
      <c r="D141" s="8" t="s">
        <v>152</v>
      </c>
      <c r="E141" s="8" t="s">
        <v>178</v>
      </c>
      <c r="F141" s="19" t="n">
        <v>10.5</v>
      </c>
      <c r="G141" s="33" t="n">
        <f aca="false">F141*0.006477</f>
        <v>0.0680085</v>
      </c>
      <c r="H141" s="19" t="n">
        <f aca="false">F141*1.079436</f>
        <v>11.334078</v>
      </c>
      <c r="I141" s="18" t="n">
        <f aca="false">MAX(1,ROUNDUP(G141/0.096,0))</f>
        <v>1</v>
      </c>
      <c r="J141" s="31" t="n">
        <v>46548</v>
      </c>
      <c r="K141" s="34" t="n">
        <f aca="false">J141-WEEKDAY(J141,2)+1</f>
        <v>46545</v>
      </c>
      <c r="L141" s="31" t="n">
        <f aca="false">J141</f>
        <v>46548</v>
      </c>
      <c r="M141" s="26" t="n">
        <f aca="false">INDEX(LR_Target,MATCH(B141,LR_Lane,0))</f>
        <v>2</v>
      </c>
      <c r="N141" s="31" t="n">
        <f aca="false">WORKDAY.INTL(L141,M141,INDEX(LR_Code,MATCH(B141,LR_Lane,0)),INDEX(DH_Table,0,MATCH(B141&amp;"*",DH_Head,0)))</f>
        <v>46552</v>
      </c>
      <c r="O141" s="35" t="n">
        <f aca="false">IF(W141&lt;&gt;"",W141,IF(U141="Helmond",IF(COUNTIFS(RC_Lane,B141,RC_Band,E141,RC_Transit,"&lt;&gt;")=0,"",SUMIFS(RC_Transit,RC_Lane,B141,RC_Band,E141)),IF(U141="Other","",IF(INDEX(RS_Transit,MATCH(B141,RS_Lane,0))="","",INDEX(RS_Transit,MATCH(B141,RS_Lane,0))))))</f>
        <v>1</v>
      </c>
      <c r="P141" s="36"/>
      <c r="Q141" s="31" t="n">
        <f aca="false">IF(P141&lt;&gt;"",P141,IF(O141="","",WORKDAY.INTL(L141,ROUNDUP(O141,0),INDEX(LR_Code,MATCH(B141,LR_Lane,0)),INDEX(DH_Table,0,MATCH(B141&amp;"*",DH_Head,0)))))</f>
        <v>46549</v>
      </c>
      <c r="R141" s="37" t="str">
        <f aca="false">IF(Q141="","",IF(Q141&lt;=N141,"Yes","No"))</f>
        <v>Yes</v>
      </c>
      <c r="S141" s="26" t="n">
        <f aca="false">IF(Q141="","",IF(Q141&lt;=N141,0,NETWORKDAYS.INTL(N141,Q141,INDEX(LR_Code,MATCH(B141,LR_Lane,0)),INDEX(DH_Table,0,MATCH(B141&amp;"*",DH_Head,0)))-1))</f>
        <v>0</v>
      </c>
      <c r="T141" s="4"/>
      <c r="U141" s="25" t="str">
        <f aca="false">IF(V141&lt;&gt;"",V141,IF(IFERROR(INDEX(RS_Flag,MATCH(B141,RS_Lane,0)),"")="Yes",IF(IFERROR(INDEX(RS_Loc,MATCH(B141,RS_Lane,0)),"")="","Regional stock",IFERROR(INDEX(RS_Loc,MATCH(B141,RS_Lane,0)),"")),"Helmond"))</f>
        <v>Helmond</v>
      </c>
      <c r="V141" s="17"/>
      <c r="W141" s="38"/>
      <c r="X141" s="39"/>
      <c r="Y141" s="40" t="n">
        <f aca="false">IF(X141&lt;&gt;"",X141,IF(U141="Helmond",IF(COUNTIFS(RC_Lane,B141,RC_Band,E141,RC_CostPS,"&gt;0")=0,"",SUMIFS(RC_CostPS,RC_Lane,B141,RC_Band,E141)*(1-SUMIFS(RC_Disc,RC_Lane,B141,RC_Band,E141))),IF(U141="Other","",IF(INDEX(RS_Rate,MATCH(B141,RS_Lane,0))="","",INDEX(RS_Rate,MATCH(B141,RS_Lane,0))))))</f>
        <v>72.485</v>
      </c>
    </row>
    <row r="142" customFormat="false" ht="15" hidden="false" customHeight="false" outlineLevel="0" collapsed="false">
      <c r="A142" s="3" t="s">
        <v>551</v>
      </c>
      <c r="B142" s="25" t="s">
        <v>108</v>
      </c>
      <c r="C142" s="8" t="s">
        <v>109</v>
      </c>
      <c r="D142" s="8" t="s">
        <v>270</v>
      </c>
      <c r="E142" s="8" t="s">
        <v>178</v>
      </c>
      <c r="F142" s="19" t="n">
        <v>4.9</v>
      </c>
      <c r="G142" s="33" t="n">
        <f aca="false">F142*0.006477</f>
        <v>0.0317373</v>
      </c>
      <c r="H142" s="19" t="n">
        <f aca="false">F142*1.079436</f>
        <v>5.2892364</v>
      </c>
      <c r="I142" s="18" t="n">
        <f aca="false">MAX(1,ROUNDUP(G142/0.096,0))</f>
        <v>1</v>
      </c>
      <c r="J142" s="31" t="n">
        <v>46549</v>
      </c>
      <c r="K142" s="34" t="n">
        <f aca="false">J142-WEEKDAY(J142,2)+1</f>
        <v>46545</v>
      </c>
      <c r="L142" s="31" t="n">
        <f aca="false">J142</f>
        <v>46549</v>
      </c>
      <c r="M142" s="26" t="n">
        <f aca="false">INDEX(LR_Target,MATCH(B142,LR_Lane,0))</f>
        <v>2</v>
      </c>
      <c r="N142" s="31" t="n">
        <f aca="false">WORKDAY.INTL(L142,M142,INDEX(LR_Code,MATCH(B142,LR_Lane,0)),INDEX(DH_Table,0,MATCH(B142&amp;"*",DH_Head,0)))</f>
        <v>46552</v>
      </c>
      <c r="O142" s="35" t="n">
        <f aca="false">IF(W142&lt;&gt;"",W142,IF(U142="Helmond",IF(COUNTIFS(RC_Lane,B142,RC_Band,E142,RC_Transit,"&lt;&gt;")=0,"",SUMIFS(RC_Transit,RC_Lane,B142,RC_Band,E142)),IF(U142="Other","",IF(INDEX(RS_Transit,MATCH(B142,RS_Lane,0))="","",INDEX(RS_Transit,MATCH(B142,RS_Lane,0))))))</f>
        <v>1</v>
      </c>
      <c r="P142" s="36"/>
      <c r="Q142" s="31" t="n">
        <f aca="false">IF(P142&lt;&gt;"",P142,IF(O142="","",WORKDAY.INTL(L142,ROUNDUP(O142,0),INDEX(LR_Code,MATCH(B142,LR_Lane,0)),INDEX(DH_Table,0,MATCH(B142&amp;"*",DH_Head,0)))))</f>
        <v>46551</v>
      </c>
      <c r="R142" s="37" t="str">
        <f aca="false">IF(Q142="","",IF(Q142&lt;=N142,"Yes","No"))</f>
        <v>Yes</v>
      </c>
      <c r="S142" s="26" t="n">
        <f aca="false">IF(Q142="","",IF(Q142&lt;=N142,0,NETWORKDAYS.INTL(N142,Q142,INDEX(LR_Code,MATCH(B142,LR_Lane,0)),INDEX(DH_Table,0,MATCH(B142&amp;"*",DH_Head,0)))-1))</f>
        <v>0</v>
      </c>
      <c r="T142" s="4"/>
      <c r="U142" s="25" t="str">
        <f aca="false">IF(V142&lt;&gt;"",V142,IF(IFERROR(INDEX(RS_Flag,MATCH(B142,RS_Lane,0)),"")="Yes",IF(IFERROR(INDEX(RS_Loc,MATCH(B142,RS_Lane,0)),"")="","Regional stock",IFERROR(INDEX(RS_Loc,MATCH(B142,RS_Lane,0)),"")),"Helmond"))</f>
        <v>Helmond</v>
      </c>
      <c r="V142" s="17"/>
      <c r="W142" s="38"/>
      <c r="X142" s="39"/>
      <c r="Y142" s="40" t="n">
        <f aca="false">IF(X142&lt;&gt;"",X142,IF(U142="Helmond",IF(COUNTIFS(RC_Lane,B142,RC_Band,E142,RC_CostPS,"&gt;0")=0,"",SUMIFS(RC_CostPS,RC_Lane,B142,RC_Band,E142)*(1-SUMIFS(RC_Disc,RC_Lane,B142,RC_Band,E142))),IF(U142="Other","",IF(INDEX(RS_Rate,MATCH(B142,RS_Lane,0))="","",INDEX(RS_Rate,MATCH(B142,RS_Lane,0))))))</f>
        <v>72.485</v>
      </c>
    </row>
    <row r="143" customFormat="false" ht="15" hidden="false" customHeight="false" outlineLevel="0" collapsed="false">
      <c r="A143" s="3" t="s">
        <v>552</v>
      </c>
      <c r="B143" s="25" t="s">
        <v>112</v>
      </c>
      <c r="C143" s="8" t="s">
        <v>113</v>
      </c>
      <c r="D143" s="8" t="s">
        <v>152</v>
      </c>
      <c r="E143" s="8" t="s">
        <v>178</v>
      </c>
      <c r="F143" s="19" t="n">
        <v>6.6</v>
      </c>
      <c r="G143" s="33" t="n">
        <f aca="false">F143*0.006477</f>
        <v>0.0427482</v>
      </c>
      <c r="H143" s="19" t="n">
        <f aca="false">F143*1.079436</f>
        <v>7.1242776</v>
      </c>
      <c r="I143" s="18" t="n">
        <f aca="false">MAX(1,ROUNDUP(G143/0.096,0))</f>
        <v>1</v>
      </c>
      <c r="J143" s="31" t="n">
        <v>46549</v>
      </c>
      <c r="K143" s="34" t="n">
        <f aca="false">J143-WEEKDAY(J143,2)+1</f>
        <v>46545</v>
      </c>
      <c r="L143" s="31" t="n">
        <f aca="false">J143</f>
        <v>46549</v>
      </c>
      <c r="M143" s="26" t="n">
        <f aca="false">INDEX(LR_Target,MATCH(B143,LR_Lane,0))</f>
        <v>2</v>
      </c>
      <c r="N143" s="31" t="n">
        <f aca="false">WORKDAY.INTL(L143,M143,INDEX(LR_Code,MATCH(B143,LR_Lane,0)),INDEX(DH_Table,0,MATCH(B143&amp;"*",DH_Head,0)))</f>
        <v>46553</v>
      </c>
      <c r="O143" s="35" t="n">
        <f aca="false">IF(W143&lt;&gt;"",W143,IF(U143="Helmond",IF(COUNTIFS(RC_Lane,B143,RC_Band,E143,RC_Transit,"&lt;&gt;")=0,"",SUMIFS(RC_Transit,RC_Lane,B143,RC_Band,E143)),IF(U143="Other","",IF(INDEX(RS_Transit,MATCH(B143,RS_Lane,0))="","",INDEX(RS_Transit,MATCH(B143,RS_Lane,0))))))</f>
        <v>1</v>
      </c>
      <c r="P143" s="36"/>
      <c r="Q143" s="31" t="n">
        <f aca="false">IF(P143&lt;&gt;"",P143,IF(O143="","",WORKDAY.INTL(L143,ROUNDUP(O143,0),INDEX(LR_Code,MATCH(B143,LR_Lane,0)),INDEX(DH_Table,0,MATCH(B143&amp;"*",DH_Head,0)))))</f>
        <v>46552</v>
      </c>
      <c r="R143" s="37" t="str">
        <f aca="false">IF(Q143="","",IF(Q143&lt;=N143,"Yes","No"))</f>
        <v>Yes</v>
      </c>
      <c r="S143" s="26" t="n">
        <f aca="false">IF(Q143="","",IF(Q143&lt;=N143,0,NETWORKDAYS.INTL(N143,Q143,INDEX(LR_Code,MATCH(B143,LR_Lane,0)),INDEX(DH_Table,0,MATCH(B143&amp;"*",DH_Head,0)))-1))</f>
        <v>0</v>
      </c>
      <c r="T143" s="4"/>
      <c r="U143" s="25" t="str">
        <f aca="false">IF(V143&lt;&gt;"",V143,IF(IFERROR(INDEX(RS_Flag,MATCH(B143,RS_Lane,0)),"")="Yes",IF(IFERROR(INDEX(RS_Loc,MATCH(B143,RS_Lane,0)),"")="","Regional stock",IFERROR(INDEX(RS_Loc,MATCH(B143,RS_Lane,0)),"")),"Helmond"))</f>
        <v>Helmond</v>
      </c>
      <c r="V143" s="17"/>
      <c r="W143" s="38"/>
      <c r="X143" s="39"/>
      <c r="Y143" s="40" t="n">
        <f aca="false">IF(X143&lt;&gt;"",X143,IF(U143="Helmond",IF(COUNTIFS(RC_Lane,B143,RC_Band,E143,RC_CostPS,"&gt;0")=0,"",SUMIFS(RC_CostPS,RC_Lane,B143,RC_Band,E143)*(1-SUMIFS(RC_Disc,RC_Lane,B143,RC_Band,E143))),IF(U143="Other","",IF(INDEX(RS_Rate,MATCH(B143,RS_Lane,0))="","",INDEX(RS_Rate,MATCH(B143,RS_Lane,0))))))</f>
        <v>72.485</v>
      </c>
    </row>
    <row r="144" customFormat="false" ht="15" hidden="false" customHeight="false" outlineLevel="0" collapsed="false">
      <c r="A144" s="3" t="s">
        <v>553</v>
      </c>
      <c r="B144" s="25" t="s">
        <v>112</v>
      </c>
      <c r="C144" s="8" t="s">
        <v>113</v>
      </c>
      <c r="D144" s="8" t="s">
        <v>152</v>
      </c>
      <c r="E144" s="8" t="s">
        <v>178</v>
      </c>
      <c r="F144" s="19" t="n">
        <v>3.1</v>
      </c>
      <c r="G144" s="33" t="n">
        <f aca="false">F144*0.006477</f>
        <v>0.0200787</v>
      </c>
      <c r="H144" s="19" t="n">
        <f aca="false">F144*1.079436</f>
        <v>3.3462516</v>
      </c>
      <c r="I144" s="18" t="n">
        <f aca="false">MAX(1,ROUNDUP(G144/0.096,0))</f>
        <v>1</v>
      </c>
      <c r="J144" s="31" t="n">
        <v>46549</v>
      </c>
      <c r="K144" s="34" t="n">
        <f aca="false">J144-WEEKDAY(J144,2)+1</f>
        <v>46545</v>
      </c>
      <c r="L144" s="31" t="n">
        <f aca="false">J144</f>
        <v>46549</v>
      </c>
      <c r="M144" s="26" t="n">
        <f aca="false">INDEX(LR_Target,MATCH(B144,LR_Lane,0))</f>
        <v>2</v>
      </c>
      <c r="N144" s="31" t="n">
        <f aca="false">WORKDAY.INTL(L144,M144,INDEX(LR_Code,MATCH(B144,LR_Lane,0)),INDEX(DH_Table,0,MATCH(B144&amp;"*",DH_Head,0)))</f>
        <v>46553</v>
      </c>
      <c r="O144" s="35" t="n">
        <f aca="false">IF(W144&lt;&gt;"",W144,IF(U144="Helmond",IF(COUNTIFS(RC_Lane,B144,RC_Band,E144,RC_Transit,"&lt;&gt;")=0,"",SUMIFS(RC_Transit,RC_Lane,B144,RC_Band,E144)),IF(U144="Other","",IF(INDEX(RS_Transit,MATCH(B144,RS_Lane,0))="","",INDEX(RS_Transit,MATCH(B144,RS_Lane,0))))))</f>
        <v>1</v>
      </c>
      <c r="P144" s="36"/>
      <c r="Q144" s="31" t="n">
        <f aca="false">IF(P144&lt;&gt;"",P144,IF(O144="","",WORKDAY.INTL(L144,ROUNDUP(O144,0),INDEX(LR_Code,MATCH(B144,LR_Lane,0)),INDEX(DH_Table,0,MATCH(B144&amp;"*",DH_Head,0)))))</f>
        <v>46552</v>
      </c>
      <c r="R144" s="37" t="str">
        <f aca="false">IF(Q144="","",IF(Q144&lt;=N144,"Yes","No"))</f>
        <v>Yes</v>
      </c>
      <c r="S144" s="26" t="n">
        <f aca="false">IF(Q144="","",IF(Q144&lt;=N144,0,NETWORKDAYS.INTL(N144,Q144,INDEX(LR_Code,MATCH(B144,LR_Lane,0)),INDEX(DH_Table,0,MATCH(B144&amp;"*",DH_Head,0)))-1))</f>
        <v>0</v>
      </c>
      <c r="T144" s="4"/>
      <c r="U144" s="25" t="str">
        <f aca="false">IF(V144&lt;&gt;"",V144,IF(IFERROR(INDEX(RS_Flag,MATCH(B144,RS_Lane,0)),"")="Yes",IF(IFERROR(INDEX(RS_Loc,MATCH(B144,RS_Lane,0)),"")="","Regional stock",IFERROR(INDEX(RS_Loc,MATCH(B144,RS_Lane,0)),"")),"Helmond"))</f>
        <v>Helmond</v>
      </c>
      <c r="V144" s="17"/>
      <c r="W144" s="38"/>
      <c r="X144" s="39"/>
      <c r="Y144" s="40" t="n">
        <f aca="false">IF(X144&lt;&gt;"",X144,IF(U144="Helmond",IF(COUNTIFS(RC_Lane,B144,RC_Band,E144,RC_CostPS,"&gt;0")=0,"",SUMIFS(RC_CostPS,RC_Lane,B144,RC_Band,E144)*(1-SUMIFS(RC_Disc,RC_Lane,B144,RC_Band,E144))),IF(U144="Other","",IF(INDEX(RS_Rate,MATCH(B144,RS_Lane,0))="","",INDEX(RS_Rate,MATCH(B144,RS_Lane,0))))))</f>
        <v>72.485</v>
      </c>
    </row>
    <row r="145" customFormat="false" ht="15" hidden="false" customHeight="false" outlineLevel="0" collapsed="false">
      <c r="A145" s="3" t="s">
        <v>554</v>
      </c>
      <c r="B145" s="25" t="s">
        <v>108</v>
      </c>
      <c r="C145" s="8" t="s">
        <v>109</v>
      </c>
      <c r="D145" s="8" t="s">
        <v>270</v>
      </c>
      <c r="E145" s="8" t="s">
        <v>183</v>
      </c>
      <c r="F145" s="19" t="n">
        <v>688.5</v>
      </c>
      <c r="G145" s="33" t="n">
        <f aca="false">F145*0.006477</f>
        <v>4.4594145</v>
      </c>
      <c r="H145" s="19" t="n">
        <f aca="false">F145*1.079436</f>
        <v>743.191686</v>
      </c>
      <c r="I145" s="18" t="n">
        <f aca="false">MAX(1,ROUNDUP(G145/0.096,0))</f>
        <v>47</v>
      </c>
      <c r="J145" s="31" t="n">
        <v>46555</v>
      </c>
      <c r="K145" s="34" t="n">
        <f aca="false">J145-WEEKDAY(J145,2)+1</f>
        <v>46552</v>
      </c>
      <c r="L145" s="31" t="n">
        <f aca="false">J145</f>
        <v>46555</v>
      </c>
      <c r="M145" s="26" t="n">
        <f aca="false">INDEX(LR_Target,MATCH(B145,LR_Lane,0))</f>
        <v>2</v>
      </c>
      <c r="N145" s="31" t="n">
        <f aca="false">WORKDAY.INTL(L145,M145,INDEX(LR_Code,MATCH(B145,LR_Lane,0)),INDEX(DH_Table,0,MATCH(B145&amp;"*",DH_Head,0)))</f>
        <v>46559</v>
      </c>
      <c r="O145" s="35" t="n">
        <f aca="false">IF(W145&lt;&gt;"",W145,IF(U145="Helmond",IF(COUNTIFS(RC_Lane,B145,RC_Band,E145,RC_Transit,"&lt;&gt;")=0,"",SUMIFS(RC_Transit,RC_Lane,B145,RC_Band,E145)),IF(U145="Other","",IF(INDEX(RS_Transit,MATCH(B145,RS_Lane,0))="","",INDEX(RS_Transit,MATCH(B145,RS_Lane,0))))))</f>
        <v>4</v>
      </c>
      <c r="P145" s="36"/>
      <c r="Q145" s="31" t="n">
        <f aca="false">IF(P145&lt;&gt;"",P145,IF(O145="","",WORKDAY.INTL(L145,ROUNDUP(O145,0),INDEX(LR_Code,MATCH(B145,LR_Lane,0)),INDEX(DH_Table,0,MATCH(B145&amp;"*",DH_Head,0)))))</f>
        <v>46561</v>
      </c>
      <c r="R145" s="37" t="str">
        <f aca="false">IF(Q145="","",IF(Q145&lt;=N145,"Yes","No"))</f>
        <v>No</v>
      </c>
      <c r="S145" s="26" t="n">
        <f aca="false">IF(Q145="","",IF(Q145&lt;=N145,0,NETWORKDAYS.INTL(N145,Q145,INDEX(LR_Code,MATCH(B145,LR_Lane,0)),INDEX(DH_Table,0,MATCH(B145&amp;"*",DH_Head,0)))-1))</f>
        <v>2</v>
      </c>
      <c r="T145" s="4"/>
      <c r="U145" s="25" t="str">
        <f aca="false">IF(V145&lt;&gt;"",V145,IF(IFERROR(INDEX(RS_Flag,MATCH(B145,RS_Lane,0)),"")="Yes",IF(IFERROR(INDEX(RS_Loc,MATCH(B145,RS_Lane,0)),"")="","Regional stock",IFERROR(INDEX(RS_Loc,MATCH(B145,RS_Lane,0)),"")),"Helmond"))</f>
        <v>Helmond</v>
      </c>
      <c r="V145" s="17"/>
      <c r="W145" s="38"/>
      <c r="X145" s="39"/>
      <c r="Y145" s="40" t="n">
        <f aca="false">IF(X145&lt;&gt;"",X145,IF(U145="Helmond",IF(COUNTIFS(RC_Lane,B145,RC_Band,E145,RC_CostPS,"&gt;0")=0,"",SUMIFS(RC_CostPS,RC_Lane,B145,RC_Band,E145)*(1-SUMIFS(RC_Disc,RC_Lane,B145,RC_Band,E145))),IF(U145="Other","",IF(INDEX(RS_Rate,MATCH(B145,RS_Lane,0))="","",INDEX(RS_Rate,MATCH(B145,RS_Lane,0))))))</f>
        <v>3051.4304</v>
      </c>
    </row>
    <row r="146" customFormat="false" ht="15" hidden="false" customHeight="false" outlineLevel="0" collapsed="false">
      <c r="A146" s="3" t="s">
        <v>555</v>
      </c>
      <c r="B146" s="25" t="s">
        <v>108</v>
      </c>
      <c r="C146" s="8" t="s">
        <v>109</v>
      </c>
      <c r="D146" s="8" t="s">
        <v>270</v>
      </c>
      <c r="E146" s="8" t="s">
        <v>178</v>
      </c>
      <c r="F146" s="19" t="n">
        <v>9</v>
      </c>
      <c r="G146" s="33" t="n">
        <f aca="false">F146*0.006477</f>
        <v>0.058293</v>
      </c>
      <c r="H146" s="19" t="n">
        <f aca="false">F146*1.079436</f>
        <v>9.714924</v>
      </c>
      <c r="I146" s="18" t="n">
        <f aca="false">MAX(1,ROUNDUP(G146/0.096,0))</f>
        <v>1</v>
      </c>
      <c r="J146" s="31" t="n">
        <v>46555</v>
      </c>
      <c r="K146" s="34" t="n">
        <f aca="false">J146-WEEKDAY(J146,2)+1</f>
        <v>46552</v>
      </c>
      <c r="L146" s="31" t="n">
        <f aca="false">J146</f>
        <v>46555</v>
      </c>
      <c r="M146" s="26" t="n">
        <f aca="false">INDEX(LR_Target,MATCH(B146,LR_Lane,0))</f>
        <v>2</v>
      </c>
      <c r="N146" s="31" t="n">
        <f aca="false">WORKDAY.INTL(L146,M146,INDEX(LR_Code,MATCH(B146,LR_Lane,0)),INDEX(DH_Table,0,MATCH(B146&amp;"*",DH_Head,0)))</f>
        <v>46559</v>
      </c>
      <c r="O146" s="35" t="n">
        <f aca="false">IF(W146&lt;&gt;"",W146,IF(U146="Helmond",IF(COUNTIFS(RC_Lane,B146,RC_Band,E146,RC_Transit,"&lt;&gt;")=0,"",SUMIFS(RC_Transit,RC_Lane,B146,RC_Band,E146)),IF(U146="Other","",IF(INDEX(RS_Transit,MATCH(B146,RS_Lane,0))="","",INDEX(RS_Transit,MATCH(B146,RS_Lane,0))))))</f>
        <v>1</v>
      </c>
      <c r="P146" s="36"/>
      <c r="Q146" s="31" t="n">
        <f aca="false">IF(P146&lt;&gt;"",P146,IF(O146="","",WORKDAY.INTL(L146,ROUNDUP(O146,0),INDEX(LR_Code,MATCH(B146,LR_Lane,0)),INDEX(DH_Table,0,MATCH(B146&amp;"*",DH_Head,0)))))</f>
        <v>46558</v>
      </c>
      <c r="R146" s="37" t="str">
        <f aca="false">IF(Q146="","",IF(Q146&lt;=N146,"Yes","No"))</f>
        <v>Yes</v>
      </c>
      <c r="S146" s="26" t="n">
        <f aca="false">IF(Q146="","",IF(Q146&lt;=N146,0,NETWORKDAYS.INTL(N146,Q146,INDEX(LR_Code,MATCH(B146,LR_Lane,0)),INDEX(DH_Table,0,MATCH(B146&amp;"*",DH_Head,0)))-1))</f>
        <v>0</v>
      </c>
      <c r="T146" s="4"/>
      <c r="U146" s="25" t="str">
        <f aca="false">IF(V146&lt;&gt;"",V146,IF(IFERROR(INDEX(RS_Flag,MATCH(B146,RS_Lane,0)),"")="Yes",IF(IFERROR(INDEX(RS_Loc,MATCH(B146,RS_Lane,0)),"")="","Regional stock",IFERROR(INDEX(RS_Loc,MATCH(B146,RS_Lane,0)),"")),"Helmond"))</f>
        <v>Helmond</v>
      </c>
      <c r="V146" s="17"/>
      <c r="W146" s="38"/>
      <c r="X146" s="39"/>
      <c r="Y146" s="40" t="n">
        <f aca="false">IF(X146&lt;&gt;"",X146,IF(U146="Helmond",IF(COUNTIFS(RC_Lane,B146,RC_Band,E146,RC_CostPS,"&gt;0")=0,"",SUMIFS(RC_CostPS,RC_Lane,B146,RC_Band,E146)*(1-SUMIFS(RC_Disc,RC_Lane,B146,RC_Band,E146))),IF(U146="Other","",IF(INDEX(RS_Rate,MATCH(B146,RS_Lane,0))="","",INDEX(RS_Rate,MATCH(B146,RS_Lane,0))))))</f>
        <v>72.485</v>
      </c>
    </row>
    <row r="147" customFormat="false" ht="15" hidden="false" customHeight="false" outlineLevel="0" collapsed="false">
      <c r="A147" s="3" t="s">
        <v>556</v>
      </c>
      <c r="B147" s="25" t="s">
        <v>108</v>
      </c>
      <c r="C147" s="8" t="s">
        <v>109</v>
      </c>
      <c r="D147" s="8" t="s">
        <v>270</v>
      </c>
      <c r="E147" s="8" t="s">
        <v>178</v>
      </c>
      <c r="F147" s="19" t="n">
        <v>4.7</v>
      </c>
      <c r="G147" s="33" t="n">
        <f aca="false">F147*0.006477</f>
        <v>0.0304419</v>
      </c>
      <c r="H147" s="19" t="n">
        <f aca="false">F147*1.079436</f>
        <v>5.0733492</v>
      </c>
      <c r="I147" s="18" t="n">
        <f aca="false">MAX(1,ROUNDUP(G147/0.096,0))</f>
        <v>1</v>
      </c>
      <c r="J147" s="31" t="n">
        <v>46556</v>
      </c>
      <c r="K147" s="34" t="n">
        <f aca="false">J147-WEEKDAY(J147,2)+1</f>
        <v>46552</v>
      </c>
      <c r="L147" s="31" t="n">
        <f aca="false">J147</f>
        <v>46556</v>
      </c>
      <c r="M147" s="26" t="n">
        <f aca="false">INDEX(LR_Target,MATCH(B147,LR_Lane,0))</f>
        <v>2</v>
      </c>
      <c r="N147" s="31" t="n">
        <f aca="false">WORKDAY.INTL(L147,M147,INDEX(LR_Code,MATCH(B147,LR_Lane,0)),INDEX(DH_Table,0,MATCH(B147&amp;"*",DH_Head,0)))</f>
        <v>46559</v>
      </c>
      <c r="O147" s="35" t="n">
        <f aca="false">IF(W147&lt;&gt;"",W147,IF(U147="Helmond",IF(COUNTIFS(RC_Lane,B147,RC_Band,E147,RC_Transit,"&lt;&gt;")=0,"",SUMIFS(RC_Transit,RC_Lane,B147,RC_Band,E147)),IF(U147="Other","",IF(INDEX(RS_Transit,MATCH(B147,RS_Lane,0))="","",INDEX(RS_Transit,MATCH(B147,RS_Lane,0))))))</f>
        <v>1</v>
      </c>
      <c r="P147" s="36"/>
      <c r="Q147" s="31" t="n">
        <f aca="false">IF(P147&lt;&gt;"",P147,IF(O147="","",WORKDAY.INTL(L147,ROUNDUP(O147,0),INDEX(LR_Code,MATCH(B147,LR_Lane,0)),INDEX(DH_Table,0,MATCH(B147&amp;"*",DH_Head,0)))))</f>
        <v>46558</v>
      </c>
      <c r="R147" s="37" t="str">
        <f aca="false">IF(Q147="","",IF(Q147&lt;=N147,"Yes","No"))</f>
        <v>Yes</v>
      </c>
      <c r="S147" s="26" t="n">
        <f aca="false">IF(Q147="","",IF(Q147&lt;=N147,0,NETWORKDAYS.INTL(N147,Q147,INDEX(LR_Code,MATCH(B147,LR_Lane,0)),INDEX(DH_Table,0,MATCH(B147&amp;"*",DH_Head,0)))-1))</f>
        <v>0</v>
      </c>
      <c r="T147" s="4"/>
      <c r="U147" s="25" t="str">
        <f aca="false">IF(V147&lt;&gt;"",V147,IF(IFERROR(INDEX(RS_Flag,MATCH(B147,RS_Lane,0)),"")="Yes",IF(IFERROR(INDEX(RS_Loc,MATCH(B147,RS_Lane,0)),"")="","Regional stock",IFERROR(INDEX(RS_Loc,MATCH(B147,RS_Lane,0)),"")),"Helmond"))</f>
        <v>Helmond</v>
      </c>
      <c r="V147" s="17"/>
      <c r="W147" s="38"/>
      <c r="X147" s="39"/>
      <c r="Y147" s="40" t="n">
        <f aca="false">IF(X147&lt;&gt;"",X147,IF(U147="Helmond",IF(COUNTIFS(RC_Lane,B147,RC_Band,E147,RC_CostPS,"&gt;0")=0,"",SUMIFS(RC_CostPS,RC_Lane,B147,RC_Band,E147)*(1-SUMIFS(RC_Disc,RC_Lane,B147,RC_Band,E147))),IF(U147="Other","",IF(INDEX(RS_Rate,MATCH(B147,RS_Lane,0))="","",INDEX(RS_Rate,MATCH(B147,RS_Lane,0))))))</f>
        <v>72.485</v>
      </c>
    </row>
    <row r="148" customFormat="false" ht="15" hidden="false" customHeight="false" outlineLevel="0" collapsed="false">
      <c r="A148" s="3" t="s">
        <v>557</v>
      </c>
      <c r="B148" s="25" t="s">
        <v>108</v>
      </c>
      <c r="C148" s="8" t="s">
        <v>109</v>
      </c>
      <c r="D148" s="8" t="s">
        <v>272</v>
      </c>
      <c r="E148" s="8" t="s">
        <v>178</v>
      </c>
      <c r="F148" s="19" t="n">
        <v>2.4</v>
      </c>
      <c r="G148" s="33" t="n">
        <f aca="false">F148*0.006477</f>
        <v>0.0155448</v>
      </c>
      <c r="H148" s="19" t="n">
        <f aca="false">F148*1.079436</f>
        <v>2.5906464</v>
      </c>
      <c r="I148" s="18" t="n">
        <f aca="false">MAX(1,ROUNDUP(G148/0.096,0))</f>
        <v>1</v>
      </c>
      <c r="J148" s="31" t="n">
        <v>46556</v>
      </c>
      <c r="K148" s="34" t="n">
        <f aca="false">J148-WEEKDAY(J148,2)+1</f>
        <v>46552</v>
      </c>
      <c r="L148" s="31" t="n">
        <f aca="false">J148</f>
        <v>46556</v>
      </c>
      <c r="M148" s="26" t="n">
        <f aca="false">INDEX(LR_Target,MATCH(B148,LR_Lane,0))</f>
        <v>2</v>
      </c>
      <c r="N148" s="31" t="n">
        <f aca="false">WORKDAY.INTL(L148,M148,INDEX(LR_Code,MATCH(B148,LR_Lane,0)),INDEX(DH_Table,0,MATCH(B148&amp;"*",DH_Head,0)))</f>
        <v>46559</v>
      </c>
      <c r="O148" s="35" t="n">
        <f aca="false">IF(W148&lt;&gt;"",W148,IF(U148="Helmond",IF(COUNTIFS(RC_Lane,B148,RC_Band,E148,RC_Transit,"&lt;&gt;")=0,"",SUMIFS(RC_Transit,RC_Lane,B148,RC_Band,E148)),IF(U148="Other","",IF(INDEX(RS_Transit,MATCH(B148,RS_Lane,0))="","",INDEX(RS_Transit,MATCH(B148,RS_Lane,0))))))</f>
        <v>1</v>
      </c>
      <c r="P148" s="36"/>
      <c r="Q148" s="31" t="n">
        <f aca="false">IF(P148&lt;&gt;"",P148,IF(O148="","",WORKDAY.INTL(L148,ROUNDUP(O148,0),INDEX(LR_Code,MATCH(B148,LR_Lane,0)),INDEX(DH_Table,0,MATCH(B148&amp;"*",DH_Head,0)))))</f>
        <v>46558</v>
      </c>
      <c r="R148" s="37" t="str">
        <f aca="false">IF(Q148="","",IF(Q148&lt;=N148,"Yes","No"))</f>
        <v>Yes</v>
      </c>
      <c r="S148" s="26" t="n">
        <f aca="false">IF(Q148="","",IF(Q148&lt;=N148,0,NETWORKDAYS.INTL(N148,Q148,INDEX(LR_Code,MATCH(B148,LR_Lane,0)),INDEX(DH_Table,0,MATCH(B148&amp;"*",DH_Head,0)))-1))</f>
        <v>0</v>
      </c>
      <c r="T148" s="4"/>
      <c r="U148" s="25" t="str">
        <f aca="false">IF(V148&lt;&gt;"",V148,IF(IFERROR(INDEX(RS_Flag,MATCH(B148,RS_Lane,0)),"")="Yes",IF(IFERROR(INDEX(RS_Loc,MATCH(B148,RS_Lane,0)),"")="","Regional stock",IFERROR(INDEX(RS_Loc,MATCH(B148,RS_Lane,0)),"")),"Helmond"))</f>
        <v>Helmond</v>
      </c>
      <c r="V148" s="17"/>
      <c r="W148" s="38"/>
      <c r="X148" s="39"/>
      <c r="Y148" s="40" t="n">
        <f aca="false">IF(X148&lt;&gt;"",X148,IF(U148="Helmond",IF(COUNTIFS(RC_Lane,B148,RC_Band,E148,RC_CostPS,"&gt;0")=0,"",SUMIFS(RC_CostPS,RC_Lane,B148,RC_Band,E148)*(1-SUMIFS(RC_Disc,RC_Lane,B148,RC_Band,E148))),IF(U148="Other","",IF(INDEX(RS_Rate,MATCH(B148,RS_Lane,0))="","",INDEX(RS_Rate,MATCH(B148,RS_Lane,0))))))</f>
        <v>72.485</v>
      </c>
    </row>
    <row r="149" customFormat="false" ht="15" hidden="false" customHeight="false" outlineLevel="0" collapsed="false">
      <c r="A149" s="3" t="s">
        <v>558</v>
      </c>
      <c r="B149" s="25" t="s">
        <v>112</v>
      </c>
      <c r="C149" s="8" t="s">
        <v>113</v>
      </c>
      <c r="D149" s="8" t="s">
        <v>152</v>
      </c>
      <c r="E149" s="8" t="s">
        <v>178</v>
      </c>
      <c r="F149" s="19" t="n">
        <v>12.2</v>
      </c>
      <c r="G149" s="33" t="n">
        <f aca="false">F149*0.006477</f>
        <v>0.0790194</v>
      </c>
      <c r="H149" s="19" t="n">
        <f aca="false">F149*1.079436</f>
        <v>13.1691192</v>
      </c>
      <c r="I149" s="18" t="n">
        <f aca="false">MAX(1,ROUNDUP(G149/0.096,0))</f>
        <v>1</v>
      </c>
      <c r="J149" s="31" t="n">
        <v>46559</v>
      </c>
      <c r="K149" s="34" t="n">
        <f aca="false">J149-WEEKDAY(J149,2)+1</f>
        <v>46559</v>
      </c>
      <c r="L149" s="31" t="n">
        <f aca="false">J149</f>
        <v>46559</v>
      </c>
      <c r="M149" s="26" t="n">
        <f aca="false">INDEX(LR_Target,MATCH(B149,LR_Lane,0))</f>
        <v>2</v>
      </c>
      <c r="N149" s="31" t="n">
        <f aca="false">WORKDAY.INTL(L149,M149,INDEX(LR_Code,MATCH(B149,LR_Lane,0)),INDEX(DH_Table,0,MATCH(B149&amp;"*",DH_Head,0)))</f>
        <v>46561</v>
      </c>
      <c r="O149" s="35" t="n">
        <f aca="false">IF(W149&lt;&gt;"",W149,IF(U149="Helmond",IF(COUNTIFS(RC_Lane,B149,RC_Band,E149,RC_Transit,"&lt;&gt;")=0,"",SUMIFS(RC_Transit,RC_Lane,B149,RC_Band,E149)),IF(U149="Other","",IF(INDEX(RS_Transit,MATCH(B149,RS_Lane,0))="","",INDEX(RS_Transit,MATCH(B149,RS_Lane,0))))))</f>
        <v>1</v>
      </c>
      <c r="P149" s="36"/>
      <c r="Q149" s="31" t="n">
        <f aca="false">IF(P149&lt;&gt;"",P149,IF(O149="","",WORKDAY.INTL(L149,ROUNDUP(O149,0),INDEX(LR_Code,MATCH(B149,LR_Lane,0)),INDEX(DH_Table,0,MATCH(B149&amp;"*",DH_Head,0)))))</f>
        <v>46560</v>
      </c>
      <c r="R149" s="37" t="str">
        <f aca="false">IF(Q149="","",IF(Q149&lt;=N149,"Yes","No"))</f>
        <v>Yes</v>
      </c>
      <c r="S149" s="26" t="n">
        <f aca="false">IF(Q149="","",IF(Q149&lt;=N149,0,NETWORKDAYS.INTL(N149,Q149,INDEX(LR_Code,MATCH(B149,LR_Lane,0)),INDEX(DH_Table,0,MATCH(B149&amp;"*",DH_Head,0)))-1))</f>
        <v>0</v>
      </c>
      <c r="T149" s="4"/>
      <c r="U149" s="25" t="str">
        <f aca="false">IF(V149&lt;&gt;"",V149,IF(IFERROR(INDEX(RS_Flag,MATCH(B149,RS_Lane,0)),"")="Yes",IF(IFERROR(INDEX(RS_Loc,MATCH(B149,RS_Lane,0)),"")="","Regional stock",IFERROR(INDEX(RS_Loc,MATCH(B149,RS_Lane,0)),"")),"Helmond"))</f>
        <v>Helmond</v>
      </c>
      <c r="V149" s="17"/>
      <c r="W149" s="38"/>
      <c r="X149" s="39"/>
      <c r="Y149" s="40" t="n">
        <f aca="false">IF(X149&lt;&gt;"",X149,IF(U149="Helmond",IF(COUNTIFS(RC_Lane,B149,RC_Band,E149,RC_CostPS,"&gt;0")=0,"",SUMIFS(RC_CostPS,RC_Lane,B149,RC_Band,E149)*(1-SUMIFS(RC_Disc,RC_Lane,B149,RC_Band,E149))),IF(U149="Other","",IF(INDEX(RS_Rate,MATCH(B149,RS_Lane,0))="","",INDEX(RS_Rate,MATCH(B149,RS_Lane,0))))))</f>
        <v>72.485</v>
      </c>
    </row>
    <row r="150" customFormat="false" ht="15" hidden="false" customHeight="false" outlineLevel="0" collapsed="false">
      <c r="A150" s="3" t="s">
        <v>559</v>
      </c>
      <c r="B150" s="25" t="s">
        <v>112</v>
      </c>
      <c r="C150" s="8" t="s">
        <v>113</v>
      </c>
      <c r="D150" s="8" t="s">
        <v>152</v>
      </c>
      <c r="E150" s="8" t="s">
        <v>178</v>
      </c>
      <c r="F150" s="19" t="n">
        <v>4.3</v>
      </c>
      <c r="G150" s="33" t="n">
        <f aca="false">F150*0.006477</f>
        <v>0.0278511</v>
      </c>
      <c r="H150" s="19" t="n">
        <f aca="false">F150*1.079436</f>
        <v>4.6415748</v>
      </c>
      <c r="I150" s="18" t="n">
        <f aca="false">MAX(1,ROUNDUP(G150/0.096,0))</f>
        <v>1</v>
      </c>
      <c r="J150" s="31" t="n">
        <v>46559</v>
      </c>
      <c r="K150" s="34" t="n">
        <f aca="false">J150-WEEKDAY(J150,2)+1</f>
        <v>46559</v>
      </c>
      <c r="L150" s="31" t="n">
        <f aca="false">J150</f>
        <v>46559</v>
      </c>
      <c r="M150" s="26" t="n">
        <f aca="false">INDEX(LR_Target,MATCH(B150,LR_Lane,0))</f>
        <v>2</v>
      </c>
      <c r="N150" s="31" t="n">
        <f aca="false">WORKDAY.INTL(L150,M150,INDEX(LR_Code,MATCH(B150,LR_Lane,0)),INDEX(DH_Table,0,MATCH(B150&amp;"*",DH_Head,0)))</f>
        <v>46561</v>
      </c>
      <c r="O150" s="35" t="n">
        <f aca="false">IF(W150&lt;&gt;"",W150,IF(U150="Helmond",IF(COUNTIFS(RC_Lane,B150,RC_Band,E150,RC_Transit,"&lt;&gt;")=0,"",SUMIFS(RC_Transit,RC_Lane,B150,RC_Band,E150)),IF(U150="Other","",IF(INDEX(RS_Transit,MATCH(B150,RS_Lane,0))="","",INDEX(RS_Transit,MATCH(B150,RS_Lane,0))))))</f>
        <v>1</v>
      </c>
      <c r="P150" s="36"/>
      <c r="Q150" s="31" t="n">
        <f aca="false">IF(P150&lt;&gt;"",P150,IF(O150="","",WORKDAY.INTL(L150,ROUNDUP(O150,0),INDEX(LR_Code,MATCH(B150,LR_Lane,0)),INDEX(DH_Table,0,MATCH(B150&amp;"*",DH_Head,0)))))</f>
        <v>46560</v>
      </c>
      <c r="R150" s="37" t="str">
        <f aca="false">IF(Q150="","",IF(Q150&lt;=N150,"Yes","No"))</f>
        <v>Yes</v>
      </c>
      <c r="S150" s="26" t="n">
        <f aca="false">IF(Q150="","",IF(Q150&lt;=N150,0,NETWORKDAYS.INTL(N150,Q150,INDEX(LR_Code,MATCH(B150,LR_Lane,0)),INDEX(DH_Table,0,MATCH(B150&amp;"*",DH_Head,0)))-1))</f>
        <v>0</v>
      </c>
      <c r="T150" s="4"/>
      <c r="U150" s="25" t="str">
        <f aca="false">IF(V150&lt;&gt;"",V150,IF(IFERROR(INDEX(RS_Flag,MATCH(B150,RS_Lane,0)),"")="Yes",IF(IFERROR(INDEX(RS_Loc,MATCH(B150,RS_Lane,0)),"")="","Regional stock",IFERROR(INDEX(RS_Loc,MATCH(B150,RS_Lane,0)),"")),"Helmond"))</f>
        <v>Helmond</v>
      </c>
      <c r="V150" s="17"/>
      <c r="W150" s="38"/>
      <c r="X150" s="39"/>
      <c r="Y150" s="40" t="n">
        <f aca="false">IF(X150&lt;&gt;"",X150,IF(U150="Helmond",IF(COUNTIFS(RC_Lane,B150,RC_Band,E150,RC_CostPS,"&gt;0")=0,"",SUMIFS(RC_CostPS,RC_Lane,B150,RC_Band,E150)*(1-SUMIFS(RC_Disc,RC_Lane,B150,RC_Band,E150))),IF(U150="Other","",IF(INDEX(RS_Rate,MATCH(B150,RS_Lane,0))="","",INDEX(RS_Rate,MATCH(B150,RS_Lane,0))))))</f>
        <v>72.485</v>
      </c>
    </row>
    <row r="151" customFormat="false" ht="15" hidden="false" customHeight="false" outlineLevel="0" collapsed="false">
      <c r="A151" s="3" t="s">
        <v>560</v>
      </c>
      <c r="B151" s="25" t="s">
        <v>119</v>
      </c>
      <c r="C151" s="8" t="s">
        <v>120</v>
      </c>
      <c r="D151" s="8" t="s">
        <v>155</v>
      </c>
      <c r="E151" s="8" t="s">
        <v>182</v>
      </c>
      <c r="F151" s="19" t="n">
        <v>131</v>
      </c>
      <c r="G151" s="33" t="n">
        <f aca="false">F151*0.006477</f>
        <v>0.848487</v>
      </c>
      <c r="H151" s="19" t="n">
        <f aca="false">F151*1.079436</f>
        <v>141.406116</v>
      </c>
      <c r="I151" s="18" t="n">
        <f aca="false">MAX(1,ROUNDUP(G151/0.096,0))</f>
        <v>9</v>
      </c>
      <c r="J151" s="31" t="n">
        <v>46559</v>
      </c>
      <c r="K151" s="34" t="n">
        <f aca="false">J151-WEEKDAY(J151,2)+1</f>
        <v>46559</v>
      </c>
      <c r="L151" s="31" t="n">
        <f aca="false">J151</f>
        <v>46559</v>
      </c>
      <c r="M151" s="26" t="n">
        <f aca="false">INDEX(LR_Target,MATCH(B151,LR_Lane,0))</f>
        <v>3</v>
      </c>
      <c r="N151" s="31" t="n">
        <f aca="false">WORKDAY.INTL(L151,M151,INDEX(LR_Code,MATCH(B151,LR_Lane,0)),INDEX(DH_Table,0,MATCH(B151&amp;"*",DH_Head,0)))</f>
        <v>46562</v>
      </c>
      <c r="O151" s="35" t="n">
        <f aca="false">IF(W151&lt;&gt;"",W151,IF(U151="Helmond",IF(COUNTIFS(RC_Lane,B151,RC_Band,E151,RC_Transit,"&lt;&gt;")=0,"",SUMIFS(RC_Transit,RC_Lane,B151,RC_Band,E151)),IF(U151="Other","",IF(INDEX(RS_Transit,MATCH(B151,RS_Lane,0))="","",INDEX(RS_Transit,MATCH(B151,RS_Lane,0))))))</f>
        <v>3</v>
      </c>
      <c r="P151" s="36"/>
      <c r="Q151" s="31" t="n">
        <f aca="false">IF(P151&lt;&gt;"",P151,IF(O151="","",WORKDAY.INTL(L151,ROUNDUP(O151,0),INDEX(LR_Code,MATCH(B151,LR_Lane,0)),INDEX(DH_Table,0,MATCH(B151&amp;"*",DH_Head,0)))))</f>
        <v>46562</v>
      </c>
      <c r="R151" s="37" t="str">
        <f aca="false">IF(Q151="","",IF(Q151&lt;=N151,"Yes","No"))</f>
        <v>Yes</v>
      </c>
      <c r="S151" s="26" t="n">
        <f aca="false">IF(Q151="","",IF(Q151&lt;=N151,0,NETWORKDAYS.INTL(N151,Q151,INDEX(LR_Code,MATCH(B151,LR_Lane,0)),INDEX(DH_Table,0,MATCH(B151&amp;"*",DH_Head,0)))-1))</f>
        <v>0</v>
      </c>
      <c r="T151" s="4"/>
      <c r="U151" s="25" t="str">
        <f aca="false">IF(V151&lt;&gt;"",V151,IF(IFERROR(INDEX(RS_Flag,MATCH(B151,RS_Lane,0)),"")="Yes",IF(IFERROR(INDEX(RS_Loc,MATCH(B151,RS_Lane,0)),"")="","Regional stock",IFERROR(INDEX(RS_Loc,MATCH(B151,RS_Lane,0)),"")),"Helmond"))</f>
        <v>Helmond</v>
      </c>
      <c r="V151" s="17"/>
      <c r="W151" s="38"/>
      <c r="X151" s="39"/>
      <c r="Y151" s="40" t="n">
        <f aca="false">IF(X151&lt;&gt;"",X151,IF(U151="Helmond",IF(COUNTIFS(RC_Lane,B151,RC_Band,E151,RC_CostPS,"&gt;0")=0,"",SUMIFS(RC_CostPS,RC_Lane,B151,RC_Band,E151)*(1-SUMIFS(RC_Disc,RC_Lane,B151,RC_Band,E151))),IF(U151="Other","",IF(INDEX(RS_Rate,MATCH(B151,RS_Lane,0))="","",INDEX(RS_Rate,MATCH(B151,RS_Lane,0))))))</f>
        <v>1400.35434</v>
      </c>
    </row>
    <row r="152" customFormat="false" ht="15" hidden="false" customHeight="false" outlineLevel="0" collapsed="false">
      <c r="A152" s="3" t="s">
        <v>561</v>
      </c>
      <c r="B152" s="25" t="s">
        <v>121</v>
      </c>
      <c r="C152" s="8" t="s">
        <v>122</v>
      </c>
      <c r="D152" s="8" t="s">
        <v>278</v>
      </c>
      <c r="E152" s="8" t="s">
        <v>182</v>
      </c>
      <c r="F152" s="19" t="n">
        <v>328.2</v>
      </c>
      <c r="G152" s="33" t="n">
        <f aca="false">F152*0.006477</f>
        <v>2.1257514</v>
      </c>
      <c r="H152" s="19" t="n">
        <f aca="false">F152*1.079436</f>
        <v>354.2708952</v>
      </c>
      <c r="I152" s="18" t="n">
        <f aca="false">MAX(1,ROUNDUP(G152/0.096,0))</f>
        <v>23</v>
      </c>
      <c r="J152" s="31" t="n">
        <v>46560</v>
      </c>
      <c r="K152" s="34" t="n">
        <f aca="false">J152-WEEKDAY(J152,2)+1</f>
        <v>46559</v>
      </c>
      <c r="L152" s="31" t="n">
        <f aca="false">J152</f>
        <v>46560</v>
      </c>
      <c r="M152" s="26" t="n">
        <f aca="false">INDEX(LR_Target,MATCH(B152,LR_Lane,0))</f>
        <v>3</v>
      </c>
      <c r="N152" s="31" t="n">
        <f aca="false">WORKDAY.INTL(L152,M152,INDEX(LR_Code,MATCH(B152,LR_Lane,0)),INDEX(DH_Table,0,MATCH(B152&amp;"*",DH_Head,0)))</f>
        <v>46563</v>
      </c>
      <c r="O152" s="35" t="n">
        <f aca="false">IF(W152&lt;&gt;"",W152,IF(U152="Helmond",IF(COUNTIFS(RC_Lane,B152,RC_Band,E152,RC_Transit,"&lt;&gt;")=0,"",SUMIFS(RC_Transit,RC_Lane,B152,RC_Band,E152)),IF(U152="Other","",IF(INDEX(RS_Transit,MATCH(B152,RS_Lane,0))="","",INDEX(RS_Transit,MATCH(B152,RS_Lane,0))))))</f>
        <v>3</v>
      </c>
      <c r="P152" s="36"/>
      <c r="Q152" s="31" t="n">
        <f aca="false">IF(P152&lt;&gt;"",P152,IF(O152="","",WORKDAY.INTL(L152,ROUNDUP(O152,0),INDEX(LR_Code,MATCH(B152,LR_Lane,0)),INDEX(DH_Table,0,MATCH(B152&amp;"*",DH_Head,0)))))</f>
        <v>46563</v>
      </c>
      <c r="R152" s="37" t="str">
        <f aca="false">IF(Q152="","",IF(Q152&lt;=N152,"Yes","No"))</f>
        <v>Yes</v>
      </c>
      <c r="S152" s="26" t="n">
        <f aca="false">IF(Q152="","",IF(Q152&lt;=N152,0,NETWORKDAYS.INTL(N152,Q152,INDEX(LR_Code,MATCH(B152,LR_Lane,0)),INDEX(DH_Table,0,MATCH(B152&amp;"*",DH_Head,0)))-1))</f>
        <v>0</v>
      </c>
      <c r="T152" s="4"/>
      <c r="U152" s="25" t="str">
        <f aca="false">IF(V152&lt;&gt;"",V152,IF(IFERROR(INDEX(RS_Flag,MATCH(B152,RS_Lane,0)),"")="Yes",IF(IFERROR(INDEX(RS_Loc,MATCH(B152,RS_Lane,0)),"")="","Regional stock",IFERROR(INDEX(RS_Loc,MATCH(B152,RS_Lane,0)),"")),"Helmond"))</f>
        <v>Helmond</v>
      </c>
      <c r="V152" s="17"/>
      <c r="W152" s="38"/>
      <c r="X152" s="39"/>
      <c r="Y152" s="40" t="n">
        <f aca="false">IF(X152&lt;&gt;"",X152,IF(U152="Helmond",IF(COUNTIFS(RC_Lane,B152,RC_Band,E152,RC_CostPS,"&gt;0")=0,"",SUMIFS(RC_CostPS,RC_Lane,B152,RC_Band,E152)*(1-SUMIFS(RC_Disc,RC_Lane,B152,RC_Band,E152))),IF(U152="Other","",IF(INDEX(RS_Rate,MATCH(B152,RS_Lane,0))="","",INDEX(RS_Rate,MATCH(B152,RS_Lane,0))))))</f>
        <v>691.60209</v>
      </c>
    </row>
    <row r="153" customFormat="false" ht="15" hidden="false" customHeight="false" outlineLevel="0" collapsed="false">
      <c r="A153" s="3" t="s">
        <v>562</v>
      </c>
      <c r="B153" s="25" t="s">
        <v>115</v>
      </c>
      <c r="C153" s="8" t="s">
        <v>116</v>
      </c>
      <c r="D153" s="8" t="s">
        <v>153</v>
      </c>
      <c r="E153" s="8" t="s">
        <v>178</v>
      </c>
      <c r="F153" s="19" t="n">
        <v>9.7</v>
      </c>
      <c r="G153" s="33" t="n">
        <f aca="false">F153*0.006477</f>
        <v>0.0628269</v>
      </c>
      <c r="H153" s="19" t="n">
        <f aca="false">F153*1.079436</f>
        <v>10.4705292</v>
      </c>
      <c r="I153" s="18" t="n">
        <f aca="false">MAX(1,ROUNDUP(G153/0.096,0))</f>
        <v>1</v>
      </c>
      <c r="J153" s="31" t="n">
        <v>46561</v>
      </c>
      <c r="K153" s="34" t="n">
        <f aca="false">J153-WEEKDAY(J153,2)+1</f>
        <v>46559</v>
      </c>
      <c r="L153" s="31" t="n">
        <f aca="false">J153</f>
        <v>46561</v>
      </c>
      <c r="M153" s="26" t="n">
        <f aca="false">INDEX(LR_Target,MATCH(B153,LR_Lane,0))</f>
        <v>2</v>
      </c>
      <c r="N153" s="31" t="n">
        <f aca="false">WORKDAY.INTL(L153,M153,INDEX(LR_Code,MATCH(B153,LR_Lane,0)),INDEX(DH_Table,0,MATCH(B153&amp;"*",DH_Head,0)))</f>
        <v>46565</v>
      </c>
      <c r="O153" s="35" t="n">
        <f aca="false">IF(W153&lt;&gt;"",W153,IF(U153="Helmond",IF(COUNTIFS(RC_Lane,B153,RC_Band,E153,RC_Transit,"&lt;&gt;")=0,"",SUMIFS(RC_Transit,RC_Lane,B153,RC_Band,E153)),IF(U153="Other","",IF(INDEX(RS_Transit,MATCH(B153,RS_Lane,0))="","",INDEX(RS_Transit,MATCH(B153,RS_Lane,0))))))</f>
        <v>1</v>
      </c>
      <c r="P153" s="36"/>
      <c r="Q153" s="31" t="n">
        <f aca="false">IF(P153&lt;&gt;"",P153,IF(O153="","",WORKDAY.INTL(L153,ROUNDUP(O153,0),INDEX(LR_Code,MATCH(B153,LR_Lane,0)),INDEX(DH_Table,0,MATCH(B153&amp;"*",DH_Head,0)))))</f>
        <v>46562</v>
      </c>
      <c r="R153" s="37" t="str">
        <f aca="false">IF(Q153="","",IF(Q153&lt;=N153,"Yes","No"))</f>
        <v>Yes</v>
      </c>
      <c r="S153" s="26" t="n">
        <f aca="false">IF(Q153="","",IF(Q153&lt;=N153,0,NETWORKDAYS.INTL(N153,Q153,INDEX(LR_Code,MATCH(B153,LR_Lane,0)),INDEX(DH_Table,0,MATCH(B153&amp;"*",DH_Head,0)))-1))</f>
        <v>0</v>
      </c>
      <c r="T153" s="4"/>
      <c r="U153" s="25" t="str">
        <f aca="false">IF(V153&lt;&gt;"",V153,IF(IFERROR(INDEX(RS_Flag,MATCH(B153,RS_Lane,0)),"")="Yes",IF(IFERROR(INDEX(RS_Loc,MATCH(B153,RS_Lane,0)),"")="","Regional stock",IFERROR(INDEX(RS_Loc,MATCH(B153,RS_Lane,0)),"")),"Helmond"))</f>
        <v>Helmond</v>
      </c>
      <c r="V153" s="17"/>
      <c r="W153" s="38"/>
      <c r="X153" s="39"/>
      <c r="Y153" s="40" t="n">
        <f aca="false">IF(X153&lt;&gt;"",X153,IF(U153="Helmond",IF(COUNTIFS(RC_Lane,B153,RC_Band,E153,RC_CostPS,"&gt;0")=0,"",SUMIFS(RC_CostPS,RC_Lane,B153,RC_Band,E153)*(1-SUMIFS(RC_Disc,RC_Lane,B153,RC_Band,E153))),IF(U153="Other","",IF(INDEX(RS_Rate,MATCH(B153,RS_Lane,0))="","",INDEX(RS_Rate,MATCH(B153,RS_Lane,0))))))</f>
        <v>72.485</v>
      </c>
    </row>
    <row r="154" customFormat="false" ht="15" hidden="false" customHeight="false" outlineLevel="0" collapsed="false">
      <c r="A154" s="3" t="s">
        <v>563</v>
      </c>
      <c r="B154" s="25" t="s">
        <v>117</v>
      </c>
      <c r="C154" s="8" t="s">
        <v>118</v>
      </c>
      <c r="D154" s="8" t="s">
        <v>154</v>
      </c>
      <c r="E154" s="8" t="s">
        <v>180</v>
      </c>
      <c r="F154" s="19" t="n">
        <v>52.7</v>
      </c>
      <c r="G154" s="33" t="n">
        <f aca="false">F154*0.006477</f>
        <v>0.3413379</v>
      </c>
      <c r="H154" s="19" t="n">
        <f aca="false">F154*1.079436</f>
        <v>56.8862772</v>
      </c>
      <c r="I154" s="18" t="n">
        <f aca="false">MAX(1,ROUNDUP(G154/0.096,0))</f>
        <v>4</v>
      </c>
      <c r="J154" s="31" t="n">
        <v>46562</v>
      </c>
      <c r="K154" s="34" t="n">
        <f aca="false">J154-WEEKDAY(J154,2)+1</f>
        <v>46559</v>
      </c>
      <c r="L154" s="31" t="n">
        <f aca="false">J154</f>
        <v>46562</v>
      </c>
      <c r="M154" s="26" t="n">
        <f aca="false">INDEX(LR_Target,MATCH(B154,LR_Lane,0))</f>
        <v>2</v>
      </c>
      <c r="N154" s="31" t="n">
        <f aca="false">WORKDAY.INTL(L154,M154,INDEX(LR_Code,MATCH(B154,LR_Lane,0)),INDEX(DH_Table,0,MATCH(B154&amp;"*",DH_Head,0)))</f>
        <v>46566</v>
      </c>
      <c r="O154" s="35" t="n">
        <f aca="false">IF(W154&lt;&gt;"",W154,IF(U154="Helmond",IF(COUNTIFS(RC_Lane,B154,RC_Band,E154,RC_Transit,"&lt;&gt;")=0,"",SUMIFS(RC_Transit,RC_Lane,B154,RC_Band,E154)),IF(U154="Other","",IF(INDEX(RS_Transit,MATCH(B154,RS_Lane,0))="","",INDEX(RS_Transit,MATCH(B154,RS_Lane,0))))))</f>
        <v>2</v>
      </c>
      <c r="P154" s="36"/>
      <c r="Q154" s="31" t="n">
        <f aca="false">IF(P154&lt;&gt;"",P154,IF(O154="","",WORKDAY.INTL(L154,ROUNDUP(O154,0),INDEX(LR_Code,MATCH(B154,LR_Lane,0)),INDEX(DH_Table,0,MATCH(B154&amp;"*",DH_Head,0)))))</f>
        <v>46566</v>
      </c>
      <c r="R154" s="37" t="str">
        <f aca="false">IF(Q154="","",IF(Q154&lt;=N154,"Yes","No"))</f>
        <v>Yes</v>
      </c>
      <c r="S154" s="26" t="n">
        <f aca="false">IF(Q154="","",IF(Q154&lt;=N154,0,NETWORKDAYS.INTL(N154,Q154,INDEX(LR_Code,MATCH(B154,LR_Lane,0)),INDEX(DH_Table,0,MATCH(B154&amp;"*",DH_Head,0)))-1))</f>
        <v>0</v>
      </c>
      <c r="T154" s="4"/>
      <c r="U154" s="25" t="str">
        <f aca="false">IF(V154&lt;&gt;"",V154,IF(IFERROR(INDEX(RS_Flag,MATCH(B154,RS_Lane,0)),"")="Yes",IF(IFERROR(INDEX(RS_Loc,MATCH(B154,RS_Lane,0)),"")="","Regional stock",IFERROR(INDEX(RS_Loc,MATCH(B154,RS_Lane,0)),"")),"Helmond"))</f>
        <v>Helmond</v>
      </c>
      <c r="V154" s="17"/>
      <c r="W154" s="38"/>
      <c r="X154" s="39"/>
      <c r="Y154" s="40" t="n">
        <f aca="false">IF(X154&lt;&gt;"",X154,IF(U154="Helmond",IF(COUNTIFS(RC_Lane,B154,RC_Band,E154,RC_CostPS,"&gt;0")=0,"",SUMIFS(RC_CostPS,RC_Lane,B154,RC_Band,E154)*(1-SUMIFS(RC_Disc,RC_Lane,B154,RC_Band,E154))),IF(U154="Other","",IF(INDEX(RS_Rate,MATCH(B154,RS_Lane,0))="","",INDEX(RS_Rate,MATCH(B154,RS_Lane,0))))))</f>
        <v>154.40768</v>
      </c>
    </row>
    <row r="155" customFormat="false" ht="15" hidden="false" customHeight="false" outlineLevel="0" collapsed="false">
      <c r="A155" s="3" t="s">
        <v>564</v>
      </c>
      <c r="B155" s="25" t="s">
        <v>108</v>
      </c>
      <c r="C155" s="8" t="s">
        <v>109</v>
      </c>
      <c r="D155" s="8" t="s">
        <v>270</v>
      </c>
      <c r="E155" s="8" t="s">
        <v>180</v>
      </c>
      <c r="F155" s="19" t="n">
        <v>31</v>
      </c>
      <c r="G155" s="33" t="n">
        <f aca="false">F155*0.006477</f>
        <v>0.200787</v>
      </c>
      <c r="H155" s="19" t="n">
        <f aca="false">F155*1.079436</f>
        <v>33.462516</v>
      </c>
      <c r="I155" s="18" t="n">
        <f aca="false">MAX(1,ROUNDUP(G155/0.096,0))</f>
        <v>3</v>
      </c>
      <c r="J155" s="31" t="n">
        <v>46563</v>
      </c>
      <c r="K155" s="34" t="n">
        <f aca="false">J155-WEEKDAY(J155,2)+1</f>
        <v>46559</v>
      </c>
      <c r="L155" s="31" t="n">
        <f aca="false">J155</f>
        <v>46563</v>
      </c>
      <c r="M155" s="26" t="n">
        <f aca="false">INDEX(LR_Target,MATCH(B155,LR_Lane,0))</f>
        <v>2</v>
      </c>
      <c r="N155" s="31" t="n">
        <f aca="false">WORKDAY.INTL(L155,M155,INDEX(LR_Code,MATCH(B155,LR_Lane,0)),INDEX(DH_Table,0,MATCH(B155&amp;"*",DH_Head,0)))</f>
        <v>46566</v>
      </c>
      <c r="O155" s="35" t="n">
        <f aca="false">IF(W155&lt;&gt;"",W155,IF(U155="Helmond",IF(COUNTIFS(RC_Lane,B155,RC_Band,E155,RC_Transit,"&lt;&gt;")=0,"",SUMIFS(RC_Transit,RC_Lane,B155,RC_Band,E155)),IF(U155="Other","",IF(INDEX(RS_Transit,MATCH(B155,RS_Lane,0))="","",INDEX(RS_Transit,MATCH(B155,RS_Lane,0))))))</f>
        <v>2</v>
      </c>
      <c r="P155" s="36"/>
      <c r="Q155" s="31" t="n">
        <f aca="false">IF(P155&lt;&gt;"",P155,IF(O155="","",WORKDAY.INTL(L155,ROUNDUP(O155,0),INDEX(LR_Code,MATCH(B155,LR_Lane,0)),INDEX(DH_Table,0,MATCH(B155&amp;"*",DH_Head,0)))))</f>
        <v>46566</v>
      </c>
      <c r="R155" s="37" t="str">
        <f aca="false">IF(Q155="","",IF(Q155&lt;=N155,"Yes","No"))</f>
        <v>Yes</v>
      </c>
      <c r="S155" s="26" t="n">
        <f aca="false">IF(Q155="","",IF(Q155&lt;=N155,0,NETWORKDAYS.INTL(N155,Q155,INDEX(LR_Code,MATCH(B155,LR_Lane,0)),INDEX(DH_Table,0,MATCH(B155&amp;"*",DH_Head,0)))-1))</f>
        <v>0</v>
      </c>
      <c r="T155" s="4"/>
      <c r="U155" s="25" t="str">
        <f aca="false">IF(V155&lt;&gt;"",V155,IF(IFERROR(INDEX(RS_Flag,MATCH(B155,RS_Lane,0)),"")="Yes",IF(IFERROR(INDEX(RS_Loc,MATCH(B155,RS_Lane,0)),"")="","Regional stock",IFERROR(INDEX(RS_Loc,MATCH(B155,RS_Lane,0)),"")),"Helmond"))</f>
        <v>Helmond</v>
      </c>
      <c r="V155" s="17"/>
      <c r="W155" s="38"/>
      <c r="X155" s="39"/>
      <c r="Y155" s="40" t="n">
        <f aca="false">IF(X155&lt;&gt;"",X155,IF(U155="Helmond",IF(COUNTIFS(RC_Lane,B155,RC_Band,E155,RC_CostPS,"&gt;0")=0,"",SUMIFS(RC_CostPS,RC_Lane,B155,RC_Band,E155)*(1-SUMIFS(RC_Disc,RC_Lane,B155,RC_Band,E155))),IF(U155="Other","",IF(INDEX(RS_Rate,MATCH(B155,RS_Lane,0))="","",INDEX(RS_Rate,MATCH(B155,RS_Lane,0))))))</f>
        <v>284.98176</v>
      </c>
    </row>
    <row r="156" customFormat="false" ht="15" hidden="false" customHeight="false" outlineLevel="0" collapsed="false">
      <c r="A156" s="3" t="s">
        <v>565</v>
      </c>
      <c r="B156" s="25" t="s">
        <v>108</v>
      </c>
      <c r="C156" s="8" t="s">
        <v>109</v>
      </c>
      <c r="D156" s="8" t="s">
        <v>270</v>
      </c>
      <c r="E156" s="8" t="s">
        <v>178</v>
      </c>
      <c r="F156" s="19" t="n">
        <v>6.6</v>
      </c>
      <c r="G156" s="33" t="n">
        <f aca="false">F156*0.006477</f>
        <v>0.0427482</v>
      </c>
      <c r="H156" s="19" t="n">
        <f aca="false">F156*1.079436</f>
        <v>7.1242776</v>
      </c>
      <c r="I156" s="18" t="n">
        <f aca="false">MAX(1,ROUNDUP(G156/0.096,0))</f>
        <v>1</v>
      </c>
      <c r="J156" s="31" t="n">
        <v>46563</v>
      </c>
      <c r="K156" s="34" t="n">
        <f aca="false">J156-WEEKDAY(J156,2)+1</f>
        <v>46559</v>
      </c>
      <c r="L156" s="31" t="n">
        <f aca="false">J156</f>
        <v>46563</v>
      </c>
      <c r="M156" s="26" t="n">
        <f aca="false">INDEX(LR_Target,MATCH(B156,LR_Lane,0))</f>
        <v>2</v>
      </c>
      <c r="N156" s="31" t="n">
        <f aca="false">WORKDAY.INTL(L156,M156,INDEX(LR_Code,MATCH(B156,LR_Lane,0)),INDEX(DH_Table,0,MATCH(B156&amp;"*",DH_Head,0)))</f>
        <v>46566</v>
      </c>
      <c r="O156" s="35" t="n">
        <f aca="false">IF(W156&lt;&gt;"",W156,IF(U156="Helmond",IF(COUNTIFS(RC_Lane,B156,RC_Band,E156,RC_Transit,"&lt;&gt;")=0,"",SUMIFS(RC_Transit,RC_Lane,B156,RC_Band,E156)),IF(U156="Other","",IF(INDEX(RS_Transit,MATCH(B156,RS_Lane,0))="","",INDEX(RS_Transit,MATCH(B156,RS_Lane,0))))))</f>
        <v>1</v>
      </c>
      <c r="P156" s="36"/>
      <c r="Q156" s="31" t="n">
        <f aca="false">IF(P156&lt;&gt;"",P156,IF(O156="","",WORKDAY.INTL(L156,ROUNDUP(O156,0),INDEX(LR_Code,MATCH(B156,LR_Lane,0)),INDEX(DH_Table,0,MATCH(B156&amp;"*",DH_Head,0)))))</f>
        <v>46565</v>
      </c>
      <c r="R156" s="37" t="str">
        <f aca="false">IF(Q156="","",IF(Q156&lt;=N156,"Yes","No"))</f>
        <v>Yes</v>
      </c>
      <c r="S156" s="26" t="n">
        <f aca="false">IF(Q156="","",IF(Q156&lt;=N156,0,NETWORKDAYS.INTL(N156,Q156,INDEX(LR_Code,MATCH(B156,LR_Lane,0)),INDEX(DH_Table,0,MATCH(B156&amp;"*",DH_Head,0)))-1))</f>
        <v>0</v>
      </c>
      <c r="T156" s="4"/>
      <c r="U156" s="25" t="str">
        <f aca="false">IF(V156&lt;&gt;"",V156,IF(IFERROR(INDEX(RS_Flag,MATCH(B156,RS_Lane,0)),"")="Yes",IF(IFERROR(INDEX(RS_Loc,MATCH(B156,RS_Lane,0)),"")="","Regional stock",IFERROR(INDEX(RS_Loc,MATCH(B156,RS_Lane,0)),"")),"Helmond"))</f>
        <v>Helmond</v>
      </c>
      <c r="V156" s="17"/>
      <c r="W156" s="38"/>
      <c r="X156" s="39"/>
      <c r="Y156" s="40" t="n">
        <f aca="false">IF(X156&lt;&gt;"",X156,IF(U156="Helmond",IF(COUNTIFS(RC_Lane,B156,RC_Band,E156,RC_CostPS,"&gt;0")=0,"",SUMIFS(RC_CostPS,RC_Lane,B156,RC_Band,E156)*(1-SUMIFS(RC_Disc,RC_Lane,B156,RC_Band,E156))),IF(U156="Other","",IF(INDEX(RS_Rate,MATCH(B156,RS_Lane,0))="","",INDEX(RS_Rate,MATCH(B156,RS_Lane,0))))))</f>
        <v>72.485</v>
      </c>
    </row>
    <row r="157" customFormat="false" ht="15" hidden="false" customHeight="false" outlineLevel="0" collapsed="false">
      <c r="A157" s="3" t="s">
        <v>566</v>
      </c>
      <c r="B157" s="25" t="s">
        <v>124</v>
      </c>
      <c r="C157" s="8" t="s">
        <v>125</v>
      </c>
      <c r="D157" s="8" t="s">
        <v>157</v>
      </c>
      <c r="E157" s="8" t="s">
        <v>178</v>
      </c>
      <c r="F157" s="19" t="n">
        <v>9.3</v>
      </c>
      <c r="G157" s="33" t="n">
        <f aca="false">F157*0.006477</f>
        <v>0.0602361</v>
      </c>
      <c r="H157" s="19" t="n">
        <f aca="false">F157*1.079436</f>
        <v>10.0387548</v>
      </c>
      <c r="I157" s="18" t="n">
        <f aca="false">MAX(1,ROUNDUP(G157/0.096,0))</f>
        <v>1</v>
      </c>
      <c r="J157" s="31" t="n">
        <v>46567</v>
      </c>
      <c r="K157" s="34" t="n">
        <f aca="false">J157-WEEKDAY(J157,2)+1</f>
        <v>46566</v>
      </c>
      <c r="L157" s="31" t="n">
        <f aca="false">J157</f>
        <v>46567</v>
      </c>
      <c r="M157" s="26" t="n">
        <f aca="false">INDEX(LR_Target,MATCH(B157,LR_Lane,0))</f>
        <v>5</v>
      </c>
      <c r="N157" s="31" t="n">
        <f aca="false">WORKDAY.INTL(L157,M157,INDEX(LR_Code,MATCH(B157,LR_Lane,0)),INDEX(DH_Table,0,MATCH(B157&amp;"*",DH_Head,0)))</f>
        <v>46575</v>
      </c>
      <c r="O157" s="35" t="n">
        <f aca="false">IF(W157&lt;&gt;"",W157,IF(U157="Helmond",IF(COUNTIFS(RC_Lane,B157,RC_Band,E157,RC_Transit,"&lt;&gt;")=0,"",SUMIFS(RC_Transit,RC_Lane,B157,RC_Band,E157)),IF(U157="Other","",IF(INDEX(RS_Transit,MATCH(B157,RS_Lane,0))="","",INDEX(RS_Transit,MATCH(B157,RS_Lane,0))))))</f>
        <v>1</v>
      </c>
      <c r="P157" s="36"/>
      <c r="Q157" s="31" t="n">
        <f aca="false">IF(P157&lt;&gt;"",P157,IF(O157="","",WORKDAY.INTL(L157,ROUNDUP(O157,0),INDEX(LR_Code,MATCH(B157,LR_Lane,0)),INDEX(DH_Table,0,MATCH(B157&amp;"*",DH_Head,0)))))</f>
        <v>46568</v>
      </c>
      <c r="R157" s="37" t="str">
        <f aca="false">IF(Q157="","",IF(Q157&lt;=N157,"Yes","No"))</f>
        <v>Yes</v>
      </c>
      <c r="S157" s="26" t="n">
        <f aca="false">IF(Q157="","",IF(Q157&lt;=N157,0,NETWORKDAYS.INTL(N157,Q157,INDEX(LR_Code,MATCH(B157,LR_Lane,0)),INDEX(DH_Table,0,MATCH(B157&amp;"*",DH_Head,0)))-1))</f>
        <v>0</v>
      </c>
      <c r="T157" s="4"/>
      <c r="U157" s="25" t="str">
        <f aca="false">IF(V157&lt;&gt;"",V157,IF(IFERROR(INDEX(RS_Flag,MATCH(B157,RS_Lane,0)),"")="Yes",IF(IFERROR(INDEX(RS_Loc,MATCH(B157,RS_Lane,0)),"")="","Regional stock",IFERROR(INDEX(RS_Loc,MATCH(B157,RS_Lane,0)),"")),"Helmond"))</f>
        <v>Helmond</v>
      </c>
      <c r="V157" s="17"/>
      <c r="W157" s="38"/>
      <c r="X157" s="39"/>
      <c r="Y157" s="40" t="n">
        <f aca="false">IF(X157&lt;&gt;"",X157,IF(U157="Helmond",IF(COUNTIFS(RC_Lane,B157,RC_Band,E157,RC_CostPS,"&gt;0")=0,"",SUMIFS(RC_CostPS,RC_Lane,B157,RC_Band,E157)*(1-SUMIFS(RC_Disc,RC_Lane,B157,RC_Band,E157))),IF(U157="Other","",IF(INDEX(RS_Rate,MATCH(B157,RS_Lane,0))="","",INDEX(RS_Rate,MATCH(B157,RS_Lane,0))))))</f>
        <v>72.485</v>
      </c>
    </row>
    <row r="158" customFormat="false" ht="15" hidden="false" customHeight="false" outlineLevel="0" collapsed="false">
      <c r="A158" s="3" t="s">
        <v>567</v>
      </c>
      <c r="B158" s="25" t="s">
        <v>115</v>
      </c>
      <c r="C158" s="8" t="s">
        <v>116</v>
      </c>
      <c r="D158" s="8" t="s">
        <v>153</v>
      </c>
      <c r="E158" s="8" t="s">
        <v>182</v>
      </c>
      <c r="F158" s="19" t="n">
        <v>147.3</v>
      </c>
      <c r="G158" s="33" t="n">
        <f aca="false">F158*0.006477</f>
        <v>0.9540621</v>
      </c>
      <c r="H158" s="19" t="n">
        <f aca="false">F158*1.079436</f>
        <v>159.0009228</v>
      </c>
      <c r="I158" s="18" t="n">
        <f aca="false">MAX(1,ROUNDUP(G158/0.096,0))</f>
        <v>10</v>
      </c>
      <c r="J158" s="31" t="n">
        <v>46568</v>
      </c>
      <c r="K158" s="34" t="n">
        <f aca="false">J158-WEEKDAY(J158,2)+1</f>
        <v>46566</v>
      </c>
      <c r="L158" s="31" t="n">
        <f aca="false">J158</f>
        <v>46568</v>
      </c>
      <c r="M158" s="26" t="n">
        <f aca="false">INDEX(LR_Target,MATCH(B158,LR_Lane,0))</f>
        <v>2</v>
      </c>
      <c r="N158" s="31" t="n">
        <f aca="false">WORKDAY.INTL(L158,M158,INDEX(LR_Code,MATCH(B158,LR_Lane,0)),INDEX(DH_Table,0,MATCH(B158&amp;"*",DH_Head,0)))</f>
        <v>46572</v>
      </c>
      <c r="O158" s="35" t="n">
        <f aca="false">IF(W158&lt;&gt;"",W158,IF(U158="Helmond",IF(COUNTIFS(RC_Lane,B158,RC_Band,E158,RC_Transit,"&lt;&gt;")=0,"",SUMIFS(RC_Transit,RC_Lane,B158,RC_Band,E158)),IF(U158="Other","",IF(INDEX(RS_Transit,MATCH(B158,RS_Lane,0))="","",INDEX(RS_Transit,MATCH(B158,RS_Lane,0))))))</f>
        <v>3</v>
      </c>
      <c r="P158" s="36"/>
      <c r="Q158" s="31" t="n">
        <f aca="false">IF(P158&lt;&gt;"",P158,IF(O158="","",WORKDAY.INTL(L158,ROUNDUP(O158,0),INDEX(LR_Code,MATCH(B158,LR_Lane,0)),INDEX(DH_Table,0,MATCH(B158&amp;"*",DH_Head,0)))))</f>
        <v>46573</v>
      </c>
      <c r="R158" s="37" t="str">
        <f aca="false">IF(Q158="","",IF(Q158&lt;=N158,"Yes","No"))</f>
        <v>No</v>
      </c>
      <c r="S158" s="26" t="n">
        <f aca="false">IF(Q158="","",IF(Q158&lt;=N158,0,NETWORKDAYS.INTL(N158,Q158,INDEX(LR_Code,MATCH(B158,LR_Lane,0)),INDEX(DH_Table,0,MATCH(B158&amp;"*",DH_Head,0)))-1))</f>
        <v>1</v>
      </c>
      <c r="T158" s="4"/>
      <c r="U158" s="25" t="str">
        <f aca="false">IF(V158&lt;&gt;"",V158,IF(IFERROR(INDEX(RS_Flag,MATCH(B158,RS_Lane,0)),"")="Yes",IF(IFERROR(INDEX(RS_Loc,MATCH(B158,RS_Lane,0)),"")="","Regional stock",IFERROR(INDEX(RS_Loc,MATCH(B158,RS_Lane,0)),"")),"Helmond"))</f>
        <v>Helmond</v>
      </c>
      <c r="V158" s="17"/>
      <c r="W158" s="38"/>
      <c r="X158" s="39"/>
      <c r="Y158" s="40" t="n">
        <f aca="false">IF(X158&lt;&gt;"",X158,IF(U158="Helmond",IF(COUNTIFS(RC_Lane,B158,RC_Band,E158,RC_CostPS,"&gt;0")=0,"",SUMIFS(RC_CostPS,RC_Lane,B158,RC_Band,E158)*(1-SUMIFS(RC_Disc,RC_Lane,B158,RC_Band,E158))),IF(U158="Other","",IF(INDEX(RS_Rate,MATCH(B158,RS_Lane,0))="","",INDEX(RS_Rate,MATCH(B158,RS_Lane,0))))))</f>
        <v>1271.20393</v>
      </c>
    </row>
    <row r="159" customFormat="false" ht="15" hidden="false" customHeight="false" outlineLevel="0" collapsed="false">
      <c r="A159" s="3" t="s">
        <v>568</v>
      </c>
      <c r="B159" s="25" t="s">
        <v>112</v>
      </c>
      <c r="C159" s="8" t="s">
        <v>113</v>
      </c>
      <c r="D159" s="8" t="s">
        <v>152</v>
      </c>
      <c r="E159" s="8" t="s">
        <v>178</v>
      </c>
      <c r="F159" s="19" t="n">
        <v>6</v>
      </c>
      <c r="G159" s="33" t="n">
        <f aca="false">F159*0.006477</f>
        <v>0.038862</v>
      </c>
      <c r="H159" s="19" t="n">
        <f aca="false">F159*1.079436</f>
        <v>6.476616</v>
      </c>
      <c r="I159" s="18" t="n">
        <f aca="false">MAX(1,ROUNDUP(G159/0.096,0))</f>
        <v>1</v>
      </c>
      <c r="J159" s="31" t="n">
        <v>46573</v>
      </c>
      <c r="K159" s="34" t="n">
        <f aca="false">J159-WEEKDAY(J159,2)+1</f>
        <v>46573</v>
      </c>
      <c r="L159" s="31" t="n">
        <f aca="false">J159</f>
        <v>46573</v>
      </c>
      <c r="M159" s="26" t="n">
        <f aca="false">INDEX(LR_Target,MATCH(B159,LR_Lane,0))</f>
        <v>2</v>
      </c>
      <c r="N159" s="31" t="n">
        <f aca="false">WORKDAY.INTL(L159,M159,INDEX(LR_Code,MATCH(B159,LR_Lane,0)),INDEX(DH_Table,0,MATCH(B159&amp;"*",DH_Head,0)))</f>
        <v>46575</v>
      </c>
      <c r="O159" s="35" t="n">
        <f aca="false">IF(W159&lt;&gt;"",W159,IF(U159="Helmond",IF(COUNTIFS(RC_Lane,B159,RC_Band,E159,RC_Transit,"&lt;&gt;")=0,"",SUMIFS(RC_Transit,RC_Lane,B159,RC_Band,E159)),IF(U159="Other","",IF(INDEX(RS_Transit,MATCH(B159,RS_Lane,0))="","",INDEX(RS_Transit,MATCH(B159,RS_Lane,0))))))</f>
        <v>1</v>
      </c>
      <c r="P159" s="36"/>
      <c r="Q159" s="31" t="n">
        <f aca="false">IF(P159&lt;&gt;"",P159,IF(O159="","",WORKDAY.INTL(L159,ROUNDUP(O159,0),INDEX(LR_Code,MATCH(B159,LR_Lane,0)),INDEX(DH_Table,0,MATCH(B159&amp;"*",DH_Head,0)))))</f>
        <v>46574</v>
      </c>
      <c r="R159" s="37" t="str">
        <f aca="false">IF(Q159="","",IF(Q159&lt;=N159,"Yes","No"))</f>
        <v>Yes</v>
      </c>
      <c r="S159" s="26" t="n">
        <f aca="false">IF(Q159="","",IF(Q159&lt;=N159,0,NETWORKDAYS.INTL(N159,Q159,INDEX(LR_Code,MATCH(B159,LR_Lane,0)),INDEX(DH_Table,0,MATCH(B159&amp;"*",DH_Head,0)))-1))</f>
        <v>0</v>
      </c>
      <c r="T159" s="4"/>
      <c r="U159" s="25" t="str">
        <f aca="false">IF(V159&lt;&gt;"",V159,IF(IFERROR(INDEX(RS_Flag,MATCH(B159,RS_Lane,0)),"")="Yes",IF(IFERROR(INDEX(RS_Loc,MATCH(B159,RS_Lane,0)),"")="","Regional stock",IFERROR(INDEX(RS_Loc,MATCH(B159,RS_Lane,0)),"")),"Helmond"))</f>
        <v>Helmond</v>
      </c>
      <c r="V159" s="17"/>
      <c r="W159" s="38"/>
      <c r="X159" s="39"/>
      <c r="Y159" s="40" t="n">
        <f aca="false">IF(X159&lt;&gt;"",X159,IF(U159="Helmond",IF(COUNTIFS(RC_Lane,B159,RC_Band,E159,RC_CostPS,"&gt;0")=0,"",SUMIFS(RC_CostPS,RC_Lane,B159,RC_Band,E159)*(1-SUMIFS(RC_Disc,RC_Lane,B159,RC_Band,E159))),IF(U159="Other","",IF(INDEX(RS_Rate,MATCH(B159,RS_Lane,0))="","",INDEX(RS_Rate,MATCH(B159,RS_Lane,0))))))</f>
        <v>72.485</v>
      </c>
    </row>
    <row r="160" customFormat="false" ht="15" hidden="false" customHeight="false" outlineLevel="0" collapsed="false">
      <c r="A160" s="3" t="s">
        <v>569</v>
      </c>
      <c r="B160" s="25" t="s">
        <v>112</v>
      </c>
      <c r="C160" s="8" t="s">
        <v>113</v>
      </c>
      <c r="D160" s="8" t="s">
        <v>152</v>
      </c>
      <c r="E160" s="8" t="s">
        <v>178</v>
      </c>
      <c r="F160" s="19" t="n">
        <v>9.3</v>
      </c>
      <c r="G160" s="33" t="n">
        <f aca="false">F160*0.006477</f>
        <v>0.0602361</v>
      </c>
      <c r="H160" s="19" t="n">
        <f aca="false">F160*1.079436</f>
        <v>10.0387548</v>
      </c>
      <c r="I160" s="18" t="n">
        <f aca="false">MAX(1,ROUNDUP(G160/0.096,0))</f>
        <v>1</v>
      </c>
      <c r="J160" s="31" t="n">
        <v>46573</v>
      </c>
      <c r="K160" s="34" t="n">
        <f aca="false">J160-WEEKDAY(J160,2)+1</f>
        <v>46573</v>
      </c>
      <c r="L160" s="31" t="n">
        <f aca="false">J160</f>
        <v>46573</v>
      </c>
      <c r="M160" s="26" t="n">
        <f aca="false">INDEX(LR_Target,MATCH(B160,LR_Lane,0))</f>
        <v>2</v>
      </c>
      <c r="N160" s="31" t="n">
        <f aca="false">WORKDAY.INTL(L160,M160,INDEX(LR_Code,MATCH(B160,LR_Lane,0)),INDEX(DH_Table,0,MATCH(B160&amp;"*",DH_Head,0)))</f>
        <v>46575</v>
      </c>
      <c r="O160" s="35" t="n">
        <f aca="false">IF(W160&lt;&gt;"",W160,IF(U160="Helmond",IF(COUNTIFS(RC_Lane,B160,RC_Band,E160,RC_Transit,"&lt;&gt;")=0,"",SUMIFS(RC_Transit,RC_Lane,B160,RC_Band,E160)),IF(U160="Other","",IF(INDEX(RS_Transit,MATCH(B160,RS_Lane,0))="","",INDEX(RS_Transit,MATCH(B160,RS_Lane,0))))))</f>
        <v>1</v>
      </c>
      <c r="P160" s="36"/>
      <c r="Q160" s="31" t="n">
        <f aca="false">IF(P160&lt;&gt;"",P160,IF(O160="","",WORKDAY.INTL(L160,ROUNDUP(O160,0),INDEX(LR_Code,MATCH(B160,LR_Lane,0)),INDEX(DH_Table,0,MATCH(B160&amp;"*",DH_Head,0)))))</f>
        <v>46574</v>
      </c>
      <c r="R160" s="37" t="str">
        <f aca="false">IF(Q160="","",IF(Q160&lt;=N160,"Yes","No"))</f>
        <v>Yes</v>
      </c>
      <c r="S160" s="26" t="n">
        <f aca="false">IF(Q160="","",IF(Q160&lt;=N160,0,NETWORKDAYS.INTL(N160,Q160,INDEX(LR_Code,MATCH(B160,LR_Lane,0)),INDEX(DH_Table,0,MATCH(B160&amp;"*",DH_Head,0)))-1))</f>
        <v>0</v>
      </c>
      <c r="T160" s="4"/>
      <c r="U160" s="25" t="str">
        <f aca="false">IF(V160&lt;&gt;"",V160,IF(IFERROR(INDEX(RS_Flag,MATCH(B160,RS_Lane,0)),"")="Yes",IF(IFERROR(INDEX(RS_Loc,MATCH(B160,RS_Lane,0)),"")="","Regional stock",IFERROR(INDEX(RS_Loc,MATCH(B160,RS_Lane,0)),"")),"Helmond"))</f>
        <v>Helmond</v>
      </c>
      <c r="V160" s="17"/>
      <c r="W160" s="38"/>
      <c r="X160" s="39"/>
      <c r="Y160" s="40" t="n">
        <f aca="false">IF(X160&lt;&gt;"",X160,IF(U160="Helmond",IF(COUNTIFS(RC_Lane,B160,RC_Band,E160,RC_CostPS,"&gt;0")=0,"",SUMIFS(RC_CostPS,RC_Lane,B160,RC_Band,E160)*(1-SUMIFS(RC_Disc,RC_Lane,B160,RC_Band,E160))),IF(U160="Other","",IF(INDEX(RS_Rate,MATCH(B160,RS_Lane,0))="","",INDEX(RS_Rate,MATCH(B160,RS_Lane,0))))))</f>
        <v>72.485</v>
      </c>
    </row>
    <row r="161" customFormat="false" ht="15" hidden="false" customHeight="false" outlineLevel="0" collapsed="false">
      <c r="A161" s="3" t="s">
        <v>570</v>
      </c>
      <c r="B161" s="25" t="s">
        <v>117</v>
      </c>
      <c r="C161" s="8" t="s">
        <v>118</v>
      </c>
      <c r="D161" s="8" t="s">
        <v>154</v>
      </c>
      <c r="E161" s="8" t="s">
        <v>180</v>
      </c>
      <c r="F161" s="19" t="n">
        <v>33.3</v>
      </c>
      <c r="G161" s="33" t="n">
        <f aca="false">F161*0.006477</f>
        <v>0.2156841</v>
      </c>
      <c r="H161" s="19" t="n">
        <f aca="false">F161*1.079436</f>
        <v>35.9452188</v>
      </c>
      <c r="I161" s="18" t="n">
        <f aca="false">MAX(1,ROUNDUP(G161/0.096,0))</f>
        <v>3</v>
      </c>
      <c r="J161" s="31" t="n">
        <v>46573</v>
      </c>
      <c r="K161" s="34" t="n">
        <f aca="false">J161-WEEKDAY(J161,2)+1</f>
        <v>46573</v>
      </c>
      <c r="L161" s="31" t="n">
        <f aca="false">J161</f>
        <v>46573</v>
      </c>
      <c r="M161" s="26" t="n">
        <f aca="false">INDEX(LR_Target,MATCH(B161,LR_Lane,0))</f>
        <v>2</v>
      </c>
      <c r="N161" s="31" t="n">
        <f aca="false">WORKDAY.INTL(L161,M161,INDEX(LR_Code,MATCH(B161,LR_Lane,0)),INDEX(DH_Table,0,MATCH(B161&amp;"*",DH_Head,0)))</f>
        <v>46575</v>
      </c>
      <c r="O161" s="35" t="n">
        <f aca="false">IF(W161&lt;&gt;"",W161,IF(U161="Helmond",IF(COUNTIFS(RC_Lane,B161,RC_Band,E161,RC_Transit,"&lt;&gt;")=0,"",SUMIFS(RC_Transit,RC_Lane,B161,RC_Band,E161)),IF(U161="Other","",IF(INDEX(RS_Transit,MATCH(B161,RS_Lane,0))="","",INDEX(RS_Transit,MATCH(B161,RS_Lane,0))))))</f>
        <v>2</v>
      </c>
      <c r="P161" s="36"/>
      <c r="Q161" s="31" t="n">
        <f aca="false">IF(P161&lt;&gt;"",P161,IF(O161="","",WORKDAY.INTL(L161,ROUNDUP(O161,0),INDEX(LR_Code,MATCH(B161,LR_Lane,0)),INDEX(DH_Table,0,MATCH(B161&amp;"*",DH_Head,0)))))</f>
        <v>46575</v>
      </c>
      <c r="R161" s="37" t="str">
        <f aca="false">IF(Q161="","",IF(Q161&lt;=N161,"Yes","No"))</f>
        <v>Yes</v>
      </c>
      <c r="S161" s="26" t="n">
        <f aca="false">IF(Q161="","",IF(Q161&lt;=N161,0,NETWORKDAYS.INTL(N161,Q161,INDEX(LR_Code,MATCH(B161,LR_Lane,0)),INDEX(DH_Table,0,MATCH(B161&amp;"*",DH_Head,0)))-1))</f>
        <v>0</v>
      </c>
      <c r="T161" s="4"/>
      <c r="U161" s="25" t="str">
        <f aca="false">IF(V161&lt;&gt;"",V161,IF(IFERROR(INDEX(RS_Flag,MATCH(B161,RS_Lane,0)),"")="Yes",IF(IFERROR(INDEX(RS_Loc,MATCH(B161,RS_Lane,0)),"")="","Regional stock",IFERROR(INDEX(RS_Loc,MATCH(B161,RS_Lane,0)),"")),"Helmond"))</f>
        <v>Helmond</v>
      </c>
      <c r="V161" s="17"/>
      <c r="W161" s="38"/>
      <c r="X161" s="39"/>
      <c r="Y161" s="40" t="n">
        <f aca="false">IF(X161&lt;&gt;"",X161,IF(U161="Helmond",IF(COUNTIFS(RC_Lane,B161,RC_Band,E161,RC_CostPS,"&gt;0")=0,"",SUMIFS(RC_CostPS,RC_Lane,B161,RC_Band,E161)*(1-SUMIFS(RC_Disc,RC_Lane,B161,RC_Band,E161))),IF(U161="Other","",IF(INDEX(RS_Rate,MATCH(B161,RS_Lane,0))="","",INDEX(RS_Rate,MATCH(B161,RS_Lane,0))))))</f>
        <v>154.40768</v>
      </c>
    </row>
    <row r="162" customFormat="false" ht="15" hidden="false" customHeight="false" outlineLevel="0" collapsed="false">
      <c r="A162" s="3" t="s">
        <v>571</v>
      </c>
      <c r="B162" s="25" t="s">
        <v>108</v>
      </c>
      <c r="C162" s="8" t="s">
        <v>109</v>
      </c>
      <c r="D162" s="8" t="s">
        <v>272</v>
      </c>
      <c r="E162" s="8" t="s">
        <v>183</v>
      </c>
      <c r="F162" s="19" t="n">
        <v>1050.8</v>
      </c>
      <c r="G162" s="33" t="n">
        <f aca="false">F162*0.006477</f>
        <v>6.8060316</v>
      </c>
      <c r="H162" s="19" t="n">
        <f aca="false">F162*1.079436</f>
        <v>1134.2713488</v>
      </c>
      <c r="I162" s="18" t="n">
        <f aca="false">MAX(1,ROUNDUP(G162/0.096,0))</f>
        <v>71</v>
      </c>
      <c r="J162" s="31" t="n">
        <v>46577</v>
      </c>
      <c r="K162" s="34" t="n">
        <f aca="false">J162-WEEKDAY(J162,2)+1</f>
        <v>46573</v>
      </c>
      <c r="L162" s="31" t="n">
        <f aca="false">J162</f>
        <v>46577</v>
      </c>
      <c r="M162" s="26" t="n">
        <f aca="false">INDEX(LR_Target,MATCH(B162,LR_Lane,0))</f>
        <v>2</v>
      </c>
      <c r="N162" s="31" t="n">
        <f aca="false">WORKDAY.INTL(L162,M162,INDEX(LR_Code,MATCH(B162,LR_Lane,0)),INDEX(DH_Table,0,MATCH(B162&amp;"*",DH_Head,0)))</f>
        <v>46580</v>
      </c>
      <c r="O162" s="35" t="n">
        <f aca="false">IF(W162&lt;&gt;"",W162,IF(U162="Helmond",IF(COUNTIFS(RC_Lane,B162,RC_Band,E162,RC_Transit,"&lt;&gt;")=0,"",SUMIFS(RC_Transit,RC_Lane,B162,RC_Band,E162)),IF(U162="Other","",IF(INDEX(RS_Transit,MATCH(B162,RS_Lane,0))="","",INDEX(RS_Transit,MATCH(B162,RS_Lane,0))))))</f>
        <v>4</v>
      </c>
      <c r="P162" s="36"/>
      <c r="Q162" s="31" t="n">
        <f aca="false">IF(P162&lt;&gt;"",P162,IF(O162="","",WORKDAY.INTL(L162,ROUNDUP(O162,0),INDEX(LR_Code,MATCH(B162,LR_Lane,0)),INDEX(DH_Table,0,MATCH(B162&amp;"*",DH_Head,0)))))</f>
        <v>46582</v>
      </c>
      <c r="R162" s="37" t="str">
        <f aca="false">IF(Q162="","",IF(Q162&lt;=N162,"Yes","No"))</f>
        <v>No</v>
      </c>
      <c r="S162" s="26" t="n">
        <f aca="false">IF(Q162="","",IF(Q162&lt;=N162,0,NETWORKDAYS.INTL(N162,Q162,INDEX(LR_Code,MATCH(B162,LR_Lane,0)),INDEX(DH_Table,0,MATCH(B162&amp;"*",DH_Head,0)))-1))</f>
        <v>2</v>
      </c>
      <c r="T162" s="4"/>
      <c r="U162" s="25" t="str">
        <f aca="false">IF(V162&lt;&gt;"",V162,IF(IFERROR(INDEX(RS_Flag,MATCH(B162,RS_Lane,0)),"")="Yes",IF(IFERROR(INDEX(RS_Loc,MATCH(B162,RS_Lane,0)),"")="","Regional stock",IFERROR(INDEX(RS_Loc,MATCH(B162,RS_Lane,0)),"")),"Helmond"))</f>
        <v>Helmond</v>
      </c>
      <c r="V162" s="17"/>
      <c r="W162" s="38"/>
      <c r="X162" s="39"/>
      <c r="Y162" s="40" t="n">
        <f aca="false">IF(X162&lt;&gt;"",X162,IF(U162="Helmond",IF(COUNTIFS(RC_Lane,B162,RC_Band,E162,RC_CostPS,"&gt;0")=0,"",SUMIFS(RC_CostPS,RC_Lane,B162,RC_Band,E162)*(1-SUMIFS(RC_Disc,RC_Lane,B162,RC_Band,E162))),IF(U162="Other","",IF(INDEX(RS_Rate,MATCH(B162,RS_Lane,0))="","",INDEX(RS_Rate,MATCH(B162,RS_Lane,0))))))</f>
        <v>3051.4304</v>
      </c>
    </row>
    <row r="163" customFormat="false" ht="15" hidden="false" customHeight="false" outlineLevel="0" collapsed="false">
      <c r="A163" s="3" t="s">
        <v>572</v>
      </c>
      <c r="B163" s="25" t="s">
        <v>126</v>
      </c>
      <c r="C163" s="8" t="s">
        <v>127</v>
      </c>
      <c r="D163" s="8" t="s">
        <v>158</v>
      </c>
      <c r="E163" s="8" t="s">
        <v>178</v>
      </c>
      <c r="F163" s="19" t="n">
        <v>2</v>
      </c>
      <c r="G163" s="33" t="n">
        <f aca="false">F163*0.006477</f>
        <v>0.012954</v>
      </c>
      <c r="H163" s="19" t="n">
        <f aca="false">F163*1.079436</f>
        <v>2.158872</v>
      </c>
      <c r="I163" s="18" t="n">
        <f aca="false">MAX(1,ROUNDUP(G163/0.096,0))</f>
        <v>1</v>
      </c>
      <c r="J163" s="31" t="n">
        <v>46577</v>
      </c>
      <c r="K163" s="34" t="n">
        <f aca="false">J163-WEEKDAY(J163,2)+1</f>
        <v>46573</v>
      </c>
      <c r="L163" s="31" t="n">
        <f aca="false">J163</f>
        <v>46577</v>
      </c>
      <c r="M163" s="26" t="n">
        <f aca="false">INDEX(LR_Target,MATCH(B163,LR_Lane,0))</f>
        <v>4</v>
      </c>
      <c r="N163" s="31" t="n">
        <f aca="false">WORKDAY.INTL(L163,M163,INDEX(LR_Code,MATCH(B163,LR_Lane,0)),INDEX(DH_Table,0,MATCH(B163&amp;"*",DH_Head,0)))</f>
        <v>46582</v>
      </c>
      <c r="O163" s="35" t="n">
        <f aca="false">IF(W163&lt;&gt;"",W163,IF(U163="Helmond",IF(COUNTIFS(RC_Lane,B163,RC_Band,E163,RC_Transit,"&lt;&gt;")=0,"",SUMIFS(RC_Transit,RC_Lane,B163,RC_Band,E163)),IF(U163="Other","",IF(INDEX(RS_Transit,MATCH(B163,RS_Lane,0))="","",INDEX(RS_Transit,MATCH(B163,RS_Lane,0))))))</f>
        <v>1</v>
      </c>
      <c r="P163" s="36"/>
      <c r="Q163" s="31" t="n">
        <f aca="false">IF(P163&lt;&gt;"",P163,IF(O163="","",WORKDAY.INTL(L163,ROUNDUP(O163,0),INDEX(LR_Code,MATCH(B163,LR_Lane,0)),INDEX(DH_Table,0,MATCH(B163&amp;"*",DH_Head,0)))))</f>
        <v>46579</v>
      </c>
      <c r="R163" s="37" t="str">
        <f aca="false">IF(Q163="","",IF(Q163&lt;=N163,"Yes","No"))</f>
        <v>Yes</v>
      </c>
      <c r="S163" s="26" t="n">
        <f aca="false">IF(Q163="","",IF(Q163&lt;=N163,0,NETWORKDAYS.INTL(N163,Q163,INDEX(LR_Code,MATCH(B163,LR_Lane,0)),INDEX(DH_Table,0,MATCH(B163&amp;"*",DH_Head,0)))-1))</f>
        <v>0</v>
      </c>
      <c r="T163" s="4"/>
      <c r="U163" s="25" t="str">
        <f aca="false">IF(V163&lt;&gt;"",V163,IF(IFERROR(INDEX(RS_Flag,MATCH(B163,RS_Lane,0)),"")="Yes",IF(IFERROR(INDEX(RS_Loc,MATCH(B163,RS_Lane,0)),"")="","Regional stock",IFERROR(INDEX(RS_Loc,MATCH(B163,RS_Lane,0)),"")),"Helmond"))</f>
        <v>Helmond</v>
      </c>
      <c r="V163" s="17"/>
      <c r="W163" s="38"/>
      <c r="X163" s="39"/>
      <c r="Y163" s="40" t="n">
        <f aca="false">IF(X163&lt;&gt;"",X163,IF(U163="Helmond",IF(COUNTIFS(RC_Lane,B163,RC_Band,E163,RC_CostPS,"&gt;0")=0,"",SUMIFS(RC_CostPS,RC_Lane,B163,RC_Band,E163)*(1-SUMIFS(RC_Disc,RC_Lane,B163,RC_Band,E163))),IF(U163="Other","",IF(INDEX(RS_Rate,MATCH(B163,RS_Lane,0))="","",INDEX(RS_Rate,MATCH(B163,RS_Lane,0))))))</f>
        <v>72.485</v>
      </c>
    </row>
    <row r="164" customFormat="false" ht="15" hidden="false" customHeight="false" outlineLevel="0" collapsed="false">
      <c r="A164" s="3" t="s">
        <v>573</v>
      </c>
      <c r="B164" s="25" t="s">
        <v>124</v>
      </c>
      <c r="C164" s="8" t="s">
        <v>125</v>
      </c>
      <c r="D164" s="8" t="s">
        <v>157</v>
      </c>
      <c r="E164" s="8" t="s">
        <v>178</v>
      </c>
      <c r="F164" s="19" t="n">
        <v>9.2</v>
      </c>
      <c r="G164" s="33" t="n">
        <f aca="false">F164*0.006477</f>
        <v>0.0595884</v>
      </c>
      <c r="H164" s="19" t="n">
        <f aca="false">F164*1.079436</f>
        <v>9.9308112</v>
      </c>
      <c r="I164" s="18" t="n">
        <f aca="false">MAX(1,ROUNDUP(G164/0.096,0))</f>
        <v>1</v>
      </c>
      <c r="J164" s="31" t="n">
        <v>46580</v>
      </c>
      <c r="K164" s="34" t="n">
        <f aca="false">J164-WEEKDAY(J164,2)+1</f>
        <v>46580</v>
      </c>
      <c r="L164" s="31" t="n">
        <f aca="false">J164</f>
        <v>46580</v>
      </c>
      <c r="M164" s="26" t="n">
        <f aca="false">INDEX(LR_Target,MATCH(B164,LR_Lane,0))</f>
        <v>5</v>
      </c>
      <c r="N164" s="31" t="n">
        <f aca="false">WORKDAY.INTL(L164,M164,INDEX(LR_Code,MATCH(B164,LR_Lane,0)),INDEX(DH_Table,0,MATCH(B164&amp;"*",DH_Head,0)))</f>
        <v>46587</v>
      </c>
      <c r="O164" s="35" t="n">
        <f aca="false">IF(W164&lt;&gt;"",W164,IF(U164="Helmond",IF(COUNTIFS(RC_Lane,B164,RC_Band,E164,RC_Transit,"&lt;&gt;")=0,"",SUMIFS(RC_Transit,RC_Lane,B164,RC_Band,E164)),IF(U164="Other","",IF(INDEX(RS_Transit,MATCH(B164,RS_Lane,0))="","",INDEX(RS_Transit,MATCH(B164,RS_Lane,0))))))</f>
        <v>1</v>
      </c>
      <c r="P164" s="36"/>
      <c r="Q164" s="31" t="n">
        <f aca="false">IF(P164&lt;&gt;"",P164,IF(O164="","",WORKDAY.INTL(L164,ROUNDUP(O164,0),INDEX(LR_Code,MATCH(B164,LR_Lane,0)),INDEX(DH_Table,0,MATCH(B164&amp;"*",DH_Head,0)))))</f>
        <v>46581</v>
      </c>
      <c r="R164" s="37" t="str">
        <f aca="false">IF(Q164="","",IF(Q164&lt;=N164,"Yes","No"))</f>
        <v>Yes</v>
      </c>
      <c r="S164" s="26" t="n">
        <f aca="false">IF(Q164="","",IF(Q164&lt;=N164,0,NETWORKDAYS.INTL(N164,Q164,INDEX(LR_Code,MATCH(B164,LR_Lane,0)),INDEX(DH_Table,0,MATCH(B164&amp;"*",DH_Head,0)))-1))</f>
        <v>0</v>
      </c>
      <c r="T164" s="4"/>
      <c r="U164" s="25" t="str">
        <f aca="false">IF(V164&lt;&gt;"",V164,IF(IFERROR(INDEX(RS_Flag,MATCH(B164,RS_Lane,0)),"")="Yes",IF(IFERROR(INDEX(RS_Loc,MATCH(B164,RS_Lane,0)),"")="","Regional stock",IFERROR(INDEX(RS_Loc,MATCH(B164,RS_Lane,0)),"")),"Helmond"))</f>
        <v>Helmond</v>
      </c>
      <c r="V164" s="17"/>
      <c r="W164" s="38"/>
      <c r="X164" s="39"/>
      <c r="Y164" s="40" t="n">
        <f aca="false">IF(X164&lt;&gt;"",X164,IF(U164="Helmond",IF(COUNTIFS(RC_Lane,B164,RC_Band,E164,RC_CostPS,"&gt;0")=0,"",SUMIFS(RC_CostPS,RC_Lane,B164,RC_Band,E164)*(1-SUMIFS(RC_Disc,RC_Lane,B164,RC_Band,E164))),IF(U164="Other","",IF(INDEX(RS_Rate,MATCH(B164,RS_Lane,0))="","",INDEX(RS_Rate,MATCH(B164,RS_Lane,0))))))</f>
        <v>72.485</v>
      </c>
    </row>
    <row r="165" customFormat="false" ht="15" hidden="false" customHeight="false" outlineLevel="0" collapsed="false">
      <c r="A165" s="3" t="s">
        <v>574</v>
      </c>
      <c r="B165" s="25" t="s">
        <v>108</v>
      </c>
      <c r="C165" s="8" t="s">
        <v>109</v>
      </c>
      <c r="D165" s="8" t="s">
        <v>270</v>
      </c>
      <c r="E165" s="8" t="s">
        <v>180</v>
      </c>
      <c r="F165" s="19" t="n">
        <v>38.8</v>
      </c>
      <c r="G165" s="33" t="n">
        <f aca="false">F165*0.006477</f>
        <v>0.2513076</v>
      </c>
      <c r="H165" s="19" t="n">
        <f aca="false">F165*1.079436</f>
        <v>41.8821168</v>
      </c>
      <c r="I165" s="18" t="n">
        <f aca="false">MAX(1,ROUNDUP(G165/0.096,0))</f>
        <v>3</v>
      </c>
      <c r="J165" s="31" t="n">
        <v>46581</v>
      </c>
      <c r="K165" s="34" t="n">
        <f aca="false">J165-WEEKDAY(J165,2)+1</f>
        <v>46580</v>
      </c>
      <c r="L165" s="31" t="n">
        <f aca="false">J165</f>
        <v>46581</v>
      </c>
      <c r="M165" s="26" t="n">
        <f aca="false">INDEX(LR_Target,MATCH(B165,LR_Lane,0))</f>
        <v>2</v>
      </c>
      <c r="N165" s="31" t="n">
        <f aca="false">WORKDAY.INTL(L165,M165,INDEX(LR_Code,MATCH(B165,LR_Lane,0)),INDEX(DH_Table,0,MATCH(B165&amp;"*",DH_Head,0)))</f>
        <v>46583</v>
      </c>
      <c r="O165" s="35" t="n">
        <f aca="false">IF(W165&lt;&gt;"",W165,IF(U165="Helmond",IF(COUNTIFS(RC_Lane,B165,RC_Band,E165,RC_Transit,"&lt;&gt;")=0,"",SUMIFS(RC_Transit,RC_Lane,B165,RC_Band,E165)),IF(U165="Other","",IF(INDEX(RS_Transit,MATCH(B165,RS_Lane,0))="","",INDEX(RS_Transit,MATCH(B165,RS_Lane,0))))))</f>
        <v>2</v>
      </c>
      <c r="P165" s="36"/>
      <c r="Q165" s="31" t="n">
        <f aca="false">IF(P165&lt;&gt;"",P165,IF(O165="","",WORKDAY.INTL(L165,ROUNDUP(O165,0),INDEX(LR_Code,MATCH(B165,LR_Lane,0)),INDEX(DH_Table,0,MATCH(B165&amp;"*",DH_Head,0)))))</f>
        <v>46583</v>
      </c>
      <c r="R165" s="37" t="str">
        <f aca="false">IF(Q165="","",IF(Q165&lt;=N165,"Yes","No"))</f>
        <v>Yes</v>
      </c>
      <c r="S165" s="26" t="n">
        <f aca="false">IF(Q165="","",IF(Q165&lt;=N165,0,NETWORKDAYS.INTL(N165,Q165,INDEX(LR_Code,MATCH(B165,LR_Lane,0)),INDEX(DH_Table,0,MATCH(B165&amp;"*",DH_Head,0)))-1))</f>
        <v>0</v>
      </c>
      <c r="T165" s="4"/>
      <c r="U165" s="25" t="str">
        <f aca="false">IF(V165&lt;&gt;"",V165,IF(IFERROR(INDEX(RS_Flag,MATCH(B165,RS_Lane,0)),"")="Yes",IF(IFERROR(INDEX(RS_Loc,MATCH(B165,RS_Lane,0)),"")="","Regional stock",IFERROR(INDEX(RS_Loc,MATCH(B165,RS_Lane,0)),"")),"Helmond"))</f>
        <v>Helmond</v>
      </c>
      <c r="V165" s="17"/>
      <c r="W165" s="38"/>
      <c r="X165" s="39"/>
      <c r="Y165" s="40" t="n">
        <f aca="false">IF(X165&lt;&gt;"",X165,IF(U165="Helmond",IF(COUNTIFS(RC_Lane,B165,RC_Band,E165,RC_CostPS,"&gt;0")=0,"",SUMIFS(RC_CostPS,RC_Lane,B165,RC_Band,E165)*(1-SUMIFS(RC_Disc,RC_Lane,B165,RC_Band,E165))),IF(U165="Other","",IF(INDEX(RS_Rate,MATCH(B165,RS_Lane,0))="","",INDEX(RS_Rate,MATCH(B165,RS_Lane,0))))))</f>
        <v>284.98176</v>
      </c>
    </row>
    <row r="166" customFormat="false" ht="15" hidden="false" customHeight="false" outlineLevel="0" collapsed="false">
      <c r="A166" s="3" t="s">
        <v>575</v>
      </c>
      <c r="B166" s="25" t="s">
        <v>108</v>
      </c>
      <c r="C166" s="8" t="s">
        <v>109</v>
      </c>
      <c r="D166" s="8" t="s">
        <v>270</v>
      </c>
      <c r="E166" s="8" t="s">
        <v>182</v>
      </c>
      <c r="F166" s="19" t="n">
        <v>368.1</v>
      </c>
      <c r="G166" s="33" t="n">
        <f aca="false">F166*0.006477</f>
        <v>2.3841837</v>
      </c>
      <c r="H166" s="19" t="n">
        <f aca="false">F166*1.079436</f>
        <v>397.3403916</v>
      </c>
      <c r="I166" s="18" t="n">
        <f aca="false">MAX(1,ROUNDUP(G166/0.096,0))</f>
        <v>25</v>
      </c>
      <c r="J166" s="31" t="n">
        <v>46581</v>
      </c>
      <c r="K166" s="34" t="n">
        <f aca="false">J166-WEEKDAY(J166,2)+1</f>
        <v>46580</v>
      </c>
      <c r="L166" s="31" t="n">
        <f aca="false">J166</f>
        <v>46581</v>
      </c>
      <c r="M166" s="26" t="n">
        <f aca="false">INDEX(LR_Target,MATCH(B166,LR_Lane,0))</f>
        <v>2</v>
      </c>
      <c r="N166" s="31" t="n">
        <f aca="false">WORKDAY.INTL(L166,M166,INDEX(LR_Code,MATCH(B166,LR_Lane,0)),INDEX(DH_Table,0,MATCH(B166&amp;"*",DH_Head,0)))</f>
        <v>46583</v>
      </c>
      <c r="O166" s="35" t="n">
        <f aca="false">IF(W166&lt;&gt;"",W166,IF(U166="Helmond",IF(COUNTIFS(RC_Lane,B166,RC_Band,E166,RC_Transit,"&lt;&gt;")=0,"",SUMIFS(RC_Transit,RC_Lane,B166,RC_Band,E166)),IF(U166="Other","",IF(INDEX(RS_Transit,MATCH(B166,RS_Lane,0))="","",INDEX(RS_Transit,MATCH(B166,RS_Lane,0))))))</f>
        <v>3</v>
      </c>
      <c r="P166" s="36"/>
      <c r="Q166" s="31" t="n">
        <f aca="false">IF(P166&lt;&gt;"",P166,IF(O166="","",WORKDAY.INTL(L166,ROUNDUP(O166,0),INDEX(LR_Code,MATCH(B166,LR_Lane,0)),INDEX(DH_Table,0,MATCH(B166&amp;"*",DH_Head,0)))))</f>
        <v>46586</v>
      </c>
      <c r="R166" s="37" t="str">
        <f aca="false">IF(Q166="","",IF(Q166&lt;=N166,"Yes","No"))</f>
        <v>No</v>
      </c>
      <c r="S166" s="26" t="n">
        <f aca="false">IF(Q166="","",IF(Q166&lt;=N166,0,NETWORKDAYS.INTL(N166,Q166,INDEX(LR_Code,MATCH(B166,LR_Lane,0)),INDEX(DH_Table,0,MATCH(B166&amp;"*",DH_Head,0)))-1))</f>
        <v>1</v>
      </c>
      <c r="T166" s="4"/>
      <c r="U166" s="25" t="str">
        <f aca="false">IF(V166&lt;&gt;"",V166,IF(IFERROR(INDEX(RS_Flag,MATCH(B166,RS_Lane,0)),"")="Yes",IF(IFERROR(INDEX(RS_Loc,MATCH(B166,RS_Lane,0)),"")="","Regional stock",IFERROR(INDEX(RS_Loc,MATCH(B166,RS_Lane,0)),"")),"Helmond"))</f>
        <v>Helmond</v>
      </c>
      <c r="V166" s="17"/>
      <c r="W166" s="38"/>
      <c r="X166" s="39"/>
      <c r="Y166" s="40" t="n">
        <f aca="false">IF(X166&lt;&gt;"",X166,IF(U166="Helmond",IF(COUNTIFS(RC_Lane,B166,RC_Band,E166,RC_CostPS,"&gt;0")=0,"",SUMIFS(RC_CostPS,RC_Lane,B166,RC_Band,E166)*(1-SUMIFS(RC_Disc,RC_Lane,B166,RC_Band,E166))),IF(U166="Other","",IF(INDEX(RS_Rate,MATCH(B166,RS_Lane,0))="","",INDEX(RS_Rate,MATCH(B166,RS_Lane,0))))))</f>
        <v>1009.7531</v>
      </c>
    </row>
    <row r="167" customFormat="false" ht="15" hidden="false" customHeight="false" outlineLevel="0" collapsed="false">
      <c r="A167" s="3" t="s">
        <v>576</v>
      </c>
      <c r="B167" s="25" t="s">
        <v>112</v>
      </c>
      <c r="C167" s="8" t="s">
        <v>113</v>
      </c>
      <c r="D167" s="8" t="s">
        <v>152</v>
      </c>
      <c r="E167" s="8" t="s">
        <v>178</v>
      </c>
      <c r="F167" s="19" t="n">
        <v>9.4</v>
      </c>
      <c r="G167" s="33" t="n">
        <f aca="false">F167*0.006477</f>
        <v>0.0608838</v>
      </c>
      <c r="H167" s="19" t="n">
        <f aca="false">F167*1.079436</f>
        <v>10.1466984</v>
      </c>
      <c r="I167" s="18" t="n">
        <f aca="false">MAX(1,ROUNDUP(G167/0.096,0))</f>
        <v>1</v>
      </c>
      <c r="J167" s="31" t="n">
        <v>46581</v>
      </c>
      <c r="K167" s="34" t="n">
        <f aca="false">J167-WEEKDAY(J167,2)+1</f>
        <v>46580</v>
      </c>
      <c r="L167" s="31" t="n">
        <f aca="false">J167</f>
        <v>46581</v>
      </c>
      <c r="M167" s="26" t="n">
        <f aca="false">INDEX(LR_Target,MATCH(B167,LR_Lane,0))</f>
        <v>2</v>
      </c>
      <c r="N167" s="31" t="n">
        <f aca="false">WORKDAY.INTL(L167,M167,INDEX(LR_Code,MATCH(B167,LR_Lane,0)),INDEX(DH_Table,0,MATCH(B167&amp;"*",DH_Head,0)))</f>
        <v>46583</v>
      </c>
      <c r="O167" s="35" t="n">
        <f aca="false">IF(W167&lt;&gt;"",W167,IF(U167="Helmond",IF(COUNTIFS(RC_Lane,B167,RC_Band,E167,RC_Transit,"&lt;&gt;")=0,"",SUMIFS(RC_Transit,RC_Lane,B167,RC_Band,E167)),IF(U167="Other","",IF(INDEX(RS_Transit,MATCH(B167,RS_Lane,0))="","",INDEX(RS_Transit,MATCH(B167,RS_Lane,0))))))</f>
        <v>1</v>
      </c>
      <c r="P167" s="36"/>
      <c r="Q167" s="31" t="n">
        <f aca="false">IF(P167&lt;&gt;"",P167,IF(O167="","",WORKDAY.INTL(L167,ROUNDUP(O167,0),INDEX(LR_Code,MATCH(B167,LR_Lane,0)),INDEX(DH_Table,0,MATCH(B167&amp;"*",DH_Head,0)))))</f>
        <v>46582</v>
      </c>
      <c r="R167" s="37" t="str">
        <f aca="false">IF(Q167="","",IF(Q167&lt;=N167,"Yes","No"))</f>
        <v>Yes</v>
      </c>
      <c r="S167" s="26" t="n">
        <f aca="false">IF(Q167="","",IF(Q167&lt;=N167,0,NETWORKDAYS.INTL(N167,Q167,INDEX(LR_Code,MATCH(B167,LR_Lane,0)),INDEX(DH_Table,0,MATCH(B167&amp;"*",DH_Head,0)))-1))</f>
        <v>0</v>
      </c>
      <c r="T167" s="4"/>
      <c r="U167" s="25" t="str">
        <f aca="false">IF(V167&lt;&gt;"",V167,IF(IFERROR(INDEX(RS_Flag,MATCH(B167,RS_Lane,0)),"")="Yes",IF(IFERROR(INDEX(RS_Loc,MATCH(B167,RS_Lane,0)),"")="","Regional stock",IFERROR(INDEX(RS_Loc,MATCH(B167,RS_Lane,0)),"")),"Helmond"))</f>
        <v>Helmond</v>
      </c>
      <c r="V167" s="17"/>
      <c r="W167" s="38"/>
      <c r="X167" s="39"/>
      <c r="Y167" s="40" t="n">
        <f aca="false">IF(X167&lt;&gt;"",X167,IF(U167="Helmond",IF(COUNTIFS(RC_Lane,B167,RC_Band,E167,RC_CostPS,"&gt;0")=0,"",SUMIFS(RC_CostPS,RC_Lane,B167,RC_Band,E167)*(1-SUMIFS(RC_Disc,RC_Lane,B167,RC_Band,E167))),IF(U167="Other","",IF(INDEX(RS_Rate,MATCH(B167,RS_Lane,0))="","",INDEX(RS_Rate,MATCH(B167,RS_Lane,0))))))</f>
        <v>72.485</v>
      </c>
    </row>
    <row r="168" customFormat="false" ht="15" hidden="false" customHeight="false" outlineLevel="0" collapsed="false">
      <c r="A168" s="3" t="s">
        <v>577</v>
      </c>
      <c r="B168" s="25" t="s">
        <v>119</v>
      </c>
      <c r="C168" s="8" t="s">
        <v>120</v>
      </c>
      <c r="D168" s="8" t="s">
        <v>155</v>
      </c>
      <c r="E168" s="8" t="s">
        <v>182</v>
      </c>
      <c r="F168" s="19" t="n">
        <v>232.3</v>
      </c>
      <c r="G168" s="33" t="n">
        <f aca="false">F168*0.006477</f>
        <v>1.5046071</v>
      </c>
      <c r="H168" s="19" t="n">
        <f aca="false">F168*1.079436</f>
        <v>250.7529828</v>
      </c>
      <c r="I168" s="18" t="n">
        <f aca="false">MAX(1,ROUNDUP(G168/0.096,0))</f>
        <v>16</v>
      </c>
      <c r="J168" s="31" t="n">
        <v>46581</v>
      </c>
      <c r="K168" s="34" t="n">
        <f aca="false">J168-WEEKDAY(J168,2)+1</f>
        <v>46580</v>
      </c>
      <c r="L168" s="31" t="n">
        <f aca="false">J168</f>
        <v>46581</v>
      </c>
      <c r="M168" s="26" t="n">
        <f aca="false">INDEX(LR_Target,MATCH(B168,LR_Lane,0))</f>
        <v>3</v>
      </c>
      <c r="N168" s="31" t="n">
        <f aca="false">WORKDAY.INTL(L168,M168,INDEX(LR_Code,MATCH(B168,LR_Lane,0)),INDEX(DH_Table,0,MATCH(B168&amp;"*",DH_Head,0)))</f>
        <v>46587</v>
      </c>
      <c r="O168" s="35" t="n">
        <f aca="false">IF(W168&lt;&gt;"",W168,IF(U168="Helmond",IF(COUNTIFS(RC_Lane,B168,RC_Band,E168,RC_Transit,"&lt;&gt;")=0,"",SUMIFS(RC_Transit,RC_Lane,B168,RC_Band,E168)),IF(U168="Other","",IF(INDEX(RS_Transit,MATCH(B168,RS_Lane,0))="","",INDEX(RS_Transit,MATCH(B168,RS_Lane,0))))))</f>
        <v>3</v>
      </c>
      <c r="P168" s="36"/>
      <c r="Q168" s="31" t="n">
        <f aca="false">IF(P168&lt;&gt;"",P168,IF(O168="","",WORKDAY.INTL(L168,ROUNDUP(O168,0),INDEX(LR_Code,MATCH(B168,LR_Lane,0)),INDEX(DH_Table,0,MATCH(B168&amp;"*",DH_Head,0)))))</f>
        <v>46587</v>
      </c>
      <c r="R168" s="37" t="str">
        <f aca="false">IF(Q168="","",IF(Q168&lt;=N168,"Yes","No"))</f>
        <v>Yes</v>
      </c>
      <c r="S168" s="26" t="n">
        <f aca="false">IF(Q168="","",IF(Q168&lt;=N168,0,NETWORKDAYS.INTL(N168,Q168,INDEX(LR_Code,MATCH(B168,LR_Lane,0)),INDEX(DH_Table,0,MATCH(B168&amp;"*",DH_Head,0)))-1))</f>
        <v>0</v>
      </c>
      <c r="T168" s="4"/>
      <c r="U168" s="25" t="str">
        <f aca="false">IF(V168&lt;&gt;"",V168,IF(IFERROR(INDEX(RS_Flag,MATCH(B168,RS_Lane,0)),"")="Yes",IF(IFERROR(INDEX(RS_Loc,MATCH(B168,RS_Lane,0)),"")="","Regional stock",IFERROR(INDEX(RS_Loc,MATCH(B168,RS_Lane,0)),"")),"Helmond"))</f>
        <v>Helmond</v>
      </c>
      <c r="V168" s="17"/>
      <c r="W168" s="38"/>
      <c r="X168" s="39"/>
      <c r="Y168" s="40" t="n">
        <f aca="false">IF(X168&lt;&gt;"",X168,IF(U168="Helmond",IF(COUNTIFS(RC_Lane,B168,RC_Band,E168,RC_CostPS,"&gt;0")=0,"",SUMIFS(RC_CostPS,RC_Lane,B168,RC_Band,E168)*(1-SUMIFS(RC_Disc,RC_Lane,B168,RC_Band,E168))),IF(U168="Other","",IF(INDEX(RS_Rate,MATCH(B168,RS_Lane,0))="","",INDEX(RS_Rate,MATCH(B168,RS_Lane,0))))))</f>
        <v>1400.35434</v>
      </c>
    </row>
    <row r="169" customFormat="false" ht="15" hidden="false" customHeight="false" outlineLevel="0" collapsed="false">
      <c r="A169" s="3" t="s">
        <v>578</v>
      </c>
      <c r="B169" s="25" t="s">
        <v>119</v>
      </c>
      <c r="C169" s="8" t="s">
        <v>120</v>
      </c>
      <c r="D169" s="8" t="s">
        <v>155</v>
      </c>
      <c r="E169" s="8" t="s">
        <v>182</v>
      </c>
      <c r="F169" s="19" t="n">
        <v>173.1</v>
      </c>
      <c r="G169" s="33" t="n">
        <f aca="false">F169*0.006477</f>
        <v>1.1211687</v>
      </c>
      <c r="H169" s="19" t="n">
        <f aca="false">F169*1.079436</f>
        <v>186.8503716</v>
      </c>
      <c r="I169" s="18" t="n">
        <f aca="false">MAX(1,ROUNDUP(G169/0.096,0))</f>
        <v>12</v>
      </c>
      <c r="J169" s="31" t="n">
        <v>46582</v>
      </c>
      <c r="K169" s="34" t="n">
        <f aca="false">J169-WEEKDAY(J169,2)+1</f>
        <v>46580</v>
      </c>
      <c r="L169" s="31" t="n">
        <f aca="false">J169</f>
        <v>46582</v>
      </c>
      <c r="M169" s="26" t="n">
        <f aca="false">INDEX(LR_Target,MATCH(B169,LR_Lane,0))</f>
        <v>3</v>
      </c>
      <c r="N169" s="31" t="n">
        <f aca="false">WORKDAY.INTL(L169,M169,INDEX(LR_Code,MATCH(B169,LR_Lane,0)),INDEX(DH_Table,0,MATCH(B169&amp;"*",DH_Head,0)))</f>
        <v>46588</v>
      </c>
      <c r="O169" s="35" t="n">
        <f aca="false">IF(W169&lt;&gt;"",W169,IF(U169="Helmond",IF(COUNTIFS(RC_Lane,B169,RC_Band,E169,RC_Transit,"&lt;&gt;")=0,"",SUMIFS(RC_Transit,RC_Lane,B169,RC_Band,E169)),IF(U169="Other","",IF(INDEX(RS_Transit,MATCH(B169,RS_Lane,0))="","",INDEX(RS_Transit,MATCH(B169,RS_Lane,0))))))</f>
        <v>3</v>
      </c>
      <c r="P169" s="36"/>
      <c r="Q169" s="31" t="n">
        <f aca="false">IF(P169&lt;&gt;"",P169,IF(O169="","",WORKDAY.INTL(L169,ROUNDUP(O169,0),INDEX(LR_Code,MATCH(B169,LR_Lane,0)),INDEX(DH_Table,0,MATCH(B169&amp;"*",DH_Head,0)))))</f>
        <v>46588</v>
      </c>
      <c r="R169" s="37" t="str">
        <f aca="false">IF(Q169="","",IF(Q169&lt;=N169,"Yes","No"))</f>
        <v>Yes</v>
      </c>
      <c r="S169" s="26" t="n">
        <f aca="false">IF(Q169="","",IF(Q169&lt;=N169,0,NETWORKDAYS.INTL(N169,Q169,INDEX(LR_Code,MATCH(B169,LR_Lane,0)),INDEX(DH_Table,0,MATCH(B169&amp;"*",DH_Head,0)))-1))</f>
        <v>0</v>
      </c>
      <c r="T169" s="4"/>
      <c r="U169" s="25" t="str">
        <f aca="false">IF(V169&lt;&gt;"",V169,IF(IFERROR(INDEX(RS_Flag,MATCH(B169,RS_Lane,0)),"")="Yes",IF(IFERROR(INDEX(RS_Loc,MATCH(B169,RS_Lane,0)),"")="","Regional stock",IFERROR(INDEX(RS_Loc,MATCH(B169,RS_Lane,0)),"")),"Helmond"))</f>
        <v>Helmond</v>
      </c>
      <c r="V169" s="17"/>
      <c r="W169" s="38"/>
      <c r="X169" s="39"/>
      <c r="Y169" s="40" t="n">
        <f aca="false">IF(X169&lt;&gt;"",X169,IF(U169="Helmond",IF(COUNTIFS(RC_Lane,B169,RC_Band,E169,RC_CostPS,"&gt;0")=0,"",SUMIFS(RC_CostPS,RC_Lane,B169,RC_Band,E169)*(1-SUMIFS(RC_Disc,RC_Lane,B169,RC_Band,E169))),IF(U169="Other","",IF(INDEX(RS_Rate,MATCH(B169,RS_Lane,0))="","",INDEX(RS_Rate,MATCH(B169,RS_Lane,0))))))</f>
        <v>1400.35434</v>
      </c>
    </row>
    <row r="170" customFormat="false" ht="15" hidden="false" customHeight="false" outlineLevel="0" collapsed="false">
      <c r="A170" s="3" t="s">
        <v>579</v>
      </c>
      <c r="B170" s="25" t="s">
        <v>108</v>
      </c>
      <c r="C170" s="8" t="s">
        <v>109</v>
      </c>
      <c r="D170" s="8" t="s">
        <v>270</v>
      </c>
      <c r="E170" s="8" t="s">
        <v>180</v>
      </c>
      <c r="F170" s="19" t="n">
        <v>63.1</v>
      </c>
      <c r="G170" s="33" t="n">
        <f aca="false">F170*0.006477</f>
        <v>0.4086987</v>
      </c>
      <c r="H170" s="19" t="n">
        <f aca="false">F170*1.079436</f>
        <v>68.1124116</v>
      </c>
      <c r="I170" s="18" t="n">
        <f aca="false">MAX(1,ROUNDUP(G170/0.096,0))</f>
        <v>5</v>
      </c>
      <c r="J170" s="31" t="n">
        <v>46583</v>
      </c>
      <c r="K170" s="34" t="n">
        <f aca="false">J170-WEEKDAY(J170,2)+1</f>
        <v>46580</v>
      </c>
      <c r="L170" s="31" t="n">
        <f aca="false">J170</f>
        <v>46583</v>
      </c>
      <c r="M170" s="26" t="n">
        <f aca="false">INDEX(LR_Target,MATCH(B170,LR_Lane,0))</f>
        <v>2</v>
      </c>
      <c r="N170" s="31" t="n">
        <f aca="false">WORKDAY.INTL(L170,M170,INDEX(LR_Code,MATCH(B170,LR_Lane,0)),INDEX(DH_Table,0,MATCH(B170&amp;"*",DH_Head,0)))</f>
        <v>46587</v>
      </c>
      <c r="O170" s="35" t="n">
        <f aca="false">IF(W170&lt;&gt;"",W170,IF(U170="Helmond",IF(COUNTIFS(RC_Lane,B170,RC_Band,E170,RC_Transit,"&lt;&gt;")=0,"",SUMIFS(RC_Transit,RC_Lane,B170,RC_Band,E170)),IF(U170="Other","",IF(INDEX(RS_Transit,MATCH(B170,RS_Lane,0))="","",INDEX(RS_Transit,MATCH(B170,RS_Lane,0))))))</f>
        <v>2</v>
      </c>
      <c r="P170" s="36"/>
      <c r="Q170" s="31" t="n">
        <f aca="false">IF(P170&lt;&gt;"",P170,IF(O170="","",WORKDAY.INTL(L170,ROUNDUP(O170,0),INDEX(LR_Code,MATCH(B170,LR_Lane,0)),INDEX(DH_Table,0,MATCH(B170&amp;"*",DH_Head,0)))))</f>
        <v>46587</v>
      </c>
      <c r="R170" s="37" t="str">
        <f aca="false">IF(Q170="","",IF(Q170&lt;=N170,"Yes","No"))</f>
        <v>Yes</v>
      </c>
      <c r="S170" s="26" t="n">
        <f aca="false">IF(Q170="","",IF(Q170&lt;=N170,0,NETWORKDAYS.INTL(N170,Q170,INDEX(LR_Code,MATCH(B170,LR_Lane,0)),INDEX(DH_Table,0,MATCH(B170&amp;"*",DH_Head,0)))-1))</f>
        <v>0</v>
      </c>
      <c r="T170" s="4"/>
      <c r="U170" s="25" t="str">
        <f aca="false">IF(V170&lt;&gt;"",V170,IF(IFERROR(INDEX(RS_Flag,MATCH(B170,RS_Lane,0)),"")="Yes",IF(IFERROR(INDEX(RS_Loc,MATCH(B170,RS_Lane,0)),"")="","Regional stock",IFERROR(INDEX(RS_Loc,MATCH(B170,RS_Lane,0)),"")),"Helmond"))</f>
        <v>Helmond</v>
      </c>
      <c r="V170" s="17"/>
      <c r="W170" s="38"/>
      <c r="X170" s="39"/>
      <c r="Y170" s="40" t="n">
        <f aca="false">IF(X170&lt;&gt;"",X170,IF(U170="Helmond",IF(COUNTIFS(RC_Lane,B170,RC_Band,E170,RC_CostPS,"&gt;0")=0,"",SUMIFS(RC_CostPS,RC_Lane,B170,RC_Band,E170)*(1-SUMIFS(RC_Disc,RC_Lane,B170,RC_Band,E170))),IF(U170="Other","",IF(INDEX(RS_Rate,MATCH(B170,RS_Lane,0))="","",INDEX(RS_Rate,MATCH(B170,RS_Lane,0))))))</f>
        <v>284.98176</v>
      </c>
    </row>
    <row r="171" customFormat="false" ht="15" hidden="false" customHeight="false" outlineLevel="0" collapsed="false">
      <c r="A171" s="3" t="s">
        <v>580</v>
      </c>
      <c r="B171" s="25" t="s">
        <v>119</v>
      </c>
      <c r="C171" s="8" t="s">
        <v>120</v>
      </c>
      <c r="D171" s="8" t="s">
        <v>155</v>
      </c>
      <c r="E171" s="8" t="s">
        <v>178</v>
      </c>
      <c r="F171" s="19" t="n">
        <v>11.2</v>
      </c>
      <c r="G171" s="33" t="n">
        <f aca="false">F171*0.006477</f>
        <v>0.0725424</v>
      </c>
      <c r="H171" s="19" t="n">
        <f aca="false">F171*1.079436</f>
        <v>12.0896832</v>
      </c>
      <c r="I171" s="18" t="n">
        <f aca="false">MAX(1,ROUNDUP(G171/0.096,0))</f>
        <v>1</v>
      </c>
      <c r="J171" s="31" t="n">
        <v>46584</v>
      </c>
      <c r="K171" s="34" t="n">
        <f aca="false">J171-WEEKDAY(J171,2)+1</f>
        <v>46580</v>
      </c>
      <c r="L171" s="31" t="n">
        <f aca="false">J171</f>
        <v>46584</v>
      </c>
      <c r="M171" s="26" t="n">
        <f aca="false">INDEX(LR_Target,MATCH(B171,LR_Lane,0))</f>
        <v>3</v>
      </c>
      <c r="N171" s="31" t="n">
        <f aca="false">WORKDAY.INTL(L171,M171,INDEX(LR_Code,MATCH(B171,LR_Lane,0)),INDEX(DH_Table,0,MATCH(B171&amp;"*",DH_Head,0)))</f>
        <v>46589</v>
      </c>
      <c r="O171" s="35" t="n">
        <f aca="false">IF(W171&lt;&gt;"",W171,IF(U171="Helmond",IF(COUNTIFS(RC_Lane,B171,RC_Band,E171,RC_Transit,"&lt;&gt;")=0,"",SUMIFS(RC_Transit,RC_Lane,B171,RC_Band,E171)),IF(U171="Other","",IF(INDEX(RS_Transit,MATCH(B171,RS_Lane,0))="","",INDEX(RS_Transit,MATCH(B171,RS_Lane,0))))))</f>
        <v>1</v>
      </c>
      <c r="P171" s="36"/>
      <c r="Q171" s="31" t="n">
        <f aca="false">IF(P171&lt;&gt;"",P171,IF(O171="","",WORKDAY.INTL(L171,ROUNDUP(O171,0),INDEX(LR_Code,MATCH(B171,LR_Lane,0)),INDEX(DH_Table,0,MATCH(B171&amp;"*",DH_Head,0)))))</f>
        <v>46587</v>
      </c>
      <c r="R171" s="37" t="str">
        <f aca="false">IF(Q171="","",IF(Q171&lt;=N171,"Yes","No"))</f>
        <v>Yes</v>
      </c>
      <c r="S171" s="26" t="n">
        <f aca="false">IF(Q171="","",IF(Q171&lt;=N171,0,NETWORKDAYS.INTL(N171,Q171,INDEX(LR_Code,MATCH(B171,LR_Lane,0)),INDEX(DH_Table,0,MATCH(B171&amp;"*",DH_Head,0)))-1))</f>
        <v>0</v>
      </c>
      <c r="T171" s="4"/>
      <c r="U171" s="25" t="str">
        <f aca="false">IF(V171&lt;&gt;"",V171,IF(IFERROR(INDEX(RS_Flag,MATCH(B171,RS_Lane,0)),"")="Yes",IF(IFERROR(INDEX(RS_Loc,MATCH(B171,RS_Lane,0)),"")="","Regional stock",IFERROR(INDEX(RS_Loc,MATCH(B171,RS_Lane,0)),"")),"Helmond"))</f>
        <v>Helmond</v>
      </c>
      <c r="V171" s="17"/>
      <c r="W171" s="38"/>
      <c r="X171" s="39"/>
      <c r="Y171" s="40" t="n">
        <f aca="false">IF(X171&lt;&gt;"",X171,IF(U171="Helmond",IF(COUNTIFS(RC_Lane,B171,RC_Band,E171,RC_CostPS,"&gt;0")=0,"",SUMIFS(RC_CostPS,RC_Lane,B171,RC_Band,E171)*(1-SUMIFS(RC_Disc,RC_Lane,B171,RC_Band,E171))),IF(U171="Other","",IF(INDEX(RS_Rate,MATCH(B171,RS_Lane,0))="","",INDEX(RS_Rate,MATCH(B171,RS_Lane,0))))))</f>
        <v>72.485</v>
      </c>
    </row>
    <row r="172" customFormat="false" ht="15" hidden="false" customHeight="false" outlineLevel="0" collapsed="false">
      <c r="A172" s="3" t="s">
        <v>581</v>
      </c>
      <c r="B172" s="25" t="s">
        <v>112</v>
      </c>
      <c r="C172" s="8" t="s">
        <v>113</v>
      </c>
      <c r="D172" s="8" t="s">
        <v>152</v>
      </c>
      <c r="E172" s="8" t="s">
        <v>178</v>
      </c>
      <c r="F172" s="19" t="n">
        <v>14.6</v>
      </c>
      <c r="G172" s="33" t="n">
        <f aca="false">F172*0.006477</f>
        <v>0.0945642</v>
      </c>
      <c r="H172" s="19" t="n">
        <f aca="false">F172*1.079436</f>
        <v>15.7597656</v>
      </c>
      <c r="I172" s="18" t="n">
        <f aca="false">MAX(1,ROUNDUP(G172/0.096,0))</f>
        <v>1</v>
      </c>
      <c r="J172" s="31" t="n">
        <v>46587</v>
      </c>
      <c r="K172" s="34" t="n">
        <f aca="false">J172-WEEKDAY(J172,2)+1</f>
        <v>46587</v>
      </c>
      <c r="L172" s="31" t="n">
        <f aca="false">J172</f>
        <v>46587</v>
      </c>
      <c r="M172" s="26" t="n">
        <f aca="false">INDEX(LR_Target,MATCH(B172,LR_Lane,0))</f>
        <v>2</v>
      </c>
      <c r="N172" s="31" t="n">
        <f aca="false">WORKDAY.INTL(L172,M172,INDEX(LR_Code,MATCH(B172,LR_Lane,0)),INDEX(DH_Table,0,MATCH(B172&amp;"*",DH_Head,0)))</f>
        <v>46589</v>
      </c>
      <c r="O172" s="35" t="n">
        <f aca="false">IF(W172&lt;&gt;"",W172,IF(U172="Helmond",IF(COUNTIFS(RC_Lane,B172,RC_Band,E172,RC_Transit,"&lt;&gt;")=0,"",SUMIFS(RC_Transit,RC_Lane,B172,RC_Band,E172)),IF(U172="Other","",IF(INDEX(RS_Transit,MATCH(B172,RS_Lane,0))="","",INDEX(RS_Transit,MATCH(B172,RS_Lane,0))))))</f>
        <v>1</v>
      </c>
      <c r="P172" s="36"/>
      <c r="Q172" s="31" t="n">
        <f aca="false">IF(P172&lt;&gt;"",P172,IF(O172="","",WORKDAY.INTL(L172,ROUNDUP(O172,0),INDEX(LR_Code,MATCH(B172,LR_Lane,0)),INDEX(DH_Table,0,MATCH(B172&amp;"*",DH_Head,0)))))</f>
        <v>46588</v>
      </c>
      <c r="R172" s="37" t="str">
        <f aca="false">IF(Q172="","",IF(Q172&lt;=N172,"Yes","No"))</f>
        <v>Yes</v>
      </c>
      <c r="S172" s="26" t="n">
        <f aca="false">IF(Q172="","",IF(Q172&lt;=N172,0,NETWORKDAYS.INTL(N172,Q172,INDEX(LR_Code,MATCH(B172,LR_Lane,0)),INDEX(DH_Table,0,MATCH(B172&amp;"*",DH_Head,0)))-1))</f>
        <v>0</v>
      </c>
      <c r="T172" s="4"/>
      <c r="U172" s="25" t="str">
        <f aca="false">IF(V172&lt;&gt;"",V172,IF(IFERROR(INDEX(RS_Flag,MATCH(B172,RS_Lane,0)),"")="Yes",IF(IFERROR(INDEX(RS_Loc,MATCH(B172,RS_Lane,0)),"")="","Regional stock",IFERROR(INDEX(RS_Loc,MATCH(B172,RS_Lane,0)),"")),"Helmond"))</f>
        <v>Helmond</v>
      </c>
      <c r="V172" s="17"/>
      <c r="W172" s="38"/>
      <c r="X172" s="39"/>
      <c r="Y172" s="40" t="n">
        <f aca="false">IF(X172&lt;&gt;"",X172,IF(U172="Helmond",IF(COUNTIFS(RC_Lane,B172,RC_Band,E172,RC_CostPS,"&gt;0")=0,"",SUMIFS(RC_CostPS,RC_Lane,B172,RC_Band,E172)*(1-SUMIFS(RC_Disc,RC_Lane,B172,RC_Band,E172))),IF(U172="Other","",IF(INDEX(RS_Rate,MATCH(B172,RS_Lane,0))="","",INDEX(RS_Rate,MATCH(B172,RS_Lane,0))))))</f>
        <v>72.485</v>
      </c>
    </row>
    <row r="173" customFormat="false" ht="15" hidden="false" customHeight="false" outlineLevel="0" collapsed="false">
      <c r="A173" s="3" t="s">
        <v>582</v>
      </c>
      <c r="B173" s="25" t="s">
        <v>108</v>
      </c>
      <c r="C173" s="8" t="s">
        <v>109</v>
      </c>
      <c r="D173" s="8" t="s">
        <v>270</v>
      </c>
      <c r="E173" s="8" t="s">
        <v>182</v>
      </c>
      <c r="F173" s="19" t="n">
        <v>310.2</v>
      </c>
      <c r="G173" s="33" t="n">
        <f aca="false">F173*0.006477</f>
        <v>2.0091654</v>
      </c>
      <c r="H173" s="19" t="n">
        <f aca="false">F173*1.079436</f>
        <v>334.8410472</v>
      </c>
      <c r="I173" s="18" t="n">
        <f aca="false">MAX(1,ROUNDUP(G173/0.096,0))</f>
        <v>21</v>
      </c>
      <c r="J173" s="31" t="n">
        <v>46588</v>
      </c>
      <c r="K173" s="34" t="n">
        <f aca="false">J173-WEEKDAY(J173,2)+1</f>
        <v>46587</v>
      </c>
      <c r="L173" s="31" t="n">
        <f aca="false">J173</f>
        <v>46588</v>
      </c>
      <c r="M173" s="26" t="n">
        <f aca="false">INDEX(LR_Target,MATCH(B173,LR_Lane,0))</f>
        <v>2</v>
      </c>
      <c r="N173" s="31" t="n">
        <f aca="false">WORKDAY.INTL(L173,M173,INDEX(LR_Code,MATCH(B173,LR_Lane,0)),INDEX(DH_Table,0,MATCH(B173&amp;"*",DH_Head,0)))</f>
        <v>46590</v>
      </c>
      <c r="O173" s="35" t="n">
        <f aca="false">IF(W173&lt;&gt;"",W173,IF(U173="Helmond",IF(COUNTIFS(RC_Lane,B173,RC_Band,E173,RC_Transit,"&lt;&gt;")=0,"",SUMIFS(RC_Transit,RC_Lane,B173,RC_Band,E173)),IF(U173="Other","",IF(INDEX(RS_Transit,MATCH(B173,RS_Lane,0))="","",INDEX(RS_Transit,MATCH(B173,RS_Lane,0))))))</f>
        <v>3</v>
      </c>
      <c r="P173" s="36"/>
      <c r="Q173" s="31" t="n">
        <f aca="false">IF(P173&lt;&gt;"",P173,IF(O173="","",WORKDAY.INTL(L173,ROUNDUP(O173,0),INDEX(LR_Code,MATCH(B173,LR_Lane,0)),INDEX(DH_Table,0,MATCH(B173&amp;"*",DH_Head,0)))))</f>
        <v>46593</v>
      </c>
      <c r="R173" s="37" t="str">
        <f aca="false">IF(Q173="","",IF(Q173&lt;=N173,"Yes","No"))</f>
        <v>No</v>
      </c>
      <c r="S173" s="26" t="n">
        <f aca="false">IF(Q173="","",IF(Q173&lt;=N173,0,NETWORKDAYS.INTL(N173,Q173,INDEX(LR_Code,MATCH(B173,LR_Lane,0)),INDEX(DH_Table,0,MATCH(B173&amp;"*",DH_Head,0)))-1))</f>
        <v>1</v>
      </c>
      <c r="T173" s="4"/>
      <c r="U173" s="25" t="str">
        <f aca="false">IF(V173&lt;&gt;"",V173,IF(IFERROR(INDEX(RS_Flag,MATCH(B173,RS_Lane,0)),"")="Yes",IF(IFERROR(INDEX(RS_Loc,MATCH(B173,RS_Lane,0)),"")="","Regional stock",IFERROR(INDEX(RS_Loc,MATCH(B173,RS_Lane,0)),"")),"Helmond"))</f>
        <v>Helmond</v>
      </c>
      <c r="V173" s="17"/>
      <c r="W173" s="38"/>
      <c r="X173" s="39"/>
      <c r="Y173" s="40" t="n">
        <f aca="false">IF(X173&lt;&gt;"",X173,IF(U173="Helmond",IF(COUNTIFS(RC_Lane,B173,RC_Band,E173,RC_CostPS,"&gt;0")=0,"",SUMIFS(RC_CostPS,RC_Lane,B173,RC_Band,E173)*(1-SUMIFS(RC_Disc,RC_Lane,B173,RC_Band,E173))),IF(U173="Other","",IF(INDEX(RS_Rate,MATCH(B173,RS_Lane,0))="","",INDEX(RS_Rate,MATCH(B173,RS_Lane,0))))))</f>
        <v>1009.7531</v>
      </c>
    </row>
    <row r="174" customFormat="false" ht="15" hidden="false" customHeight="false" outlineLevel="0" collapsed="false">
      <c r="A174" s="3" t="s">
        <v>583</v>
      </c>
      <c r="B174" s="25" t="s">
        <v>112</v>
      </c>
      <c r="C174" s="8" t="s">
        <v>113</v>
      </c>
      <c r="D174" s="8" t="s">
        <v>152</v>
      </c>
      <c r="E174" s="8" t="s">
        <v>178</v>
      </c>
      <c r="F174" s="19" t="n">
        <v>3.3</v>
      </c>
      <c r="G174" s="33" t="n">
        <f aca="false">F174*0.006477</f>
        <v>0.0213741</v>
      </c>
      <c r="H174" s="19" t="n">
        <f aca="false">F174*1.079436</f>
        <v>3.5621388</v>
      </c>
      <c r="I174" s="18" t="n">
        <f aca="false">MAX(1,ROUNDUP(G174/0.096,0))</f>
        <v>1</v>
      </c>
      <c r="J174" s="31" t="n">
        <v>46589</v>
      </c>
      <c r="K174" s="34" t="n">
        <f aca="false">J174-WEEKDAY(J174,2)+1</f>
        <v>46587</v>
      </c>
      <c r="L174" s="31" t="n">
        <f aca="false">J174</f>
        <v>46589</v>
      </c>
      <c r="M174" s="26" t="n">
        <f aca="false">INDEX(LR_Target,MATCH(B174,LR_Lane,0))</f>
        <v>2</v>
      </c>
      <c r="N174" s="31" t="n">
        <f aca="false">WORKDAY.INTL(L174,M174,INDEX(LR_Code,MATCH(B174,LR_Lane,0)),INDEX(DH_Table,0,MATCH(B174&amp;"*",DH_Head,0)))</f>
        <v>46591</v>
      </c>
      <c r="O174" s="35" t="n">
        <f aca="false">IF(W174&lt;&gt;"",W174,IF(U174="Helmond",IF(COUNTIFS(RC_Lane,B174,RC_Band,E174,RC_Transit,"&lt;&gt;")=0,"",SUMIFS(RC_Transit,RC_Lane,B174,RC_Band,E174)),IF(U174="Other","",IF(INDEX(RS_Transit,MATCH(B174,RS_Lane,0))="","",INDEX(RS_Transit,MATCH(B174,RS_Lane,0))))))</f>
        <v>1</v>
      </c>
      <c r="P174" s="36"/>
      <c r="Q174" s="31" t="n">
        <f aca="false">IF(P174&lt;&gt;"",P174,IF(O174="","",WORKDAY.INTL(L174,ROUNDUP(O174,0),INDEX(LR_Code,MATCH(B174,LR_Lane,0)),INDEX(DH_Table,0,MATCH(B174&amp;"*",DH_Head,0)))))</f>
        <v>46590</v>
      </c>
      <c r="R174" s="37" t="str">
        <f aca="false">IF(Q174="","",IF(Q174&lt;=N174,"Yes","No"))</f>
        <v>Yes</v>
      </c>
      <c r="S174" s="26" t="n">
        <f aca="false">IF(Q174="","",IF(Q174&lt;=N174,0,NETWORKDAYS.INTL(N174,Q174,INDEX(LR_Code,MATCH(B174,LR_Lane,0)),INDEX(DH_Table,0,MATCH(B174&amp;"*",DH_Head,0)))-1))</f>
        <v>0</v>
      </c>
      <c r="T174" s="4"/>
      <c r="U174" s="25" t="str">
        <f aca="false">IF(V174&lt;&gt;"",V174,IF(IFERROR(INDEX(RS_Flag,MATCH(B174,RS_Lane,0)),"")="Yes",IF(IFERROR(INDEX(RS_Loc,MATCH(B174,RS_Lane,0)),"")="","Regional stock",IFERROR(INDEX(RS_Loc,MATCH(B174,RS_Lane,0)),"")),"Helmond"))</f>
        <v>Helmond</v>
      </c>
      <c r="V174" s="17"/>
      <c r="W174" s="38"/>
      <c r="X174" s="39"/>
      <c r="Y174" s="40" t="n">
        <f aca="false">IF(X174&lt;&gt;"",X174,IF(U174="Helmond",IF(COUNTIFS(RC_Lane,B174,RC_Band,E174,RC_CostPS,"&gt;0")=0,"",SUMIFS(RC_CostPS,RC_Lane,B174,RC_Band,E174)*(1-SUMIFS(RC_Disc,RC_Lane,B174,RC_Band,E174))),IF(U174="Other","",IF(INDEX(RS_Rate,MATCH(B174,RS_Lane,0))="","",INDEX(RS_Rate,MATCH(B174,RS_Lane,0))))))</f>
        <v>72.485</v>
      </c>
    </row>
    <row r="175" customFormat="false" ht="15" hidden="false" customHeight="false" outlineLevel="0" collapsed="false">
      <c r="A175" s="3" t="s">
        <v>584</v>
      </c>
      <c r="B175" s="25" t="s">
        <v>108</v>
      </c>
      <c r="C175" s="8" t="s">
        <v>109</v>
      </c>
      <c r="D175" s="8" t="s">
        <v>272</v>
      </c>
      <c r="E175" s="8" t="s">
        <v>178</v>
      </c>
      <c r="F175" s="19" t="n">
        <v>2.2</v>
      </c>
      <c r="G175" s="33" t="n">
        <f aca="false">F175*0.006477</f>
        <v>0.0142494</v>
      </c>
      <c r="H175" s="19" t="n">
        <f aca="false">F175*1.079436</f>
        <v>2.3747592</v>
      </c>
      <c r="I175" s="18" t="n">
        <f aca="false">MAX(1,ROUNDUP(G175/0.096,0))</f>
        <v>1</v>
      </c>
      <c r="J175" s="31" t="n">
        <v>46590</v>
      </c>
      <c r="K175" s="34" t="n">
        <f aca="false">J175-WEEKDAY(J175,2)+1</f>
        <v>46587</v>
      </c>
      <c r="L175" s="31" t="n">
        <f aca="false">J175</f>
        <v>46590</v>
      </c>
      <c r="M175" s="26" t="n">
        <f aca="false">INDEX(LR_Target,MATCH(B175,LR_Lane,0))</f>
        <v>2</v>
      </c>
      <c r="N175" s="31" t="n">
        <f aca="false">WORKDAY.INTL(L175,M175,INDEX(LR_Code,MATCH(B175,LR_Lane,0)),INDEX(DH_Table,0,MATCH(B175&amp;"*",DH_Head,0)))</f>
        <v>46594</v>
      </c>
      <c r="O175" s="35" t="n">
        <f aca="false">IF(W175&lt;&gt;"",W175,IF(U175="Helmond",IF(COUNTIFS(RC_Lane,B175,RC_Band,E175,RC_Transit,"&lt;&gt;")=0,"",SUMIFS(RC_Transit,RC_Lane,B175,RC_Band,E175)),IF(U175="Other","",IF(INDEX(RS_Transit,MATCH(B175,RS_Lane,0))="","",INDEX(RS_Transit,MATCH(B175,RS_Lane,0))))))</f>
        <v>1</v>
      </c>
      <c r="P175" s="36"/>
      <c r="Q175" s="31" t="n">
        <f aca="false">IF(P175&lt;&gt;"",P175,IF(O175="","",WORKDAY.INTL(L175,ROUNDUP(O175,0),INDEX(LR_Code,MATCH(B175,LR_Lane,0)),INDEX(DH_Table,0,MATCH(B175&amp;"*",DH_Head,0)))))</f>
        <v>46593</v>
      </c>
      <c r="R175" s="37" t="str">
        <f aca="false">IF(Q175="","",IF(Q175&lt;=N175,"Yes","No"))</f>
        <v>Yes</v>
      </c>
      <c r="S175" s="26" t="n">
        <f aca="false">IF(Q175="","",IF(Q175&lt;=N175,0,NETWORKDAYS.INTL(N175,Q175,INDEX(LR_Code,MATCH(B175,LR_Lane,0)),INDEX(DH_Table,0,MATCH(B175&amp;"*",DH_Head,0)))-1))</f>
        <v>0</v>
      </c>
      <c r="T175" s="4"/>
      <c r="U175" s="25" t="str">
        <f aca="false">IF(V175&lt;&gt;"",V175,IF(IFERROR(INDEX(RS_Flag,MATCH(B175,RS_Lane,0)),"")="Yes",IF(IFERROR(INDEX(RS_Loc,MATCH(B175,RS_Lane,0)),"")="","Regional stock",IFERROR(INDEX(RS_Loc,MATCH(B175,RS_Lane,0)),"")),"Helmond"))</f>
        <v>Helmond</v>
      </c>
      <c r="V175" s="17"/>
      <c r="W175" s="38"/>
      <c r="X175" s="39"/>
      <c r="Y175" s="40" t="n">
        <f aca="false">IF(X175&lt;&gt;"",X175,IF(U175="Helmond",IF(COUNTIFS(RC_Lane,B175,RC_Band,E175,RC_CostPS,"&gt;0")=0,"",SUMIFS(RC_CostPS,RC_Lane,B175,RC_Band,E175)*(1-SUMIFS(RC_Disc,RC_Lane,B175,RC_Band,E175))),IF(U175="Other","",IF(INDEX(RS_Rate,MATCH(B175,RS_Lane,0))="","",INDEX(RS_Rate,MATCH(B175,RS_Lane,0))))))</f>
        <v>72.485</v>
      </c>
    </row>
    <row r="176" customFormat="false" ht="15" hidden="false" customHeight="false" outlineLevel="0" collapsed="false">
      <c r="A176" s="3" t="s">
        <v>585</v>
      </c>
      <c r="B176" s="25" t="s">
        <v>112</v>
      </c>
      <c r="C176" s="8" t="s">
        <v>113</v>
      </c>
      <c r="D176" s="8" t="s">
        <v>152</v>
      </c>
      <c r="E176" s="8" t="s">
        <v>178</v>
      </c>
      <c r="F176" s="19" t="n">
        <v>6.4</v>
      </c>
      <c r="G176" s="33" t="n">
        <f aca="false">F176*0.006477</f>
        <v>0.0414528</v>
      </c>
      <c r="H176" s="19" t="n">
        <f aca="false">F176*1.079436</f>
        <v>6.9083904</v>
      </c>
      <c r="I176" s="18" t="n">
        <f aca="false">MAX(1,ROUNDUP(G176/0.096,0))</f>
        <v>1</v>
      </c>
      <c r="J176" s="31" t="n">
        <v>46594</v>
      </c>
      <c r="K176" s="34" t="n">
        <f aca="false">J176-WEEKDAY(J176,2)+1</f>
        <v>46594</v>
      </c>
      <c r="L176" s="31" t="n">
        <f aca="false">J176</f>
        <v>46594</v>
      </c>
      <c r="M176" s="26" t="n">
        <f aca="false">INDEX(LR_Target,MATCH(B176,LR_Lane,0))</f>
        <v>2</v>
      </c>
      <c r="N176" s="31" t="n">
        <f aca="false">WORKDAY.INTL(L176,M176,INDEX(LR_Code,MATCH(B176,LR_Lane,0)),INDEX(DH_Table,0,MATCH(B176&amp;"*",DH_Head,0)))</f>
        <v>46596</v>
      </c>
      <c r="O176" s="35" t="n">
        <f aca="false">IF(W176&lt;&gt;"",W176,IF(U176="Helmond",IF(COUNTIFS(RC_Lane,B176,RC_Band,E176,RC_Transit,"&lt;&gt;")=0,"",SUMIFS(RC_Transit,RC_Lane,B176,RC_Band,E176)),IF(U176="Other","",IF(INDEX(RS_Transit,MATCH(B176,RS_Lane,0))="","",INDEX(RS_Transit,MATCH(B176,RS_Lane,0))))))</f>
        <v>1</v>
      </c>
      <c r="P176" s="36"/>
      <c r="Q176" s="31" t="n">
        <f aca="false">IF(P176&lt;&gt;"",P176,IF(O176="","",WORKDAY.INTL(L176,ROUNDUP(O176,0),INDEX(LR_Code,MATCH(B176,LR_Lane,0)),INDEX(DH_Table,0,MATCH(B176&amp;"*",DH_Head,0)))))</f>
        <v>46595</v>
      </c>
      <c r="R176" s="37" t="str">
        <f aca="false">IF(Q176="","",IF(Q176&lt;=N176,"Yes","No"))</f>
        <v>Yes</v>
      </c>
      <c r="S176" s="26" t="n">
        <f aca="false">IF(Q176="","",IF(Q176&lt;=N176,0,NETWORKDAYS.INTL(N176,Q176,INDEX(LR_Code,MATCH(B176,LR_Lane,0)),INDEX(DH_Table,0,MATCH(B176&amp;"*",DH_Head,0)))-1))</f>
        <v>0</v>
      </c>
      <c r="T176" s="4"/>
      <c r="U176" s="25" t="str">
        <f aca="false">IF(V176&lt;&gt;"",V176,IF(IFERROR(INDEX(RS_Flag,MATCH(B176,RS_Lane,0)),"")="Yes",IF(IFERROR(INDEX(RS_Loc,MATCH(B176,RS_Lane,0)),"")="","Regional stock",IFERROR(INDEX(RS_Loc,MATCH(B176,RS_Lane,0)),"")),"Helmond"))</f>
        <v>Helmond</v>
      </c>
      <c r="V176" s="17"/>
      <c r="W176" s="38"/>
      <c r="X176" s="39"/>
      <c r="Y176" s="40" t="n">
        <f aca="false">IF(X176&lt;&gt;"",X176,IF(U176="Helmond",IF(COUNTIFS(RC_Lane,B176,RC_Band,E176,RC_CostPS,"&gt;0")=0,"",SUMIFS(RC_CostPS,RC_Lane,B176,RC_Band,E176)*(1-SUMIFS(RC_Disc,RC_Lane,B176,RC_Band,E176))),IF(U176="Other","",IF(INDEX(RS_Rate,MATCH(B176,RS_Lane,0))="","",INDEX(RS_Rate,MATCH(B176,RS_Lane,0))))))</f>
        <v>72.485</v>
      </c>
    </row>
    <row r="177" customFormat="false" ht="15" hidden="false" customHeight="false" outlineLevel="0" collapsed="false">
      <c r="A177" s="3" t="s">
        <v>586</v>
      </c>
      <c r="B177" s="25" t="s">
        <v>115</v>
      </c>
      <c r="C177" s="8" t="s">
        <v>116</v>
      </c>
      <c r="D177" s="8" t="s">
        <v>153</v>
      </c>
      <c r="E177" s="8" t="s">
        <v>182</v>
      </c>
      <c r="F177" s="19" t="n">
        <v>164.3</v>
      </c>
      <c r="G177" s="33" t="n">
        <f aca="false">F177*0.006477</f>
        <v>1.0641711</v>
      </c>
      <c r="H177" s="19" t="n">
        <f aca="false">F177*1.079436</f>
        <v>177.3513348</v>
      </c>
      <c r="I177" s="18" t="n">
        <f aca="false">MAX(1,ROUNDUP(G177/0.096,0))</f>
        <v>12</v>
      </c>
      <c r="J177" s="31" t="n">
        <v>46595</v>
      </c>
      <c r="K177" s="34" t="n">
        <f aca="false">J177-WEEKDAY(J177,2)+1</f>
        <v>46594</v>
      </c>
      <c r="L177" s="31" t="n">
        <f aca="false">J177</f>
        <v>46595</v>
      </c>
      <c r="M177" s="26" t="n">
        <f aca="false">INDEX(LR_Target,MATCH(B177,LR_Lane,0))</f>
        <v>2</v>
      </c>
      <c r="N177" s="31" t="n">
        <f aca="false">WORKDAY.INTL(L177,M177,INDEX(LR_Code,MATCH(B177,LR_Lane,0)),INDEX(DH_Table,0,MATCH(B177&amp;"*",DH_Head,0)))</f>
        <v>46597</v>
      </c>
      <c r="O177" s="35" t="n">
        <f aca="false">IF(W177&lt;&gt;"",W177,IF(U177="Helmond",IF(COUNTIFS(RC_Lane,B177,RC_Band,E177,RC_Transit,"&lt;&gt;")=0,"",SUMIFS(RC_Transit,RC_Lane,B177,RC_Band,E177)),IF(U177="Other","",IF(INDEX(RS_Transit,MATCH(B177,RS_Lane,0))="","",INDEX(RS_Transit,MATCH(B177,RS_Lane,0))))))</f>
        <v>3</v>
      </c>
      <c r="P177" s="36"/>
      <c r="Q177" s="31" t="n">
        <f aca="false">IF(P177&lt;&gt;"",P177,IF(O177="","",WORKDAY.INTL(L177,ROUNDUP(O177,0),INDEX(LR_Code,MATCH(B177,LR_Lane,0)),INDEX(DH_Table,0,MATCH(B177&amp;"*",DH_Head,0)))))</f>
        <v>46600</v>
      </c>
      <c r="R177" s="37" t="str">
        <f aca="false">IF(Q177="","",IF(Q177&lt;=N177,"Yes","No"))</f>
        <v>No</v>
      </c>
      <c r="S177" s="26" t="n">
        <f aca="false">IF(Q177="","",IF(Q177&lt;=N177,0,NETWORKDAYS.INTL(N177,Q177,INDEX(LR_Code,MATCH(B177,LR_Lane,0)),INDEX(DH_Table,0,MATCH(B177&amp;"*",DH_Head,0)))-1))</f>
        <v>1</v>
      </c>
      <c r="T177" s="4"/>
      <c r="U177" s="25" t="str">
        <f aca="false">IF(V177&lt;&gt;"",V177,IF(IFERROR(INDEX(RS_Flag,MATCH(B177,RS_Lane,0)),"")="Yes",IF(IFERROR(INDEX(RS_Loc,MATCH(B177,RS_Lane,0)),"")="","Regional stock",IFERROR(INDEX(RS_Loc,MATCH(B177,RS_Lane,0)),"")),"Helmond"))</f>
        <v>Helmond</v>
      </c>
      <c r="V177" s="17"/>
      <c r="W177" s="38"/>
      <c r="X177" s="39"/>
      <c r="Y177" s="40" t="n">
        <f aca="false">IF(X177&lt;&gt;"",X177,IF(U177="Helmond",IF(COUNTIFS(RC_Lane,B177,RC_Band,E177,RC_CostPS,"&gt;0")=0,"",SUMIFS(RC_CostPS,RC_Lane,B177,RC_Band,E177)*(1-SUMIFS(RC_Disc,RC_Lane,B177,RC_Band,E177))),IF(U177="Other","",IF(INDEX(RS_Rate,MATCH(B177,RS_Lane,0))="","",INDEX(RS_Rate,MATCH(B177,RS_Lane,0))))))</f>
        <v>1271.20393</v>
      </c>
    </row>
    <row r="178" customFormat="false" ht="15" hidden="false" customHeight="false" outlineLevel="0" collapsed="false">
      <c r="A178" s="3" t="s">
        <v>587</v>
      </c>
      <c r="B178" s="25" t="s">
        <v>108</v>
      </c>
      <c r="C178" s="8" t="s">
        <v>109</v>
      </c>
      <c r="D178" s="8" t="s">
        <v>270</v>
      </c>
      <c r="E178" s="8" t="s">
        <v>183</v>
      </c>
      <c r="F178" s="19" t="n">
        <v>775.9</v>
      </c>
      <c r="G178" s="33" t="n">
        <f aca="false">F178*0.006477</f>
        <v>5.0255043</v>
      </c>
      <c r="H178" s="19" t="n">
        <f aca="false">F178*1.079436</f>
        <v>837.5343924</v>
      </c>
      <c r="I178" s="18" t="n">
        <f aca="false">MAX(1,ROUNDUP(G178/0.096,0))</f>
        <v>53</v>
      </c>
      <c r="J178" s="31" t="n">
        <v>46597</v>
      </c>
      <c r="K178" s="34" t="n">
        <f aca="false">J178-WEEKDAY(J178,2)+1</f>
        <v>46594</v>
      </c>
      <c r="L178" s="31" t="n">
        <f aca="false">J178</f>
        <v>46597</v>
      </c>
      <c r="M178" s="26" t="n">
        <f aca="false">INDEX(LR_Target,MATCH(B178,LR_Lane,0))</f>
        <v>2</v>
      </c>
      <c r="N178" s="31" t="n">
        <f aca="false">WORKDAY.INTL(L178,M178,INDEX(LR_Code,MATCH(B178,LR_Lane,0)),INDEX(DH_Table,0,MATCH(B178&amp;"*",DH_Head,0)))</f>
        <v>46601</v>
      </c>
      <c r="O178" s="35" t="n">
        <f aca="false">IF(W178&lt;&gt;"",W178,IF(U178="Helmond",IF(COUNTIFS(RC_Lane,B178,RC_Band,E178,RC_Transit,"&lt;&gt;")=0,"",SUMIFS(RC_Transit,RC_Lane,B178,RC_Band,E178)),IF(U178="Other","",IF(INDEX(RS_Transit,MATCH(B178,RS_Lane,0))="","",INDEX(RS_Transit,MATCH(B178,RS_Lane,0))))))</f>
        <v>4</v>
      </c>
      <c r="P178" s="36"/>
      <c r="Q178" s="31" t="n">
        <f aca="false">IF(P178&lt;&gt;"",P178,IF(O178="","",WORKDAY.INTL(L178,ROUNDUP(O178,0),INDEX(LR_Code,MATCH(B178,LR_Lane,0)),INDEX(DH_Table,0,MATCH(B178&amp;"*",DH_Head,0)))))</f>
        <v>46603</v>
      </c>
      <c r="R178" s="37" t="str">
        <f aca="false">IF(Q178="","",IF(Q178&lt;=N178,"Yes","No"))</f>
        <v>No</v>
      </c>
      <c r="S178" s="26" t="n">
        <f aca="false">IF(Q178="","",IF(Q178&lt;=N178,0,NETWORKDAYS.INTL(N178,Q178,INDEX(LR_Code,MATCH(B178,LR_Lane,0)),INDEX(DH_Table,0,MATCH(B178&amp;"*",DH_Head,0)))-1))</f>
        <v>2</v>
      </c>
      <c r="T178" s="4"/>
      <c r="U178" s="25" t="str">
        <f aca="false">IF(V178&lt;&gt;"",V178,IF(IFERROR(INDEX(RS_Flag,MATCH(B178,RS_Lane,0)),"")="Yes",IF(IFERROR(INDEX(RS_Loc,MATCH(B178,RS_Lane,0)),"")="","Regional stock",IFERROR(INDEX(RS_Loc,MATCH(B178,RS_Lane,0)),"")),"Helmond"))</f>
        <v>Helmond</v>
      </c>
      <c r="V178" s="17"/>
      <c r="W178" s="38"/>
      <c r="X178" s="39"/>
      <c r="Y178" s="40" t="n">
        <f aca="false">IF(X178&lt;&gt;"",X178,IF(U178="Helmond",IF(COUNTIFS(RC_Lane,B178,RC_Band,E178,RC_CostPS,"&gt;0")=0,"",SUMIFS(RC_CostPS,RC_Lane,B178,RC_Band,E178)*(1-SUMIFS(RC_Disc,RC_Lane,B178,RC_Band,E178))),IF(U178="Other","",IF(INDEX(RS_Rate,MATCH(B178,RS_Lane,0))="","",INDEX(RS_Rate,MATCH(B178,RS_Lane,0))))))</f>
        <v>3051.4304</v>
      </c>
    </row>
    <row r="179" customFormat="false" ht="15" hidden="false" customHeight="false" outlineLevel="0" collapsed="false">
      <c r="A179" s="3" t="s">
        <v>588</v>
      </c>
      <c r="B179" s="25" t="s">
        <v>117</v>
      </c>
      <c r="C179" s="8" t="s">
        <v>118</v>
      </c>
      <c r="D179" s="8" t="s">
        <v>154</v>
      </c>
      <c r="E179" s="8" t="s">
        <v>180</v>
      </c>
      <c r="F179" s="19" t="n">
        <v>57.2</v>
      </c>
      <c r="G179" s="33" t="n">
        <f aca="false">F179*0.006477</f>
        <v>0.3704844</v>
      </c>
      <c r="H179" s="19" t="n">
        <f aca="false">F179*1.079436</f>
        <v>61.7437392</v>
      </c>
      <c r="I179" s="18" t="n">
        <f aca="false">MAX(1,ROUNDUP(G179/0.096,0))</f>
        <v>4</v>
      </c>
      <c r="J179" s="31" t="n">
        <v>46597</v>
      </c>
      <c r="K179" s="34" t="n">
        <f aca="false">J179-WEEKDAY(J179,2)+1</f>
        <v>46594</v>
      </c>
      <c r="L179" s="31" t="n">
        <f aca="false">J179</f>
        <v>46597</v>
      </c>
      <c r="M179" s="26" t="n">
        <f aca="false">INDEX(LR_Target,MATCH(B179,LR_Lane,0))</f>
        <v>2</v>
      </c>
      <c r="N179" s="31" t="n">
        <f aca="false">WORKDAY.INTL(L179,M179,INDEX(LR_Code,MATCH(B179,LR_Lane,0)),INDEX(DH_Table,0,MATCH(B179&amp;"*",DH_Head,0)))</f>
        <v>46601</v>
      </c>
      <c r="O179" s="35" t="n">
        <f aca="false">IF(W179&lt;&gt;"",W179,IF(U179="Helmond",IF(COUNTIFS(RC_Lane,B179,RC_Band,E179,RC_Transit,"&lt;&gt;")=0,"",SUMIFS(RC_Transit,RC_Lane,B179,RC_Band,E179)),IF(U179="Other","",IF(INDEX(RS_Transit,MATCH(B179,RS_Lane,0))="","",INDEX(RS_Transit,MATCH(B179,RS_Lane,0))))))</f>
        <v>2</v>
      </c>
      <c r="P179" s="36"/>
      <c r="Q179" s="31" t="n">
        <f aca="false">IF(P179&lt;&gt;"",P179,IF(O179="","",WORKDAY.INTL(L179,ROUNDUP(O179,0),INDEX(LR_Code,MATCH(B179,LR_Lane,0)),INDEX(DH_Table,0,MATCH(B179&amp;"*",DH_Head,0)))))</f>
        <v>46601</v>
      </c>
      <c r="R179" s="37" t="str">
        <f aca="false">IF(Q179="","",IF(Q179&lt;=N179,"Yes","No"))</f>
        <v>Yes</v>
      </c>
      <c r="S179" s="26" t="n">
        <f aca="false">IF(Q179="","",IF(Q179&lt;=N179,0,NETWORKDAYS.INTL(N179,Q179,INDEX(LR_Code,MATCH(B179,LR_Lane,0)),INDEX(DH_Table,0,MATCH(B179&amp;"*",DH_Head,0)))-1))</f>
        <v>0</v>
      </c>
      <c r="T179" s="4"/>
      <c r="U179" s="25" t="str">
        <f aca="false">IF(V179&lt;&gt;"",V179,IF(IFERROR(INDEX(RS_Flag,MATCH(B179,RS_Lane,0)),"")="Yes",IF(IFERROR(INDEX(RS_Loc,MATCH(B179,RS_Lane,0)),"")="","Regional stock",IFERROR(INDEX(RS_Loc,MATCH(B179,RS_Lane,0)),"")),"Helmond"))</f>
        <v>Helmond</v>
      </c>
      <c r="V179" s="17"/>
      <c r="W179" s="38"/>
      <c r="X179" s="39"/>
      <c r="Y179" s="40" t="n">
        <f aca="false">IF(X179&lt;&gt;"",X179,IF(U179="Helmond",IF(COUNTIFS(RC_Lane,B179,RC_Band,E179,RC_CostPS,"&gt;0")=0,"",SUMIFS(RC_CostPS,RC_Lane,B179,RC_Band,E179)*(1-SUMIFS(RC_Disc,RC_Lane,B179,RC_Band,E179))),IF(U179="Other","",IF(INDEX(RS_Rate,MATCH(B179,RS_Lane,0))="","",INDEX(RS_Rate,MATCH(B179,RS_Lane,0))))))</f>
        <v>154.40768</v>
      </c>
    </row>
    <row r="180" customFormat="false" ht="15" hidden="false" customHeight="false" outlineLevel="0" collapsed="false">
      <c r="A180" s="3" t="s">
        <v>589</v>
      </c>
      <c r="B180" s="25" t="s">
        <v>115</v>
      </c>
      <c r="C180" s="8" t="s">
        <v>116</v>
      </c>
      <c r="D180" s="8" t="s">
        <v>153</v>
      </c>
      <c r="E180" s="8" t="s">
        <v>178</v>
      </c>
      <c r="F180" s="19" t="n">
        <v>14.2</v>
      </c>
      <c r="G180" s="33" t="n">
        <f aca="false">F180*0.006477</f>
        <v>0.0919734</v>
      </c>
      <c r="H180" s="19" t="n">
        <f aca="false">F180*1.079436</f>
        <v>15.3279912</v>
      </c>
      <c r="I180" s="18" t="n">
        <f aca="false">MAX(1,ROUNDUP(G180/0.096,0))</f>
        <v>1</v>
      </c>
      <c r="J180" s="31" t="n">
        <v>46601</v>
      </c>
      <c r="K180" s="34" t="n">
        <f aca="false">J180-WEEKDAY(J180,2)+1</f>
        <v>46601</v>
      </c>
      <c r="L180" s="31" t="n">
        <f aca="false">J180</f>
        <v>46601</v>
      </c>
      <c r="M180" s="26" t="n">
        <f aca="false">INDEX(LR_Target,MATCH(B180,LR_Lane,0))</f>
        <v>2</v>
      </c>
      <c r="N180" s="31" t="n">
        <f aca="false">WORKDAY.INTL(L180,M180,INDEX(LR_Code,MATCH(B180,LR_Lane,0)),INDEX(DH_Table,0,MATCH(B180&amp;"*",DH_Head,0)))</f>
        <v>46603</v>
      </c>
      <c r="O180" s="35" t="n">
        <f aca="false">IF(W180&lt;&gt;"",W180,IF(U180="Helmond",IF(COUNTIFS(RC_Lane,B180,RC_Band,E180,RC_Transit,"&lt;&gt;")=0,"",SUMIFS(RC_Transit,RC_Lane,B180,RC_Band,E180)),IF(U180="Other","",IF(INDEX(RS_Transit,MATCH(B180,RS_Lane,0))="","",INDEX(RS_Transit,MATCH(B180,RS_Lane,0))))))</f>
        <v>1</v>
      </c>
      <c r="P180" s="36"/>
      <c r="Q180" s="31" t="n">
        <f aca="false">IF(P180&lt;&gt;"",P180,IF(O180="","",WORKDAY.INTL(L180,ROUNDUP(O180,0),INDEX(LR_Code,MATCH(B180,LR_Lane,0)),INDEX(DH_Table,0,MATCH(B180&amp;"*",DH_Head,0)))))</f>
        <v>46602</v>
      </c>
      <c r="R180" s="37" t="str">
        <f aca="false">IF(Q180="","",IF(Q180&lt;=N180,"Yes","No"))</f>
        <v>Yes</v>
      </c>
      <c r="S180" s="26" t="n">
        <f aca="false">IF(Q180="","",IF(Q180&lt;=N180,0,NETWORKDAYS.INTL(N180,Q180,INDEX(LR_Code,MATCH(B180,LR_Lane,0)),INDEX(DH_Table,0,MATCH(B180&amp;"*",DH_Head,0)))-1))</f>
        <v>0</v>
      </c>
      <c r="T180" s="4"/>
      <c r="U180" s="25" t="str">
        <f aca="false">IF(V180&lt;&gt;"",V180,IF(IFERROR(INDEX(RS_Flag,MATCH(B180,RS_Lane,0)),"")="Yes",IF(IFERROR(INDEX(RS_Loc,MATCH(B180,RS_Lane,0)),"")="","Regional stock",IFERROR(INDEX(RS_Loc,MATCH(B180,RS_Lane,0)),"")),"Helmond"))</f>
        <v>Helmond</v>
      </c>
      <c r="V180" s="17"/>
      <c r="W180" s="38"/>
      <c r="X180" s="39"/>
      <c r="Y180" s="40" t="n">
        <f aca="false">IF(X180&lt;&gt;"",X180,IF(U180="Helmond",IF(COUNTIFS(RC_Lane,B180,RC_Band,E180,RC_CostPS,"&gt;0")=0,"",SUMIFS(RC_CostPS,RC_Lane,B180,RC_Band,E180)*(1-SUMIFS(RC_Disc,RC_Lane,B180,RC_Band,E180))),IF(U180="Other","",IF(INDEX(RS_Rate,MATCH(B180,RS_Lane,0))="","",INDEX(RS_Rate,MATCH(B180,RS_Lane,0))))))</f>
        <v>72.485</v>
      </c>
    </row>
    <row r="181" customFormat="false" ht="15" hidden="false" customHeight="false" outlineLevel="0" collapsed="false">
      <c r="A181" s="3" t="s">
        <v>590</v>
      </c>
      <c r="B181" s="25" t="s">
        <v>117</v>
      </c>
      <c r="C181" s="8" t="s">
        <v>118</v>
      </c>
      <c r="D181" s="8" t="s">
        <v>154</v>
      </c>
      <c r="E181" s="8" t="s">
        <v>180</v>
      </c>
      <c r="F181" s="19" t="n">
        <v>31.1</v>
      </c>
      <c r="G181" s="33" t="n">
        <f aca="false">F181*0.006477</f>
        <v>0.2014347</v>
      </c>
      <c r="H181" s="19" t="n">
        <f aca="false">F181*1.079436</f>
        <v>33.5704596</v>
      </c>
      <c r="I181" s="18" t="n">
        <f aca="false">MAX(1,ROUNDUP(G181/0.096,0))</f>
        <v>3</v>
      </c>
      <c r="J181" s="31" t="n">
        <v>46601</v>
      </c>
      <c r="K181" s="34" t="n">
        <f aca="false">J181-WEEKDAY(J181,2)+1</f>
        <v>46601</v>
      </c>
      <c r="L181" s="31" t="n">
        <f aca="false">J181</f>
        <v>46601</v>
      </c>
      <c r="M181" s="26" t="n">
        <f aca="false">INDEX(LR_Target,MATCH(B181,LR_Lane,0))</f>
        <v>2</v>
      </c>
      <c r="N181" s="31" t="n">
        <f aca="false">WORKDAY.INTL(L181,M181,INDEX(LR_Code,MATCH(B181,LR_Lane,0)),INDEX(DH_Table,0,MATCH(B181&amp;"*",DH_Head,0)))</f>
        <v>46603</v>
      </c>
      <c r="O181" s="35" t="n">
        <f aca="false">IF(W181&lt;&gt;"",W181,IF(U181="Helmond",IF(COUNTIFS(RC_Lane,B181,RC_Band,E181,RC_Transit,"&lt;&gt;")=0,"",SUMIFS(RC_Transit,RC_Lane,B181,RC_Band,E181)),IF(U181="Other","",IF(INDEX(RS_Transit,MATCH(B181,RS_Lane,0))="","",INDEX(RS_Transit,MATCH(B181,RS_Lane,0))))))</f>
        <v>2</v>
      </c>
      <c r="P181" s="36"/>
      <c r="Q181" s="31" t="n">
        <f aca="false">IF(P181&lt;&gt;"",P181,IF(O181="","",WORKDAY.INTL(L181,ROUNDUP(O181,0),INDEX(LR_Code,MATCH(B181,LR_Lane,0)),INDEX(DH_Table,0,MATCH(B181&amp;"*",DH_Head,0)))))</f>
        <v>46603</v>
      </c>
      <c r="R181" s="37" t="str">
        <f aca="false">IF(Q181="","",IF(Q181&lt;=N181,"Yes","No"))</f>
        <v>Yes</v>
      </c>
      <c r="S181" s="26" t="n">
        <f aca="false">IF(Q181="","",IF(Q181&lt;=N181,0,NETWORKDAYS.INTL(N181,Q181,INDEX(LR_Code,MATCH(B181,LR_Lane,0)),INDEX(DH_Table,0,MATCH(B181&amp;"*",DH_Head,0)))-1))</f>
        <v>0</v>
      </c>
      <c r="T181" s="4"/>
      <c r="U181" s="25" t="str">
        <f aca="false">IF(V181&lt;&gt;"",V181,IF(IFERROR(INDEX(RS_Flag,MATCH(B181,RS_Lane,0)),"")="Yes",IF(IFERROR(INDEX(RS_Loc,MATCH(B181,RS_Lane,0)),"")="","Regional stock",IFERROR(INDEX(RS_Loc,MATCH(B181,RS_Lane,0)),"")),"Helmond"))</f>
        <v>Helmond</v>
      </c>
      <c r="V181" s="17"/>
      <c r="W181" s="38"/>
      <c r="X181" s="39"/>
      <c r="Y181" s="40" t="n">
        <f aca="false">IF(X181&lt;&gt;"",X181,IF(U181="Helmond",IF(COUNTIFS(RC_Lane,B181,RC_Band,E181,RC_CostPS,"&gt;0")=0,"",SUMIFS(RC_CostPS,RC_Lane,B181,RC_Band,E181)*(1-SUMIFS(RC_Disc,RC_Lane,B181,RC_Band,E181))),IF(U181="Other","",IF(INDEX(RS_Rate,MATCH(B181,RS_Lane,0))="","",INDEX(RS_Rate,MATCH(B181,RS_Lane,0))))))</f>
        <v>154.40768</v>
      </c>
    </row>
    <row r="182" customFormat="false" ht="15" hidden="false" customHeight="false" outlineLevel="0" collapsed="false">
      <c r="A182" s="3" t="s">
        <v>591</v>
      </c>
      <c r="B182" s="25" t="s">
        <v>108</v>
      </c>
      <c r="C182" s="8" t="s">
        <v>109</v>
      </c>
      <c r="D182" s="8" t="s">
        <v>272</v>
      </c>
      <c r="E182" s="8" t="s">
        <v>178</v>
      </c>
      <c r="F182" s="19" t="n">
        <v>11.5</v>
      </c>
      <c r="G182" s="33" t="n">
        <f aca="false">F182*0.006477</f>
        <v>0.0744855</v>
      </c>
      <c r="H182" s="19" t="n">
        <f aca="false">F182*1.079436</f>
        <v>12.413514</v>
      </c>
      <c r="I182" s="18" t="n">
        <f aca="false">MAX(1,ROUNDUP(G182/0.096,0))</f>
        <v>1</v>
      </c>
      <c r="J182" s="31" t="n">
        <v>46603</v>
      </c>
      <c r="K182" s="34" t="n">
        <f aca="false">J182-WEEKDAY(J182,2)+1</f>
        <v>46601</v>
      </c>
      <c r="L182" s="31" t="n">
        <f aca="false">J182</f>
        <v>46603</v>
      </c>
      <c r="M182" s="26" t="n">
        <f aca="false">INDEX(LR_Target,MATCH(B182,LR_Lane,0))</f>
        <v>2</v>
      </c>
      <c r="N182" s="31" t="n">
        <f aca="false">WORKDAY.INTL(L182,M182,INDEX(LR_Code,MATCH(B182,LR_Lane,0)),INDEX(DH_Table,0,MATCH(B182&amp;"*",DH_Head,0)))</f>
        <v>46607</v>
      </c>
      <c r="O182" s="35" t="n">
        <f aca="false">IF(W182&lt;&gt;"",W182,IF(U182="Helmond",IF(COUNTIFS(RC_Lane,B182,RC_Band,E182,RC_Transit,"&lt;&gt;")=0,"",SUMIFS(RC_Transit,RC_Lane,B182,RC_Band,E182)),IF(U182="Other","",IF(INDEX(RS_Transit,MATCH(B182,RS_Lane,0))="","",INDEX(RS_Transit,MATCH(B182,RS_Lane,0))))))</f>
        <v>1</v>
      </c>
      <c r="P182" s="36"/>
      <c r="Q182" s="31" t="n">
        <f aca="false">IF(P182&lt;&gt;"",P182,IF(O182="","",WORKDAY.INTL(L182,ROUNDUP(O182,0),INDEX(LR_Code,MATCH(B182,LR_Lane,0)),INDEX(DH_Table,0,MATCH(B182&amp;"*",DH_Head,0)))))</f>
        <v>46604</v>
      </c>
      <c r="R182" s="37" t="str">
        <f aca="false">IF(Q182="","",IF(Q182&lt;=N182,"Yes","No"))</f>
        <v>Yes</v>
      </c>
      <c r="S182" s="26" t="n">
        <f aca="false">IF(Q182="","",IF(Q182&lt;=N182,0,NETWORKDAYS.INTL(N182,Q182,INDEX(LR_Code,MATCH(B182,LR_Lane,0)),INDEX(DH_Table,0,MATCH(B182&amp;"*",DH_Head,0)))-1))</f>
        <v>0</v>
      </c>
      <c r="T182" s="4"/>
      <c r="U182" s="25" t="str">
        <f aca="false">IF(V182&lt;&gt;"",V182,IF(IFERROR(INDEX(RS_Flag,MATCH(B182,RS_Lane,0)),"")="Yes",IF(IFERROR(INDEX(RS_Loc,MATCH(B182,RS_Lane,0)),"")="","Regional stock",IFERROR(INDEX(RS_Loc,MATCH(B182,RS_Lane,0)),"")),"Helmond"))</f>
        <v>Helmond</v>
      </c>
      <c r="V182" s="17"/>
      <c r="W182" s="38"/>
      <c r="X182" s="39"/>
      <c r="Y182" s="40" t="n">
        <f aca="false">IF(X182&lt;&gt;"",X182,IF(U182="Helmond",IF(COUNTIFS(RC_Lane,B182,RC_Band,E182,RC_CostPS,"&gt;0")=0,"",SUMIFS(RC_CostPS,RC_Lane,B182,RC_Band,E182)*(1-SUMIFS(RC_Disc,RC_Lane,B182,RC_Band,E182))),IF(U182="Other","",IF(INDEX(RS_Rate,MATCH(B182,RS_Lane,0))="","",INDEX(RS_Rate,MATCH(B182,RS_Lane,0))))))</f>
        <v>72.485</v>
      </c>
    </row>
    <row r="183" customFormat="false" ht="15" hidden="false" customHeight="false" outlineLevel="0" collapsed="false">
      <c r="A183" s="3" t="s">
        <v>592</v>
      </c>
      <c r="B183" s="25" t="s">
        <v>117</v>
      </c>
      <c r="C183" s="8" t="s">
        <v>118</v>
      </c>
      <c r="D183" s="8" t="s">
        <v>154</v>
      </c>
      <c r="E183" s="8" t="s">
        <v>178</v>
      </c>
      <c r="F183" s="19" t="n">
        <v>4.2</v>
      </c>
      <c r="G183" s="33" t="n">
        <f aca="false">F183*0.006477</f>
        <v>0.0272034</v>
      </c>
      <c r="H183" s="19" t="n">
        <f aca="false">F183*1.079436</f>
        <v>4.5336312</v>
      </c>
      <c r="I183" s="18" t="n">
        <f aca="false">MAX(1,ROUNDUP(G183/0.096,0))</f>
        <v>1</v>
      </c>
      <c r="J183" s="31" t="n">
        <v>46603</v>
      </c>
      <c r="K183" s="34" t="n">
        <f aca="false">J183-WEEKDAY(J183,2)+1</f>
        <v>46601</v>
      </c>
      <c r="L183" s="31" t="n">
        <f aca="false">J183</f>
        <v>46603</v>
      </c>
      <c r="M183" s="26" t="n">
        <f aca="false">INDEX(LR_Target,MATCH(B183,LR_Lane,0))</f>
        <v>2</v>
      </c>
      <c r="N183" s="31" t="n">
        <f aca="false">WORKDAY.INTL(L183,M183,INDEX(LR_Code,MATCH(B183,LR_Lane,0)),INDEX(DH_Table,0,MATCH(B183&amp;"*",DH_Head,0)))</f>
        <v>46607</v>
      </c>
      <c r="O183" s="35" t="n">
        <f aca="false">IF(W183&lt;&gt;"",W183,IF(U183="Helmond",IF(COUNTIFS(RC_Lane,B183,RC_Band,E183,RC_Transit,"&lt;&gt;")=0,"",SUMIFS(RC_Transit,RC_Lane,B183,RC_Band,E183)),IF(U183="Other","",IF(INDEX(RS_Transit,MATCH(B183,RS_Lane,0))="","",INDEX(RS_Transit,MATCH(B183,RS_Lane,0))))))</f>
        <v>1</v>
      </c>
      <c r="P183" s="36"/>
      <c r="Q183" s="31" t="n">
        <f aca="false">IF(P183&lt;&gt;"",P183,IF(O183="","",WORKDAY.INTL(L183,ROUNDUP(O183,0),INDEX(LR_Code,MATCH(B183,LR_Lane,0)),INDEX(DH_Table,0,MATCH(B183&amp;"*",DH_Head,0)))))</f>
        <v>46604</v>
      </c>
      <c r="R183" s="37" t="str">
        <f aca="false">IF(Q183="","",IF(Q183&lt;=N183,"Yes","No"))</f>
        <v>Yes</v>
      </c>
      <c r="S183" s="26" t="n">
        <f aca="false">IF(Q183="","",IF(Q183&lt;=N183,0,NETWORKDAYS.INTL(N183,Q183,INDEX(LR_Code,MATCH(B183,LR_Lane,0)),INDEX(DH_Table,0,MATCH(B183&amp;"*",DH_Head,0)))-1))</f>
        <v>0</v>
      </c>
      <c r="T183" s="4"/>
      <c r="U183" s="25" t="str">
        <f aca="false">IF(V183&lt;&gt;"",V183,IF(IFERROR(INDEX(RS_Flag,MATCH(B183,RS_Lane,0)),"")="Yes",IF(IFERROR(INDEX(RS_Loc,MATCH(B183,RS_Lane,0)),"")="","Regional stock",IFERROR(INDEX(RS_Loc,MATCH(B183,RS_Lane,0)),"")),"Helmond"))</f>
        <v>Helmond</v>
      </c>
      <c r="V183" s="17"/>
      <c r="W183" s="38"/>
      <c r="X183" s="39"/>
      <c r="Y183" s="40" t="n">
        <f aca="false">IF(X183&lt;&gt;"",X183,IF(U183="Helmond",IF(COUNTIFS(RC_Lane,B183,RC_Band,E183,RC_CostPS,"&gt;0")=0,"",SUMIFS(RC_CostPS,RC_Lane,B183,RC_Band,E183)*(1-SUMIFS(RC_Disc,RC_Lane,B183,RC_Band,E183))),IF(U183="Other","",IF(INDEX(RS_Rate,MATCH(B183,RS_Lane,0))="","",INDEX(RS_Rate,MATCH(B183,RS_Lane,0))))))</f>
        <v>72.485</v>
      </c>
    </row>
    <row r="184" customFormat="false" ht="15" hidden="false" customHeight="false" outlineLevel="0" collapsed="false">
      <c r="A184" s="3" t="s">
        <v>593</v>
      </c>
      <c r="B184" s="25" t="s">
        <v>119</v>
      </c>
      <c r="C184" s="8" t="s">
        <v>120</v>
      </c>
      <c r="D184" s="8" t="s">
        <v>155</v>
      </c>
      <c r="E184" s="8" t="s">
        <v>180</v>
      </c>
      <c r="F184" s="19" t="n">
        <v>54.4</v>
      </c>
      <c r="G184" s="33" t="n">
        <f aca="false">F184*0.006477</f>
        <v>0.3523488</v>
      </c>
      <c r="H184" s="19" t="n">
        <f aca="false">F184*1.079436</f>
        <v>58.7213184</v>
      </c>
      <c r="I184" s="18" t="n">
        <f aca="false">MAX(1,ROUNDUP(G184/0.096,0))</f>
        <v>4</v>
      </c>
      <c r="J184" s="31" t="n">
        <v>46608</v>
      </c>
      <c r="K184" s="34" t="n">
        <f aca="false">J184-WEEKDAY(J184,2)+1</f>
        <v>46608</v>
      </c>
      <c r="L184" s="31" t="n">
        <f aca="false">J184</f>
        <v>46608</v>
      </c>
      <c r="M184" s="26" t="n">
        <f aca="false">INDEX(LR_Target,MATCH(B184,LR_Lane,0))</f>
        <v>3</v>
      </c>
      <c r="N184" s="31" t="n">
        <f aca="false">WORKDAY.INTL(L184,M184,INDEX(LR_Code,MATCH(B184,LR_Lane,0)),INDEX(DH_Table,0,MATCH(B184&amp;"*",DH_Head,0)))</f>
        <v>46611</v>
      </c>
      <c r="O184" s="35" t="n">
        <f aca="false">IF(W184&lt;&gt;"",W184,IF(U184="Helmond",IF(COUNTIFS(RC_Lane,B184,RC_Band,E184,RC_Transit,"&lt;&gt;")=0,"",SUMIFS(RC_Transit,RC_Lane,B184,RC_Band,E184)),IF(U184="Other","",IF(INDEX(RS_Transit,MATCH(B184,RS_Lane,0))="","",INDEX(RS_Transit,MATCH(B184,RS_Lane,0))))))</f>
        <v>2</v>
      </c>
      <c r="P184" s="36"/>
      <c r="Q184" s="31" t="n">
        <f aca="false">IF(P184&lt;&gt;"",P184,IF(O184="","",WORKDAY.INTL(L184,ROUNDUP(O184,0),INDEX(LR_Code,MATCH(B184,LR_Lane,0)),INDEX(DH_Table,0,MATCH(B184&amp;"*",DH_Head,0)))))</f>
        <v>46610</v>
      </c>
      <c r="R184" s="37" t="str">
        <f aca="false">IF(Q184="","",IF(Q184&lt;=N184,"Yes","No"))</f>
        <v>Yes</v>
      </c>
      <c r="S184" s="26" t="n">
        <f aca="false">IF(Q184="","",IF(Q184&lt;=N184,0,NETWORKDAYS.INTL(N184,Q184,INDEX(LR_Code,MATCH(B184,LR_Lane,0)),INDEX(DH_Table,0,MATCH(B184&amp;"*",DH_Head,0)))-1))</f>
        <v>0</v>
      </c>
      <c r="T184" s="4"/>
      <c r="U184" s="25" t="str">
        <f aca="false">IF(V184&lt;&gt;"",V184,IF(IFERROR(INDEX(RS_Flag,MATCH(B184,RS_Lane,0)),"")="Yes",IF(IFERROR(INDEX(RS_Loc,MATCH(B184,RS_Lane,0)),"")="","Regional stock",IFERROR(INDEX(RS_Loc,MATCH(B184,RS_Lane,0)),"")),"Helmond"))</f>
        <v>Helmond</v>
      </c>
      <c r="V184" s="17"/>
      <c r="W184" s="38"/>
      <c r="X184" s="39"/>
      <c r="Y184" s="40" t="n">
        <f aca="false">IF(X184&lt;&gt;"",X184,IF(U184="Helmond",IF(COUNTIFS(RC_Lane,B184,RC_Band,E184,RC_CostPS,"&gt;0")=0,"",SUMIFS(RC_CostPS,RC_Lane,B184,RC_Band,E184)*(1-SUMIFS(RC_Disc,RC_Lane,B184,RC_Band,E184))),IF(U184="Other","",IF(INDEX(RS_Rate,MATCH(B184,RS_Lane,0))="","",INDEX(RS_Rate,MATCH(B184,RS_Lane,0))))))</f>
        <v>303.81456</v>
      </c>
    </row>
    <row r="185" customFormat="false" ht="15" hidden="false" customHeight="false" outlineLevel="0" collapsed="false">
      <c r="A185" s="3" t="s">
        <v>594</v>
      </c>
      <c r="B185" s="25" t="s">
        <v>119</v>
      </c>
      <c r="C185" s="8" t="s">
        <v>120</v>
      </c>
      <c r="D185" s="8" t="s">
        <v>155</v>
      </c>
      <c r="E185" s="8" t="s">
        <v>178</v>
      </c>
      <c r="F185" s="19" t="n">
        <v>9.9</v>
      </c>
      <c r="G185" s="33" t="n">
        <f aca="false">F185*0.006477</f>
        <v>0.0641223</v>
      </c>
      <c r="H185" s="19" t="n">
        <f aca="false">F185*1.079436</f>
        <v>10.6864164</v>
      </c>
      <c r="I185" s="18" t="n">
        <f aca="false">MAX(1,ROUNDUP(G185/0.096,0))</f>
        <v>1</v>
      </c>
      <c r="J185" s="31" t="n">
        <v>46609</v>
      </c>
      <c r="K185" s="34" t="n">
        <f aca="false">J185-WEEKDAY(J185,2)+1</f>
        <v>46608</v>
      </c>
      <c r="L185" s="31" t="n">
        <f aca="false">J185</f>
        <v>46609</v>
      </c>
      <c r="M185" s="26" t="n">
        <f aca="false">INDEX(LR_Target,MATCH(B185,LR_Lane,0))</f>
        <v>3</v>
      </c>
      <c r="N185" s="31" t="n">
        <f aca="false">WORKDAY.INTL(L185,M185,INDEX(LR_Code,MATCH(B185,LR_Lane,0)),INDEX(DH_Table,0,MATCH(B185&amp;"*",DH_Head,0)))</f>
        <v>46612</v>
      </c>
      <c r="O185" s="35" t="n">
        <f aca="false">IF(W185&lt;&gt;"",W185,IF(U185="Helmond",IF(COUNTIFS(RC_Lane,B185,RC_Band,E185,RC_Transit,"&lt;&gt;")=0,"",SUMIFS(RC_Transit,RC_Lane,B185,RC_Band,E185)),IF(U185="Other","",IF(INDEX(RS_Transit,MATCH(B185,RS_Lane,0))="","",INDEX(RS_Transit,MATCH(B185,RS_Lane,0))))))</f>
        <v>1</v>
      </c>
      <c r="P185" s="36"/>
      <c r="Q185" s="31" t="n">
        <f aca="false">IF(P185&lt;&gt;"",P185,IF(O185="","",WORKDAY.INTL(L185,ROUNDUP(O185,0),INDEX(LR_Code,MATCH(B185,LR_Lane,0)),INDEX(DH_Table,0,MATCH(B185&amp;"*",DH_Head,0)))))</f>
        <v>46610</v>
      </c>
      <c r="R185" s="37" t="str">
        <f aca="false">IF(Q185="","",IF(Q185&lt;=N185,"Yes","No"))</f>
        <v>Yes</v>
      </c>
      <c r="S185" s="26" t="n">
        <f aca="false">IF(Q185="","",IF(Q185&lt;=N185,0,NETWORKDAYS.INTL(N185,Q185,INDEX(LR_Code,MATCH(B185,LR_Lane,0)),INDEX(DH_Table,0,MATCH(B185&amp;"*",DH_Head,0)))-1))</f>
        <v>0</v>
      </c>
      <c r="T185" s="4"/>
      <c r="U185" s="25" t="str">
        <f aca="false">IF(V185&lt;&gt;"",V185,IF(IFERROR(INDEX(RS_Flag,MATCH(B185,RS_Lane,0)),"")="Yes",IF(IFERROR(INDEX(RS_Loc,MATCH(B185,RS_Lane,0)),"")="","Regional stock",IFERROR(INDEX(RS_Loc,MATCH(B185,RS_Lane,0)),"")),"Helmond"))</f>
        <v>Helmond</v>
      </c>
      <c r="V185" s="17"/>
      <c r="W185" s="38"/>
      <c r="X185" s="39"/>
      <c r="Y185" s="40" t="n">
        <f aca="false">IF(X185&lt;&gt;"",X185,IF(U185="Helmond",IF(COUNTIFS(RC_Lane,B185,RC_Band,E185,RC_CostPS,"&gt;0")=0,"",SUMIFS(RC_CostPS,RC_Lane,B185,RC_Band,E185)*(1-SUMIFS(RC_Disc,RC_Lane,B185,RC_Band,E185))),IF(U185="Other","",IF(INDEX(RS_Rate,MATCH(B185,RS_Lane,0))="","",INDEX(RS_Rate,MATCH(B185,RS_Lane,0))))))</f>
        <v>72.485</v>
      </c>
    </row>
    <row r="186" customFormat="false" ht="15" hidden="false" customHeight="false" outlineLevel="0" collapsed="false">
      <c r="A186" s="3" t="s">
        <v>595</v>
      </c>
      <c r="B186" s="25" t="s">
        <v>124</v>
      </c>
      <c r="C186" s="8" t="s">
        <v>125</v>
      </c>
      <c r="D186" s="8" t="s">
        <v>157</v>
      </c>
      <c r="E186" s="8" t="s">
        <v>178</v>
      </c>
      <c r="F186" s="19" t="n">
        <v>6.2</v>
      </c>
      <c r="G186" s="33" t="n">
        <f aca="false">F186*0.006477</f>
        <v>0.0401574</v>
      </c>
      <c r="H186" s="19" t="n">
        <f aca="false">F186*1.079436</f>
        <v>6.6925032</v>
      </c>
      <c r="I186" s="18" t="n">
        <f aca="false">MAX(1,ROUNDUP(G186/0.096,0))</f>
        <v>1</v>
      </c>
      <c r="J186" s="31" t="n">
        <v>46610</v>
      </c>
      <c r="K186" s="34" t="n">
        <f aca="false">J186-WEEKDAY(J186,2)+1</f>
        <v>46608</v>
      </c>
      <c r="L186" s="31" t="n">
        <f aca="false">J186</f>
        <v>46610</v>
      </c>
      <c r="M186" s="26" t="n">
        <f aca="false">INDEX(LR_Target,MATCH(B186,LR_Lane,0))</f>
        <v>5</v>
      </c>
      <c r="N186" s="31" t="n">
        <f aca="false">WORKDAY.INTL(L186,M186,INDEX(LR_Code,MATCH(B186,LR_Lane,0)),INDEX(DH_Table,0,MATCH(B186&amp;"*",DH_Head,0)))</f>
        <v>46617</v>
      </c>
      <c r="O186" s="35" t="n">
        <f aca="false">IF(W186&lt;&gt;"",W186,IF(U186="Helmond",IF(COUNTIFS(RC_Lane,B186,RC_Band,E186,RC_Transit,"&lt;&gt;")=0,"",SUMIFS(RC_Transit,RC_Lane,B186,RC_Band,E186)),IF(U186="Other","",IF(INDEX(RS_Transit,MATCH(B186,RS_Lane,0))="","",INDEX(RS_Transit,MATCH(B186,RS_Lane,0))))))</f>
        <v>1</v>
      </c>
      <c r="P186" s="36"/>
      <c r="Q186" s="31" t="n">
        <f aca="false">IF(P186&lt;&gt;"",P186,IF(O186="","",WORKDAY.INTL(L186,ROUNDUP(O186,0),INDEX(LR_Code,MATCH(B186,LR_Lane,0)),INDEX(DH_Table,0,MATCH(B186&amp;"*",DH_Head,0)))))</f>
        <v>46611</v>
      </c>
      <c r="R186" s="37" t="str">
        <f aca="false">IF(Q186="","",IF(Q186&lt;=N186,"Yes","No"))</f>
        <v>Yes</v>
      </c>
      <c r="S186" s="26" t="n">
        <f aca="false">IF(Q186="","",IF(Q186&lt;=N186,0,NETWORKDAYS.INTL(N186,Q186,INDEX(LR_Code,MATCH(B186,LR_Lane,0)),INDEX(DH_Table,0,MATCH(B186&amp;"*",DH_Head,0)))-1))</f>
        <v>0</v>
      </c>
      <c r="T186" s="4"/>
      <c r="U186" s="25" t="str">
        <f aca="false">IF(V186&lt;&gt;"",V186,IF(IFERROR(INDEX(RS_Flag,MATCH(B186,RS_Lane,0)),"")="Yes",IF(IFERROR(INDEX(RS_Loc,MATCH(B186,RS_Lane,0)),"")="","Regional stock",IFERROR(INDEX(RS_Loc,MATCH(B186,RS_Lane,0)),"")),"Helmond"))</f>
        <v>Helmond</v>
      </c>
      <c r="V186" s="17"/>
      <c r="W186" s="38"/>
      <c r="X186" s="39"/>
      <c r="Y186" s="40" t="n">
        <f aca="false">IF(X186&lt;&gt;"",X186,IF(U186="Helmond",IF(COUNTIFS(RC_Lane,B186,RC_Band,E186,RC_CostPS,"&gt;0")=0,"",SUMIFS(RC_CostPS,RC_Lane,B186,RC_Band,E186)*(1-SUMIFS(RC_Disc,RC_Lane,B186,RC_Band,E186))),IF(U186="Other","",IF(INDEX(RS_Rate,MATCH(B186,RS_Lane,0))="","",INDEX(RS_Rate,MATCH(B186,RS_Lane,0))))))</f>
        <v>72.485</v>
      </c>
    </row>
    <row r="187" customFormat="false" ht="15" hidden="false" customHeight="false" outlineLevel="0" collapsed="false">
      <c r="A187" s="3" t="s">
        <v>596</v>
      </c>
      <c r="B187" s="25" t="s">
        <v>112</v>
      </c>
      <c r="C187" s="8" t="s">
        <v>113</v>
      </c>
      <c r="D187" s="8" t="s">
        <v>152</v>
      </c>
      <c r="E187" s="8" t="s">
        <v>178</v>
      </c>
      <c r="F187" s="19" t="n">
        <v>8.9</v>
      </c>
      <c r="G187" s="33" t="n">
        <f aca="false">F187*0.006477</f>
        <v>0.0576453</v>
      </c>
      <c r="H187" s="19" t="n">
        <f aca="false">F187*1.079436</f>
        <v>9.6069804</v>
      </c>
      <c r="I187" s="18" t="n">
        <f aca="false">MAX(1,ROUNDUP(G187/0.096,0))</f>
        <v>1</v>
      </c>
      <c r="J187" s="31" t="n">
        <v>46611</v>
      </c>
      <c r="K187" s="34" t="n">
        <f aca="false">J187-WEEKDAY(J187,2)+1</f>
        <v>46608</v>
      </c>
      <c r="L187" s="31" t="n">
        <f aca="false">J187</f>
        <v>46611</v>
      </c>
      <c r="M187" s="26" t="n">
        <f aca="false">INDEX(LR_Target,MATCH(B187,LR_Lane,0))</f>
        <v>2</v>
      </c>
      <c r="N187" s="31" t="n">
        <f aca="false">WORKDAY.INTL(L187,M187,INDEX(LR_Code,MATCH(B187,LR_Lane,0)),INDEX(DH_Table,0,MATCH(B187&amp;"*",DH_Head,0)))</f>
        <v>46615</v>
      </c>
      <c r="O187" s="35" t="n">
        <f aca="false">IF(W187&lt;&gt;"",W187,IF(U187="Helmond",IF(COUNTIFS(RC_Lane,B187,RC_Band,E187,RC_Transit,"&lt;&gt;")=0,"",SUMIFS(RC_Transit,RC_Lane,B187,RC_Band,E187)),IF(U187="Other","",IF(INDEX(RS_Transit,MATCH(B187,RS_Lane,0))="","",INDEX(RS_Transit,MATCH(B187,RS_Lane,0))))))</f>
        <v>1</v>
      </c>
      <c r="P187" s="36"/>
      <c r="Q187" s="31" t="n">
        <f aca="false">IF(P187&lt;&gt;"",P187,IF(O187="","",WORKDAY.INTL(L187,ROUNDUP(O187,0),INDEX(LR_Code,MATCH(B187,LR_Lane,0)),INDEX(DH_Table,0,MATCH(B187&amp;"*",DH_Head,0)))))</f>
        <v>46612</v>
      </c>
      <c r="R187" s="37" t="str">
        <f aca="false">IF(Q187="","",IF(Q187&lt;=N187,"Yes","No"))</f>
        <v>Yes</v>
      </c>
      <c r="S187" s="26" t="n">
        <f aca="false">IF(Q187="","",IF(Q187&lt;=N187,0,NETWORKDAYS.INTL(N187,Q187,INDEX(LR_Code,MATCH(B187,LR_Lane,0)),INDEX(DH_Table,0,MATCH(B187&amp;"*",DH_Head,0)))-1))</f>
        <v>0</v>
      </c>
      <c r="T187" s="4"/>
      <c r="U187" s="25" t="str">
        <f aca="false">IF(V187&lt;&gt;"",V187,IF(IFERROR(INDEX(RS_Flag,MATCH(B187,RS_Lane,0)),"")="Yes",IF(IFERROR(INDEX(RS_Loc,MATCH(B187,RS_Lane,0)),"")="","Regional stock",IFERROR(INDEX(RS_Loc,MATCH(B187,RS_Lane,0)),"")),"Helmond"))</f>
        <v>Helmond</v>
      </c>
      <c r="V187" s="17"/>
      <c r="W187" s="38"/>
      <c r="X187" s="39"/>
      <c r="Y187" s="40" t="n">
        <f aca="false">IF(X187&lt;&gt;"",X187,IF(U187="Helmond",IF(COUNTIFS(RC_Lane,B187,RC_Band,E187,RC_CostPS,"&gt;0")=0,"",SUMIFS(RC_CostPS,RC_Lane,B187,RC_Band,E187)*(1-SUMIFS(RC_Disc,RC_Lane,B187,RC_Band,E187))),IF(U187="Other","",IF(INDEX(RS_Rate,MATCH(B187,RS_Lane,0))="","",INDEX(RS_Rate,MATCH(B187,RS_Lane,0))))))</f>
        <v>72.485</v>
      </c>
    </row>
    <row r="188" customFormat="false" ht="15" hidden="false" customHeight="false" outlineLevel="0" collapsed="false">
      <c r="A188" s="3" t="s">
        <v>597</v>
      </c>
      <c r="B188" s="25" t="s">
        <v>119</v>
      </c>
      <c r="C188" s="8" t="s">
        <v>120</v>
      </c>
      <c r="D188" s="8" t="s">
        <v>155</v>
      </c>
      <c r="E188" s="8" t="s">
        <v>182</v>
      </c>
      <c r="F188" s="19" t="n">
        <v>366.2</v>
      </c>
      <c r="G188" s="33" t="n">
        <f aca="false">F188*0.006477</f>
        <v>2.3718774</v>
      </c>
      <c r="H188" s="19" t="n">
        <f aca="false">F188*1.079436</f>
        <v>395.2894632</v>
      </c>
      <c r="I188" s="18" t="n">
        <f aca="false">MAX(1,ROUNDUP(G188/0.096,0))</f>
        <v>25</v>
      </c>
      <c r="J188" s="31" t="n">
        <v>46615</v>
      </c>
      <c r="K188" s="34" t="n">
        <f aca="false">J188-WEEKDAY(J188,2)+1</f>
        <v>46615</v>
      </c>
      <c r="L188" s="31" t="n">
        <f aca="false">J188</f>
        <v>46615</v>
      </c>
      <c r="M188" s="26" t="n">
        <f aca="false">INDEX(LR_Target,MATCH(B188,LR_Lane,0))</f>
        <v>3</v>
      </c>
      <c r="N188" s="31" t="n">
        <f aca="false">WORKDAY.INTL(L188,M188,INDEX(LR_Code,MATCH(B188,LR_Lane,0)),INDEX(DH_Table,0,MATCH(B188&amp;"*",DH_Head,0)))</f>
        <v>46618</v>
      </c>
      <c r="O188" s="35" t="n">
        <f aca="false">IF(W188&lt;&gt;"",W188,IF(U188="Helmond",IF(COUNTIFS(RC_Lane,B188,RC_Band,E188,RC_Transit,"&lt;&gt;")=0,"",SUMIFS(RC_Transit,RC_Lane,B188,RC_Band,E188)),IF(U188="Other","",IF(INDEX(RS_Transit,MATCH(B188,RS_Lane,0))="","",INDEX(RS_Transit,MATCH(B188,RS_Lane,0))))))</f>
        <v>3</v>
      </c>
      <c r="P188" s="36"/>
      <c r="Q188" s="31" t="n">
        <f aca="false">IF(P188&lt;&gt;"",P188,IF(O188="","",WORKDAY.INTL(L188,ROUNDUP(O188,0),INDEX(LR_Code,MATCH(B188,LR_Lane,0)),INDEX(DH_Table,0,MATCH(B188&amp;"*",DH_Head,0)))))</f>
        <v>46618</v>
      </c>
      <c r="R188" s="37" t="str">
        <f aca="false">IF(Q188="","",IF(Q188&lt;=N188,"Yes","No"))</f>
        <v>Yes</v>
      </c>
      <c r="S188" s="26" t="n">
        <f aca="false">IF(Q188="","",IF(Q188&lt;=N188,0,NETWORKDAYS.INTL(N188,Q188,INDEX(LR_Code,MATCH(B188,LR_Lane,0)),INDEX(DH_Table,0,MATCH(B188&amp;"*",DH_Head,0)))-1))</f>
        <v>0</v>
      </c>
      <c r="T188" s="4"/>
      <c r="U188" s="25" t="str">
        <f aca="false">IF(V188&lt;&gt;"",V188,IF(IFERROR(INDEX(RS_Flag,MATCH(B188,RS_Lane,0)),"")="Yes",IF(IFERROR(INDEX(RS_Loc,MATCH(B188,RS_Lane,0)),"")="","Regional stock",IFERROR(INDEX(RS_Loc,MATCH(B188,RS_Lane,0)),"")),"Helmond"))</f>
        <v>Helmond</v>
      </c>
      <c r="V188" s="17"/>
      <c r="W188" s="38"/>
      <c r="X188" s="39"/>
      <c r="Y188" s="40" t="n">
        <f aca="false">IF(X188&lt;&gt;"",X188,IF(U188="Helmond",IF(COUNTIFS(RC_Lane,B188,RC_Band,E188,RC_CostPS,"&gt;0")=0,"",SUMIFS(RC_CostPS,RC_Lane,B188,RC_Band,E188)*(1-SUMIFS(RC_Disc,RC_Lane,B188,RC_Band,E188))),IF(U188="Other","",IF(INDEX(RS_Rate,MATCH(B188,RS_Lane,0))="","",INDEX(RS_Rate,MATCH(B188,RS_Lane,0))))))</f>
        <v>1400.35434</v>
      </c>
    </row>
    <row r="189" customFormat="false" ht="15" hidden="false" customHeight="false" outlineLevel="0" collapsed="false">
      <c r="A189" s="3" t="s">
        <v>598</v>
      </c>
      <c r="B189" s="25" t="s">
        <v>112</v>
      </c>
      <c r="C189" s="8" t="s">
        <v>113</v>
      </c>
      <c r="D189" s="8" t="s">
        <v>152</v>
      </c>
      <c r="E189" s="8" t="s">
        <v>182</v>
      </c>
      <c r="F189" s="19" t="n">
        <v>205.1</v>
      </c>
      <c r="G189" s="33" t="n">
        <f aca="false">F189*0.006477</f>
        <v>1.3284327</v>
      </c>
      <c r="H189" s="19" t="n">
        <f aca="false">F189*1.079436</f>
        <v>221.3923236</v>
      </c>
      <c r="I189" s="18" t="n">
        <f aca="false">MAX(1,ROUNDUP(G189/0.096,0))</f>
        <v>14</v>
      </c>
      <c r="J189" s="31" t="n">
        <v>46616</v>
      </c>
      <c r="K189" s="34" t="n">
        <f aca="false">J189-WEEKDAY(J189,2)+1</f>
        <v>46615</v>
      </c>
      <c r="L189" s="31" t="n">
        <f aca="false">J189</f>
        <v>46616</v>
      </c>
      <c r="M189" s="26" t="n">
        <f aca="false">INDEX(LR_Target,MATCH(B189,LR_Lane,0))</f>
        <v>2</v>
      </c>
      <c r="N189" s="31" t="n">
        <f aca="false">WORKDAY.INTL(L189,M189,INDEX(LR_Code,MATCH(B189,LR_Lane,0)),INDEX(DH_Table,0,MATCH(B189&amp;"*",DH_Head,0)))</f>
        <v>46618</v>
      </c>
      <c r="O189" s="35" t="n">
        <f aca="false">IF(W189&lt;&gt;"",W189,IF(U189="Helmond",IF(COUNTIFS(RC_Lane,B189,RC_Band,E189,RC_Transit,"&lt;&gt;")=0,"",SUMIFS(RC_Transit,RC_Lane,B189,RC_Band,E189)),IF(U189="Other","",IF(INDEX(RS_Transit,MATCH(B189,RS_Lane,0))="","",INDEX(RS_Transit,MATCH(B189,RS_Lane,0))))))</f>
        <v>3</v>
      </c>
      <c r="P189" s="36"/>
      <c r="Q189" s="31" t="n">
        <f aca="false">IF(P189&lt;&gt;"",P189,IF(O189="","",WORKDAY.INTL(L189,ROUNDUP(O189,0),INDEX(LR_Code,MATCH(B189,LR_Lane,0)),INDEX(DH_Table,0,MATCH(B189&amp;"*",DH_Head,0)))))</f>
        <v>46619</v>
      </c>
      <c r="R189" s="37" t="str">
        <f aca="false">IF(Q189="","",IF(Q189&lt;=N189,"Yes","No"))</f>
        <v>No</v>
      </c>
      <c r="S189" s="26" t="n">
        <f aca="false">IF(Q189="","",IF(Q189&lt;=N189,0,NETWORKDAYS.INTL(N189,Q189,INDEX(LR_Code,MATCH(B189,LR_Lane,0)),INDEX(DH_Table,0,MATCH(B189&amp;"*",DH_Head,0)))-1))</f>
        <v>1</v>
      </c>
      <c r="T189" s="4"/>
      <c r="U189" s="25" t="str">
        <f aca="false">IF(V189&lt;&gt;"",V189,IF(IFERROR(INDEX(RS_Flag,MATCH(B189,RS_Lane,0)),"")="Yes",IF(IFERROR(INDEX(RS_Loc,MATCH(B189,RS_Lane,0)),"")="","Regional stock",IFERROR(INDEX(RS_Loc,MATCH(B189,RS_Lane,0)),"")),"Helmond"))</f>
        <v>Helmond</v>
      </c>
      <c r="V189" s="17"/>
      <c r="W189" s="38"/>
      <c r="X189" s="39"/>
      <c r="Y189" s="40" t="n">
        <f aca="false">IF(X189&lt;&gt;"",X189,IF(U189="Helmond",IF(COUNTIFS(RC_Lane,B189,RC_Band,E189,RC_CostPS,"&gt;0")=0,"",SUMIFS(RC_CostPS,RC_Lane,B189,RC_Band,E189)*(1-SUMIFS(RC_Disc,RC_Lane,B189,RC_Band,E189))),IF(U189="Other","",IF(INDEX(RS_Rate,MATCH(B189,RS_Lane,0))="","",INDEX(RS_Rate,MATCH(B189,RS_Lane,0))))))</f>
        <v>1428.70443</v>
      </c>
    </row>
    <row r="190" customFormat="false" ht="15" hidden="false" customHeight="false" outlineLevel="0" collapsed="false">
      <c r="A190" s="3" t="s">
        <v>599</v>
      </c>
      <c r="B190" s="25" t="s">
        <v>126</v>
      </c>
      <c r="C190" s="8" t="s">
        <v>127</v>
      </c>
      <c r="D190" s="8" t="s">
        <v>158</v>
      </c>
      <c r="E190" s="8" t="s">
        <v>182</v>
      </c>
      <c r="F190" s="19" t="n">
        <v>144.1</v>
      </c>
      <c r="G190" s="33" t="n">
        <f aca="false">F190*0.006477</f>
        <v>0.9333357</v>
      </c>
      <c r="H190" s="19" t="n">
        <f aca="false">F190*1.079436</f>
        <v>155.5467276</v>
      </c>
      <c r="I190" s="18" t="n">
        <f aca="false">MAX(1,ROUNDUP(G190/0.096,0))</f>
        <v>10</v>
      </c>
      <c r="J190" s="31" t="n">
        <v>46616</v>
      </c>
      <c r="K190" s="34" t="n">
        <f aca="false">J190-WEEKDAY(J190,2)+1</f>
        <v>46615</v>
      </c>
      <c r="L190" s="31" t="n">
        <f aca="false">J190</f>
        <v>46616</v>
      </c>
      <c r="M190" s="26" t="n">
        <f aca="false">INDEX(LR_Target,MATCH(B190,LR_Lane,0))</f>
        <v>4</v>
      </c>
      <c r="N190" s="31" t="n">
        <f aca="false">WORKDAY.INTL(L190,M190,INDEX(LR_Code,MATCH(B190,LR_Lane,0)),INDEX(DH_Table,0,MATCH(B190&amp;"*",DH_Head,0)))</f>
        <v>46622</v>
      </c>
      <c r="O190" s="35" t="n">
        <f aca="false">IF(W190&lt;&gt;"",W190,IF(U190="Helmond",IF(COUNTIFS(RC_Lane,B190,RC_Band,E190,RC_Transit,"&lt;&gt;")=0,"",SUMIFS(RC_Transit,RC_Lane,B190,RC_Band,E190)),IF(U190="Other","",IF(INDEX(RS_Transit,MATCH(B190,RS_Lane,0))="","",INDEX(RS_Transit,MATCH(B190,RS_Lane,0))))))</f>
        <v>3</v>
      </c>
      <c r="P190" s="36"/>
      <c r="Q190" s="31" t="n">
        <f aca="false">IF(P190&lt;&gt;"",P190,IF(O190="","",WORKDAY.INTL(L190,ROUNDUP(O190,0),INDEX(LR_Code,MATCH(B190,LR_Lane,0)),INDEX(DH_Table,0,MATCH(B190&amp;"*",DH_Head,0)))))</f>
        <v>46621</v>
      </c>
      <c r="R190" s="37" t="str">
        <f aca="false">IF(Q190="","",IF(Q190&lt;=N190,"Yes","No"))</f>
        <v>Yes</v>
      </c>
      <c r="S190" s="26" t="n">
        <f aca="false">IF(Q190="","",IF(Q190&lt;=N190,0,NETWORKDAYS.INTL(N190,Q190,INDEX(LR_Code,MATCH(B190,LR_Lane,0)),INDEX(DH_Table,0,MATCH(B190&amp;"*",DH_Head,0)))-1))</f>
        <v>0</v>
      </c>
      <c r="T190" s="4"/>
      <c r="U190" s="25" t="str">
        <f aca="false">IF(V190&lt;&gt;"",V190,IF(IFERROR(INDEX(RS_Flag,MATCH(B190,RS_Lane,0)),"")="Yes",IF(IFERROR(INDEX(RS_Loc,MATCH(B190,RS_Lane,0)),"")="","Regional stock",IFERROR(INDEX(RS_Loc,MATCH(B190,RS_Lane,0)),"")),"Helmond"))</f>
        <v>Helmond</v>
      </c>
      <c r="V190" s="17"/>
      <c r="W190" s="38"/>
      <c r="X190" s="39"/>
      <c r="Y190" s="40" t="n">
        <f aca="false">IF(X190&lt;&gt;"",X190,IF(U190="Helmond",IF(COUNTIFS(RC_Lane,B190,RC_Band,E190,RC_CostPS,"&gt;0")=0,"",SUMIFS(RC_CostPS,RC_Lane,B190,RC_Band,E190)*(1-SUMIFS(RC_Disc,RC_Lane,B190,RC_Band,E190))),IF(U190="Other","",IF(INDEX(RS_Rate,MATCH(B190,RS_Lane,0))="","",INDEX(RS_Rate,MATCH(B190,RS_Lane,0))))))</f>
        <v>890.05272</v>
      </c>
    </row>
    <row r="191" customFormat="false" ht="15" hidden="false" customHeight="false" outlineLevel="0" collapsed="false">
      <c r="A191" s="3" t="s">
        <v>600</v>
      </c>
      <c r="B191" s="25" t="s">
        <v>112</v>
      </c>
      <c r="C191" s="8" t="s">
        <v>113</v>
      </c>
      <c r="D191" s="8" t="s">
        <v>152</v>
      </c>
      <c r="E191" s="8" t="s">
        <v>178</v>
      </c>
      <c r="F191" s="19" t="n">
        <v>7.4</v>
      </c>
      <c r="G191" s="33" t="n">
        <f aca="false">F191*0.006477</f>
        <v>0.0479298</v>
      </c>
      <c r="H191" s="19" t="n">
        <f aca="false">F191*1.079436</f>
        <v>7.9878264</v>
      </c>
      <c r="I191" s="18" t="n">
        <f aca="false">MAX(1,ROUNDUP(G191/0.096,0))</f>
        <v>1</v>
      </c>
      <c r="J191" s="31" t="n">
        <v>46618</v>
      </c>
      <c r="K191" s="34" t="n">
        <f aca="false">J191-WEEKDAY(J191,2)+1</f>
        <v>46615</v>
      </c>
      <c r="L191" s="31" t="n">
        <f aca="false">J191</f>
        <v>46618</v>
      </c>
      <c r="M191" s="26" t="n">
        <f aca="false">INDEX(LR_Target,MATCH(B191,LR_Lane,0))</f>
        <v>2</v>
      </c>
      <c r="N191" s="31" t="n">
        <f aca="false">WORKDAY.INTL(L191,M191,INDEX(LR_Code,MATCH(B191,LR_Lane,0)),INDEX(DH_Table,0,MATCH(B191&amp;"*",DH_Head,0)))</f>
        <v>46622</v>
      </c>
      <c r="O191" s="35" t="n">
        <f aca="false">IF(W191&lt;&gt;"",W191,IF(U191="Helmond",IF(COUNTIFS(RC_Lane,B191,RC_Band,E191,RC_Transit,"&lt;&gt;")=0,"",SUMIFS(RC_Transit,RC_Lane,B191,RC_Band,E191)),IF(U191="Other","",IF(INDEX(RS_Transit,MATCH(B191,RS_Lane,0))="","",INDEX(RS_Transit,MATCH(B191,RS_Lane,0))))))</f>
        <v>1</v>
      </c>
      <c r="P191" s="36"/>
      <c r="Q191" s="31" t="n">
        <f aca="false">IF(P191&lt;&gt;"",P191,IF(O191="","",WORKDAY.INTL(L191,ROUNDUP(O191,0),INDEX(LR_Code,MATCH(B191,LR_Lane,0)),INDEX(DH_Table,0,MATCH(B191&amp;"*",DH_Head,0)))))</f>
        <v>46619</v>
      </c>
      <c r="R191" s="37" t="str">
        <f aca="false">IF(Q191="","",IF(Q191&lt;=N191,"Yes","No"))</f>
        <v>Yes</v>
      </c>
      <c r="S191" s="26" t="n">
        <f aca="false">IF(Q191="","",IF(Q191&lt;=N191,0,NETWORKDAYS.INTL(N191,Q191,INDEX(LR_Code,MATCH(B191,LR_Lane,0)),INDEX(DH_Table,0,MATCH(B191&amp;"*",DH_Head,0)))-1))</f>
        <v>0</v>
      </c>
      <c r="T191" s="4"/>
      <c r="U191" s="25" t="str">
        <f aca="false">IF(V191&lt;&gt;"",V191,IF(IFERROR(INDEX(RS_Flag,MATCH(B191,RS_Lane,0)),"")="Yes",IF(IFERROR(INDEX(RS_Loc,MATCH(B191,RS_Lane,0)),"")="","Regional stock",IFERROR(INDEX(RS_Loc,MATCH(B191,RS_Lane,0)),"")),"Helmond"))</f>
        <v>Helmond</v>
      </c>
      <c r="V191" s="17"/>
      <c r="W191" s="38"/>
      <c r="X191" s="39"/>
      <c r="Y191" s="40" t="n">
        <f aca="false">IF(X191&lt;&gt;"",X191,IF(U191="Helmond",IF(COUNTIFS(RC_Lane,B191,RC_Band,E191,RC_CostPS,"&gt;0")=0,"",SUMIFS(RC_CostPS,RC_Lane,B191,RC_Band,E191)*(1-SUMIFS(RC_Disc,RC_Lane,B191,RC_Band,E191))),IF(U191="Other","",IF(INDEX(RS_Rate,MATCH(B191,RS_Lane,0))="","",INDEX(RS_Rate,MATCH(B191,RS_Lane,0))))))</f>
        <v>72.485</v>
      </c>
    </row>
    <row r="192" customFormat="false" ht="15" hidden="false" customHeight="false" outlineLevel="0" collapsed="false">
      <c r="A192" s="3" t="s">
        <v>601</v>
      </c>
      <c r="B192" s="25" t="s">
        <v>108</v>
      </c>
      <c r="C192" s="8" t="s">
        <v>109</v>
      </c>
      <c r="D192" s="8" t="s">
        <v>272</v>
      </c>
      <c r="E192" s="8" t="s">
        <v>178</v>
      </c>
      <c r="F192" s="19" t="n">
        <v>7.4</v>
      </c>
      <c r="G192" s="33" t="n">
        <f aca="false">F192*0.006477</f>
        <v>0.0479298</v>
      </c>
      <c r="H192" s="19" t="n">
        <f aca="false">F192*1.079436</f>
        <v>7.9878264</v>
      </c>
      <c r="I192" s="18" t="n">
        <f aca="false">MAX(1,ROUNDUP(G192/0.096,0))</f>
        <v>1</v>
      </c>
      <c r="J192" s="31" t="n">
        <v>46622</v>
      </c>
      <c r="K192" s="34" t="n">
        <f aca="false">J192-WEEKDAY(J192,2)+1</f>
        <v>46622</v>
      </c>
      <c r="L192" s="31" t="n">
        <f aca="false">J192</f>
        <v>46622</v>
      </c>
      <c r="M192" s="26" t="n">
        <f aca="false">INDEX(LR_Target,MATCH(B192,LR_Lane,0))</f>
        <v>2</v>
      </c>
      <c r="N192" s="31" t="n">
        <f aca="false">WORKDAY.INTL(L192,M192,INDEX(LR_Code,MATCH(B192,LR_Lane,0)),INDEX(DH_Table,0,MATCH(B192&amp;"*",DH_Head,0)))</f>
        <v>46624</v>
      </c>
      <c r="O192" s="35" t="n">
        <f aca="false">IF(W192&lt;&gt;"",W192,IF(U192="Helmond",IF(COUNTIFS(RC_Lane,B192,RC_Band,E192,RC_Transit,"&lt;&gt;")=0,"",SUMIFS(RC_Transit,RC_Lane,B192,RC_Band,E192)),IF(U192="Other","",IF(INDEX(RS_Transit,MATCH(B192,RS_Lane,0))="","",INDEX(RS_Transit,MATCH(B192,RS_Lane,0))))))</f>
        <v>1</v>
      </c>
      <c r="P192" s="36"/>
      <c r="Q192" s="31" t="n">
        <f aca="false">IF(P192&lt;&gt;"",P192,IF(O192="","",WORKDAY.INTL(L192,ROUNDUP(O192,0),INDEX(LR_Code,MATCH(B192,LR_Lane,0)),INDEX(DH_Table,0,MATCH(B192&amp;"*",DH_Head,0)))))</f>
        <v>46623</v>
      </c>
      <c r="R192" s="37" t="str">
        <f aca="false">IF(Q192="","",IF(Q192&lt;=N192,"Yes","No"))</f>
        <v>Yes</v>
      </c>
      <c r="S192" s="26" t="n">
        <f aca="false">IF(Q192="","",IF(Q192&lt;=N192,0,NETWORKDAYS.INTL(N192,Q192,INDEX(LR_Code,MATCH(B192,LR_Lane,0)),INDEX(DH_Table,0,MATCH(B192&amp;"*",DH_Head,0)))-1))</f>
        <v>0</v>
      </c>
      <c r="T192" s="4"/>
      <c r="U192" s="25" t="str">
        <f aca="false">IF(V192&lt;&gt;"",V192,IF(IFERROR(INDEX(RS_Flag,MATCH(B192,RS_Lane,0)),"")="Yes",IF(IFERROR(INDEX(RS_Loc,MATCH(B192,RS_Lane,0)),"")="","Regional stock",IFERROR(INDEX(RS_Loc,MATCH(B192,RS_Lane,0)),"")),"Helmond"))</f>
        <v>Helmond</v>
      </c>
      <c r="V192" s="17"/>
      <c r="W192" s="38"/>
      <c r="X192" s="39"/>
      <c r="Y192" s="40" t="n">
        <f aca="false">IF(X192&lt;&gt;"",X192,IF(U192="Helmond",IF(COUNTIFS(RC_Lane,B192,RC_Band,E192,RC_CostPS,"&gt;0")=0,"",SUMIFS(RC_CostPS,RC_Lane,B192,RC_Band,E192)*(1-SUMIFS(RC_Disc,RC_Lane,B192,RC_Band,E192))),IF(U192="Other","",IF(INDEX(RS_Rate,MATCH(B192,RS_Lane,0))="","",INDEX(RS_Rate,MATCH(B192,RS_Lane,0))))))</f>
        <v>72.485</v>
      </c>
    </row>
    <row r="193" customFormat="false" ht="15" hidden="false" customHeight="false" outlineLevel="0" collapsed="false">
      <c r="A193" s="3" t="s">
        <v>602</v>
      </c>
      <c r="B193" s="25" t="s">
        <v>108</v>
      </c>
      <c r="C193" s="8" t="s">
        <v>109</v>
      </c>
      <c r="D193" s="8" t="s">
        <v>270</v>
      </c>
      <c r="E193" s="8" t="s">
        <v>178</v>
      </c>
      <c r="F193" s="19" t="n">
        <v>7.1</v>
      </c>
      <c r="G193" s="33" t="n">
        <f aca="false">F193*0.006477</f>
        <v>0.0459867</v>
      </c>
      <c r="H193" s="19" t="n">
        <f aca="false">F193*1.079436</f>
        <v>7.6639956</v>
      </c>
      <c r="I193" s="18" t="n">
        <f aca="false">MAX(1,ROUNDUP(G193/0.096,0))</f>
        <v>1</v>
      </c>
      <c r="J193" s="31" t="n">
        <v>46623</v>
      </c>
      <c r="K193" s="34" t="n">
        <f aca="false">J193-WEEKDAY(J193,2)+1</f>
        <v>46622</v>
      </c>
      <c r="L193" s="31" t="n">
        <f aca="false">J193</f>
        <v>46623</v>
      </c>
      <c r="M193" s="26" t="n">
        <f aca="false">INDEX(LR_Target,MATCH(B193,LR_Lane,0))</f>
        <v>2</v>
      </c>
      <c r="N193" s="31" t="n">
        <f aca="false">WORKDAY.INTL(L193,M193,INDEX(LR_Code,MATCH(B193,LR_Lane,0)),INDEX(DH_Table,0,MATCH(B193&amp;"*",DH_Head,0)))</f>
        <v>46625</v>
      </c>
      <c r="O193" s="35" t="n">
        <f aca="false">IF(W193&lt;&gt;"",W193,IF(U193="Helmond",IF(COUNTIFS(RC_Lane,B193,RC_Band,E193,RC_Transit,"&lt;&gt;")=0,"",SUMIFS(RC_Transit,RC_Lane,B193,RC_Band,E193)),IF(U193="Other","",IF(INDEX(RS_Transit,MATCH(B193,RS_Lane,0))="","",INDEX(RS_Transit,MATCH(B193,RS_Lane,0))))))</f>
        <v>1</v>
      </c>
      <c r="P193" s="36"/>
      <c r="Q193" s="31" t="n">
        <f aca="false">IF(P193&lt;&gt;"",P193,IF(O193="","",WORKDAY.INTL(L193,ROUNDUP(O193,0),INDEX(LR_Code,MATCH(B193,LR_Lane,0)),INDEX(DH_Table,0,MATCH(B193&amp;"*",DH_Head,0)))))</f>
        <v>46624</v>
      </c>
      <c r="R193" s="37" t="str">
        <f aca="false">IF(Q193="","",IF(Q193&lt;=N193,"Yes","No"))</f>
        <v>Yes</v>
      </c>
      <c r="S193" s="26" t="n">
        <f aca="false">IF(Q193="","",IF(Q193&lt;=N193,0,NETWORKDAYS.INTL(N193,Q193,INDEX(LR_Code,MATCH(B193,LR_Lane,0)),INDEX(DH_Table,0,MATCH(B193&amp;"*",DH_Head,0)))-1))</f>
        <v>0</v>
      </c>
      <c r="T193" s="4"/>
      <c r="U193" s="25" t="str">
        <f aca="false">IF(V193&lt;&gt;"",V193,IF(IFERROR(INDEX(RS_Flag,MATCH(B193,RS_Lane,0)),"")="Yes",IF(IFERROR(INDEX(RS_Loc,MATCH(B193,RS_Lane,0)),"")="","Regional stock",IFERROR(INDEX(RS_Loc,MATCH(B193,RS_Lane,0)),"")),"Helmond"))</f>
        <v>Helmond</v>
      </c>
      <c r="V193" s="17"/>
      <c r="W193" s="38"/>
      <c r="X193" s="39"/>
      <c r="Y193" s="40" t="n">
        <f aca="false">IF(X193&lt;&gt;"",X193,IF(U193="Helmond",IF(COUNTIFS(RC_Lane,B193,RC_Band,E193,RC_CostPS,"&gt;0")=0,"",SUMIFS(RC_CostPS,RC_Lane,B193,RC_Band,E193)*(1-SUMIFS(RC_Disc,RC_Lane,B193,RC_Band,E193))),IF(U193="Other","",IF(INDEX(RS_Rate,MATCH(B193,RS_Lane,0))="","",INDEX(RS_Rate,MATCH(B193,RS_Lane,0))))))</f>
        <v>72.485</v>
      </c>
    </row>
    <row r="194" customFormat="false" ht="15" hidden="false" customHeight="false" outlineLevel="0" collapsed="false">
      <c r="A194" s="3" t="s">
        <v>603</v>
      </c>
      <c r="B194" s="25" t="s">
        <v>108</v>
      </c>
      <c r="C194" s="8" t="s">
        <v>109</v>
      </c>
      <c r="D194" s="8" t="s">
        <v>270</v>
      </c>
      <c r="E194" s="8" t="s">
        <v>178</v>
      </c>
      <c r="F194" s="19" t="n">
        <v>7.6</v>
      </c>
      <c r="G194" s="33" t="n">
        <f aca="false">F194*0.006477</f>
        <v>0.0492252</v>
      </c>
      <c r="H194" s="19" t="n">
        <f aca="false">F194*1.079436</f>
        <v>8.2037136</v>
      </c>
      <c r="I194" s="18" t="n">
        <f aca="false">MAX(1,ROUNDUP(G194/0.096,0))</f>
        <v>1</v>
      </c>
      <c r="J194" s="31" t="n">
        <v>46623</v>
      </c>
      <c r="K194" s="34" t="n">
        <f aca="false">J194-WEEKDAY(J194,2)+1</f>
        <v>46622</v>
      </c>
      <c r="L194" s="31" t="n">
        <f aca="false">J194</f>
        <v>46623</v>
      </c>
      <c r="M194" s="26" t="n">
        <f aca="false">INDEX(LR_Target,MATCH(B194,LR_Lane,0))</f>
        <v>2</v>
      </c>
      <c r="N194" s="31" t="n">
        <f aca="false">WORKDAY.INTL(L194,M194,INDEX(LR_Code,MATCH(B194,LR_Lane,0)),INDEX(DH_Table,0,MATCH(B194&amp;"*",DH_Head,0)))</f>
        <v>46625</v>
      </c>
      <c r="O194" s="35" t="n">
        <f aca="false">IF(W194&lt;&gt;"",W194,IF(U194="Helmond",IF(COUNTIFS(RC_Lane,B194,RC_Band,E194,RC_Transit,"&lt;&gt;")=0,"",SUMIFS(RC_Transit,RC_Lane,B194,RC_Band,E194)),IF(U194="Other","",IF(INDEX(RS_Transit,MATCH(B194,RS_Lane,0))="","",INDEX(RS_Transit,MATCH(B194,RS_Lane,0))))))</f>
        <v>1</v>
      </c>
      <c r="P194" s="36"/>
      <c r="Q194" s="31" t="n">
        <f aca="false">IF(P194&lt;&gt;"",P194,IF(O194="","",WORKDAY.INTL(L194,ROUNDUP(O194,0),INDEX(LR_Code,MATCH(B194,LR_Lane,0)),INDEX(DH_Table,0,MATCH(B194&amp;"*",DH_Head,0)))))</f>
        <v>46624</v>
      </c>
      <c r="R194" s="37" t="str">
        <f aca="false">IF(Q194="","",IF(Q194&lt;=N194,"Yes","No"))</f>
        <v>Yes</v>
      </c>
      <c r="S194" s="26" t="n">
        <f aca="false">IF(Q194="","",IF(Q194&lt;=N194,0,NETWORKDAYS.INTL(N194,Q194,INDEX(LR_Code,MATCH(B194,LR_Lane,0)),INDEX(DH_Table,0,MATCH(B194&amp;"*",DH_Head,0)))-1))</f>
        <v>0</v>
      </c>
      <c r="T194" s="4"/>
      <c r="U194" s="25" t="str">
        <f aca="false">IF(V194&lt;&gt;"",V194,IF(IFERROR(INDEX(RS_Flag,MATCH(B194,RS_Lane,0)),"")="Yes",IF(IFERROR(INDEX(RS_Loc,MATCH(B194,RS_Lane,0)),"")="","Regional stock",IFERROR(INDEX(RS_Loc,MATCH(B194,RS_Lane,0)),"")),"Helmond"))</f>
        <v>Helmond</v>
      </c>
      <c r="V194" s="17"/>
      <c r="W194" s="38"/>
      <c r="X194" s="39"/>
      <c r="Y194" s="40" t="n">
        <f aca="false">IF(X194&lt;&gt;"",X194,IF(U194="Helmond",IF(COUNTIFS(RC_Lane,B194,RC_Band,E194,RC_CostPS,"&gt;0")=0,"",SUMIFS(RC_CostPS,RC_Lane,B194,RC_Band,E194)*(1-SUMIFS(RC_Disc,RC_Lane,B194,RC_Band,E194))),IF(U194="Other","",IF(INDEX(RS_Rate,MATCH(B194,RS_Lane,0))="","",INDEX(RS_Rate,MATCH(B194,RS_Lane,0))))))</f>
        <v>72.485</v>
      </c>
    </row>
    <row r="195" customFormat="false" ht="15" hidden="false" customHeight="false" outlineLevel="0" collapsed="false">
      <c r="A195" s="3" t="s">
        <v>604</v>
      </c>
      <c r="B195" s="25" t="s">
        <v>112</v>
      </c>
      <c r="C195" s="8" t="s">
        <v>113</v>
      </c>
      <c r="D195" s="8" t="s">
        <v>152</v>
      </c>
      <c r="E195" s="8" t="s">
        <v>178</v>
      </c>
      <c r="F195" s="19" t="n">
        <v>3.2</v>
      </c>
      <c r="G195" s="33" t="n">
        <f aca="false">F195*0.006477</f>
        <v>0.0207264</v>
      </c>
      <c r="H195" s="19" t="n">
        <f aca="false">F195*1.079436</f>
        <v>3.4541952</v>
      </c>
      <c r="I195" s="18" t="n">
        <f aca="false">MAX(1,ROUNDUP(G195/0.096,0))</f>
        <v>1</v>
      </c>
      <c r="J195" s="31" t="n">
        <v>46623</v>
      </c>
      <c r="K195" s="34" t="n">
        <f aca="false">J195-WEEKDAY(J195,2)+1</f>
        <v>46622</v>
      </c>
      <c r="L195" s="31" t="n">
        <f aca="false">J195</f>
        <v>46623</v>
      </c>
      <c r="M195" s="26" t="n">
        <f aca="false">INDEX(LR_Target,MATCH(B195,LR_Lane,0))</f>
        <v>2</v>
      </c>
      <c r="N195" s="31" t="n">
        <f aca="false">WORKDAY.INTL(L195,M195,INDEX(LR_Code,MATCH(B195,LR_Lane,0)),INDEX(DH_Table,0,MATCH(B195&amp;"*",DH_Head,0)))</f>
        <v>46625</v>
      </c>
      <c r="O195" s="35" t="n">
        <f aca="false">IF(W195&lt;&gt;"",W195,IF(U195="Helmond",IF(COUNTIFS(RC_Lane,B195,RC_Band,E195,RC_Transit,"&lt;&gt;")=0,"",SUMIFS(RC_Transit,RC_Lane,B195,RC_Band,E195)),IF(U195="Other","",IF(INDEX(RS_Transit,MATCH(B195,RS_Lane,0))="","",INDEX(RS_Transit,MATCH(B195,RS_Lane,0))))))</f>
        <v>1</v>
      </c>
      <c r="P195" s="36"/>
      <c r="Q195" s="31" t="n">
        <f aca="false">IF(P195&lt;&gt;"",P195,IF(O195="","",WORKDAY.INTL(L195,ROUNDUP(O195,0),INDEX(LR_Code,MATCH(B195,LR_Lane,0)),INDEX(DH_Table,0,MATCH(B195&amp;"*",DH_Head,0)))))</f>
        <v>46624</v>
      </c>
      <c r="R195" s="37" t="str">
        <f aca="false">IF(Q195="","",IF(Q195&lt;=N195,"Yes","No"))</f>
        <v>Yes</v>
      </c>
      <c r="S195" s="26" t="n">
        <f aca="false">IF(Q195="","",IF(Q195&lt;=N195,0,NETWORKDAYS.INTL(N195,Q195,INDEX(LR_Code,MATCH(B195,LR_Lane,0)),INDEX(DH_Table,0,MATCH(B195&amp;"*",DH_Head,0)))-1))</f>
        <v>0</v>
      </c>
      <c r="T195" s="4"/>
      <c r="U195" s="25" t="str">
        <f aca="false">IF(V195&lt;&gt;"",V195,IF(IFERROR(INDEX(RS_Flag,MATCH(B195,RS_Lane,0)),"")="Yes",IF(IFERROR(INDEX(RS_Loc,MATCH(B195,RS_Lane,0)),"")="","Regional stock",IFERROR(INDEX(RS_Loc,MATCH(B195,RS_Lane,0)),"")),"Helmond"))</f>
        <v>Helmond</v>
      </c>
      <c r="V195" s="17"/>
      <c r="W195" s="38"/>
      <c r="X195" s="39"/>
      <c r="Y195" s="40" t="n">
        <f aca="false">IF(X195&lt;&gt;"",X195,IF(U195="Helmond",IF(COUNTIFS(RC_Lane,B195,RC_Band,E195,RC_CostPS,"&gt;0")=0,"",SUMIFS(RC_CostPS,RC_Lane,B195,RC_Band,E195)*(1-SUMIFS(RC_Disc,RC_Lane,B195,RC_Band,E195))),IF(U195="Other","",IF(INDEX(RS_Rate,MATCH(B195,RS_Lane,0))="","",INDEX(RS_Rate,MATCH(B195,RS_Lane,0))))))</f>
        <v>72.485</v>
      </c>
    </row>
    <row r="196" customFormat="false" ht="15" hidden="false" customHeight="false" outlineLevel="0" collapsed="false">
      <c r="A196" s="3" t="s">
        <v>605</v>
      </c>
      <c r="B196" s="25" t="s">
        <v>108</v>
      </c>
      <c r="C196" s="8" t="s">
        <v>109</v>
      </c>
      <c r="D196" s="8" t="s">
        <v>272</v>
      </c>
      <c r="E196" s="8" t="s">
        <v>185</v>
      </c>
      <c r="F196" s="19" t="n">
        <v>2246.7</v>
      </c>
      <c r="G196" s="33" t="n">
        <f aca="false">F196*0.006477</f>
        <v>14.5518759</v>
      </c>
      <c r="H196" s="19" t="n">
        <f aca="false">F196*1.079436</f>
        <v>2425.1688612</v>
      </c>
      <c r="I196" s="18" t="n">
        <f aca="false">MAX(1,ROUNDUP(G196/0.096,0))</f>
        <v>152</v>
      </c>
      <c r="J196" s="31" t="n">
        <v>46624</v>
      </c>
      <c r="K196" s="34" t="n">
        <f aca="false">J196-WEEKDAY(J196,2)+1</f>
        <v>46622</v>
      </c>
      <c r="L196" s="31" t="n">
        <f aca="false">J196</f>
        <v>46624</v>
      </c>
      <c r="M196" s="26" t="n">
        <f aca="false">INDEX(LR_Target,MATCH(B196,LR_Lane,0))</f>
        <v>2</v>
      </c>
      <c r="N196" s="31" t="n">
        <f aca="false">WORKDAY.INTL(L196,M196,INDEX(LR_Code,MATCH(B196,LR_Lane,0)),INDEX(DH_Table,0,MATCH(B196&amp;"*",DH_Head,0)))</f>
        <v>46628</v>
      </c>
      <c r="O196" s="35" t="n">
        <f aca="false">IF(W196&lt;&gt;"",W196,IF(U196="Helmond",IF(COUNTIFS(RC_Lane,B196,RC_Band,E196,RC_Transit,"&lt;&gt;")=0,"",SUMIFS(RC_Transit,RC_Lane,B196,RC_Band,E196)),IF(U196="Other","",IF(INDEX(RS_Transit,MATCH(B196,RS_Lane,0))="","",INDEX(RS_Transit,MATCH(B196,RS_Lane,0))))))</f>
        <v>6</v>
      </c>
      <c r="P196" s="36"/>
      <c r="Q196" s="31" t="n">
        <f aca="false">IF(P196&lt;&gt;"",P196,IF(O196="","",WORKDAY.INTL(L196,ROUNDUP(O196,0),INDEX(LR_Code,MATCH(B196,LR_Lane,0)),INDEX(DH_Table,0,MATCH(B196&amp;"*",DH_Head,0)))))</f>
        <v>46632</v>
      </c>
      <c r="R196" s="37" t="str">
        <f aca="false">IF(Q196="","",IF(Q196&lt;=N196,"Yes","No"))</f>
        <v>No</v>
      </c>
      <c r="S196" s="26" t="n">
        <f aca="false">IF(Q196="","",IF(Q196&lt;=N196,0,NETWORKDAYS.INTL(N196,Q196,INDEX(LR_Code,MATCH(B196,LR_Lane,0)),INDEX(DH_Table,0,MATCH(B196&amp;"*",DH_Head,0)))-1))</f>
        <v>4</v>
      </c>
      <c r="T196" s="4"/>
      <c r="U196" s="25" t="str">
        <f aca="false">IF(V196&lt;&gt;"",V196,IF(IFERROR(INDEX(RS_Flag,MATCH(B196,RS_Lane,0)),"")="Yes",IF(IFERROR(INDEX(RS_Loc,MATCH(B196,RS_Lane,0)),"")="","Regional stock",IFERROR(INDEX(RS_Loc,MATCH(B196,RS_Lane,0)),"")),"Helmond"))</f>
        <v>Helmond</v>
      </c>
      <c r="V196" s="17"/>
      <c r="W196" s="38"/>
      <c r="X196" s="39"/>
      <c r="Y196" s="40" t="n">
        <f aca="false">IF(X196&lt;&gt;"",X196,IF(U196="Helmond",IF(COUNTIFS(RC_Lane,B196,RC_Band,E196,RC_CostPS,"&gt;0")=0,"",SUMIFS(RC_CostPS,RC_Lane,B196,RC_Band,E196)*(1-SUMIFS(RC_Disc,RC_Lane,B196,RC_Band,E196))),IF(U196="Other","",IF(INDEX(RS_Rate,MATCH(B196,RS_Lane,0))="","",INDEX(RS_Rate,MATCH(B196,RS_Lane,0))))))</f>
        <v>8960.7819</v>
      </c>
    </row>
    <row r="197" customFormat="false" ht="15" hidden="false" customHeight="false" outlineLevel="0" collapsed="false">
      <c r="A197" s="3" t="s">
        <v>606</v>
      </c>
      <c r="B197" s="25" t="s">
        <v>129</v>
      </c>
      <c r="C197" s="8" t="s">
        <v>130</v>
      </c>
      <c r="D197" s="8" t="s">
        <v>159</v>
      </c>
      <c r="E197" s="8" t="s">
        <v>178</v>
      </c>
      <c r="F197" s="19" t="n">
        <v>9.7</v>
      </c>
      <c r="G197" s="33" t="n">
        <f aca="false">F197*0.006477</f>
        <v>0.0628269</v>
      </c>
      <c r="H197" s="19" t="n">
        <f aca="false">F197*1.079436</f>
        <v>10.4705292</v>
      </c>
      <c r="I197" s="18" t="n">
        <f aca="false">MAX(1,ROUNDUP(G197/0.096,0))</f>
        <v>1</v>
      </c>
      <c r="J197" s="31" t="n">
        <v>46624</v>
      </c>
      <c r="K197" s="34" t="n">
        <f aca="false">J197-WEEKDAY(J197,2)+1</f>
        <v>46622</v>
      </c>
      <c r="L197" s="31" t="n">
        <f aca="false">J197</f>
        <v>46624</v>
      </c>
      <c r="M197" s="26" t="n">
        <f aca="false">INDEX(LR_Target,MATCH(B197,LR_Lane,0))</f>
        <v>4</v>
      </c>
      <c r="N197" s="31" t="n">
        <f aca="false">WORKDAY.INTL(L197,M197,INDEX(LR_Code,MATCH(B197,LR_Lane,0)),INDEX(DH_Table,0,MATCH(B197&amp;"*",DH_Head,0)))</f>
        <v>46630</v>
      </c>
      <c r="O197" s="35" t="n">
        <f aca="false">IF(W197&lt;&gt;"",W197,IF(U197="Helmond",IF(COUNTIFS(RC_Lane,B197,RC_Band,E197,RC_Transit,"&lt;&gt;")=0,"",SUMIFS(RC_Transit,RC_Lane,B197,RC_Band,E197)),IF(U197="Other","",IF(INDEX(RS_Transit,MATCH(B197,RS_Lane,0))="","",INDEX(RS_Transit,MATCH(B197,RS_Lane,0))))))</f>
        <v>1</v>
      </c>
      <c r="P197" s="36"/>
      <c r="Q197" s="31" t="n">
        <f aca="false">IF(P197&lt;&gt;"",P197,IF(O197="","",WORKDAY.INTL(L197,ROUNDUP(O197,0),INDEX(LR_Code,MATCH(B197,LR_Lane,0)),INDEX(DH_Table,0,MATCH(B197&amp;"*",DH_Head,0)))))</f>
        <v>46625</v>
      </c>
      <c r="R197" s="37" t="str">
        <f aca="false">IF(Q197="","",IF(Q197&lt;=N197,"Yes","No"))</f>
        <v>Yes</v>
      </c>
      <c r="S197" s="26" t="n">
        <f aca="false">IF(Q197="","",IF(Q197&lt;=N197,0,NETWORKDAYS.INTL(N197,Q197,INDEX(LR_Code,MATCH(B197,LR_Lane,0)),INDEX(DH_Table,0,MATCH(B197&amp;"*",DH_Head,0)))-1))</f>
        <v>0</v>
      </c>
      <c r="T197" s="4"/>
      <c r="U197" s="25" t="str">
        <f aca="false">IF(V197&lt;&gt;"",V197,IF(IFERROR(INDEX(RS_Flag,MATCH(B197,RS_Lane,0)),"")="Yes",IF(IFERROR(INDEX(RS_Loc,MATCH(B197,RS_Lane,0)),"")="","Regional stock",IFERROR(INDEX(RS_Loc,MATCH(B197,RS_Lane,0)),"")),"Helmond"))</f>
        <v>Helmond</v>
      </c>
      <c r="V197" s="17"/>
      <c r="W197" s="38"/>
      <c r="X197" s="39"/>
      <c r="Y197" s="40" t="n">
        <f aca="false">IF(X197&lt;&gt;"",X197,IF(U197="Helmond",IF(COUNTIFS(RC_Lane,B197,RC_Band,E197,RC_CostPS,"&gt;0")=0,"",SUMIFS(RC_CostPS,RC_Lane,B197,RC_Band,E197)*(1-SUMIFS(RC_Disc,RC_Lane,B197,RC_Band,E197))),IF(U197="Other","",IF(INDEX(RS_Rate,MATCH(B197,RS_Lane,0))="","",INDEX(RS_Rate,MATCH(B197,RS_Lane,0))))))</f>
        <v>72.485</v>
      </c>
    </row>
    <row r="198" customFormat="false" ht="15" hidden="false" customHeight="false" outlineLevel="0" collapsed="false">
      <c r="A198" s="3" t="s">
        <v>607</v>
      </c>
      <c r="B198" s="25" t="s">
        <v>112</v>
      </c>
      <c r="C198" s="8" t="s">
        <v>113</v>
      </c>
      <c r="D198" s="8" t="s">
        <v>152</v>
      </c>
      <c r="E198" s="8" t="s">
        <v>178</v>
      </c>
      <c r="F198" s="19" t="n">
        <v>15.3</v>
      </c>
      <c r="G198" s="33" t="n">
        <f aca="false">F198*0.006477</f>
        <v>0.0990981</v>
      </c>
      <c r="H198" s="19" t="n">
        <f aca="false">F198*1.079436</f>
        <v>16.5153708</v>
      </c>
      <c r="I198" s="18" t="n">
        <f aca="false">MAX(1,ROUNDUP(G198/0.096,0))</f>
        <v>2</v>
      </c>
      <c r="J198" s="31" t="n">
        <v>46625</v>
      </c>
      <c r="K198" s="34" t="n">
        <f aca="false">J198-WEEKDAY(J198,2)+1</f>
        <v>46622</v>
      </c>
      <c r="L198" s="31" t="n">
        <f aca="false">J198</f>
        <v>46625</v>
      </c>
      <c r="M198" s="26" t="n">
        <f aca="false">INDEX(LR_Target,MATCH(B198,LR_Lane,0))</f>
        <v>2</v>
      </c>
      <c r="N198" s="31" t="n">
        <f aca="false">WORKDAY.INTL(L198,M198,INDEX(LR_Code,MATCH(B198,LR_Lane,0)),INDEX(DH_Table,0,MATCH(B198&amp;"*",DH_Head,0)))</f>
        <v>46629</v>
      </c>
      <c r="O198" s="35" t="n">
        <f aca="false">IF(W198&lt;&gt;"",W198,IF(U198="Helmond",IF(COUNTIFS(RC_Lane,B198,RC_Band,E198,RC_Transit,"&lt;&gt;")=0,"",SUMIFS(RC_Transit,RC_Lane,B198,RC_Band,E198)),IF(U198="Other","",IF(INDEX(RS_Transit,MATCH(B198,RS_Lane,0))="","",INDEX(RS_Transit,MATCH(B198,RS_Lane,0))))))</f>
        <v>1</v>
      </c>
      <c r="P198" s="36"/>
      <c r="Q198" s="31" t="n">
        <f aca="false">IF(P198&lt;&gt;"",P198,IF(O198="","",WORKDAY.INTL(L198,ROUNDUP(O198,0),INDEX(LR_Code,MATCH(B198,LR_Lane,0)),INDEX(DH_Table,0,MATCH(B198&amp;"*",DH_Head,0)))))</f>
        <v>46626</v>
      </c>
      <c r="R198" s="37" t="str">
        <f aca="false">IF(Q198="","",IF(Q198&lt;=N198,"Yes","No"))</f>
        <v>Yes</v>
      </c>
      <c r="S198" s="26" t="n">
        <f aca="false">IF(Q198="","",IF(Q198&lt;=N198,0,NETWORKDAYS.INTL(N198,Q198,INDEX(LR_Code,MATCH(B198,LR_Lane,0)),INDEX(DH_Table,0,MATCH(B198&amp;"*",DH_Head,0)))-1))</f>
        <v>0</v>
      </c>
      <c r="T198" s="4"/>
      <c r="U198" s="25" t="str">
        <f aca="false">IF(V198&lt;&gt;"",V198,IF(IFERROR(INDEX(RS_Flag,MATCH(B198,RS_Lane,0)),"")="Yes",IF(IFERROR(INDEX(RS_Loc,MATCH(B198,RS_Lane,0)),"")="","Regional stock",IFERROR(INDEX(RS_Loc,MATCH(B198,RS_Lane,0)),"")),"Helmond"))</f>
        <v>Helmond</v>
      </c>
      <c r="V198" s="17"/>
      <c r="W198" s="38"/>
      <c r="X198" s="39"/>
      <c r="Y198" s="40" t="n">
        <f aca="false">IF(X198&lt;&gt;"",X198,IF(U198="Helmond",IF(COUNTIFS(RC_Lane,B198,RC_Band,E198,RC_CostPS,"&gt;0")=0,"",SUMIFS(RC_CostPS,RC_Lane,B198,RC_Band,E198)*(1-SUMIFS(RC_Disc,RC_Lane,B198,RC_Band,E198))),IF(U198="Other","",IF(INDEX(RS_Rate,MATCH(B198,RS_Lane,0))="","",INDEX(RS_Rate,MATCH(B198,RS_Lane,0))))))</f>
        <v>72.485</v>
      </c>
    </row>
    <row r="199" customFormat="false" ht="15" hidden="false" customHeight="false" outlineLevel="0" collapsed="false">
      <c r="A199" s="3" t="s">
        <v>608</v>
      </c>
      <c r="B199" s="25" t="s">
        <v>121</v>
      </c>
      <c r="C199" s="8" t="s">
        <v>122</v>
      </c>
      <c r="D199" s="8" t="s">
        <v>278</v>
      </c>
      <c r="E199" s="8" t="s">
        <v>178</v>
      </c>
      <c r="F199" s="19" t="n">
        <v>6.5</v>
      </c>
      <c r="G199" s="33" t="n">
        <f aca="false">F199*0.006477</f>
        <v>0.0421005</v>
      </c>
      <c r="H199" s="19" t="n">
        <f aca="false">F199*1.079436</f>
        <v>7.016334</v>
      </c>
      <c r="I199" s="18" t="n">
        <f aca="false">MAX(1,ROUNDUP(G199/0.096,0))</f>
        <v>1</v>
      </c>
      <c r="J199" s="31" t="n">
        <v>46625</v>
      </c>
      <c r="K199" s="34" t="n">
        <f aca="false">J199-WEEKDAY(J199,2)+1</f>
        <v>46622</v>
      </c>
      <c r="L199" s="31" t="n">
        <f aca="false">J199</f>
        <v>46625</v>
      </c>
      <c r="M199" s="26" t="n">
        <f aca="false">INDEX(LR_Target,MATCH(B199,LR_Lane,0))</f>
        <v>3</v>
      </c>
      <c r="N199" s="31" t="n">
        <f aca="false">WORKDAY.INTL(L199,M199,INDEX(LR_Code,MATCH(B199,LR_Lane,0)),INDEX(DH_Table,0,MATCH(B199&amp;"*",DH_Head,0)))</f>
        <v>46630</v>
      </c>
      <c r="O199" s="35" t="n">
        <f aca="false">IF(W199&lt;&gt;"",W199,IF(U199="Helmond",IF(COUNTIFS(RC_Lane,B199,RC_Band,E199,RC_Transit,"&lt;&gt;")=0,"",SUMIFS(RC_Transit,RC_Lane,B199,RC_Band,E199)),IF(U199="Other","",IF(INDEX(RS_Transit,MATCH(B199,RS_Lane,0))="","",INDEX(RS_Transit,MATCH(B199,RS_Lane,0))))))</f>
        <v>1</v>
      </c>
      <c r="P199" s="36"/>
      <c r="Q199" s="31" t="n">
        <f aca="false">IF(P199&lt;&gt;"",P199,IF(O199="","",WORKDAY.INTL(L199,ROUNDUP(O199,0),INDEX(LR_Code,MATCH(B199,LR_Lane,0)),INDEX(DH_Table,0,MATCH(B199&amp;"*",DH_Head,0)))))</f>
        <v>46626</v>
      </c>
      <c r="R199" s="37" t="str">
        <f aca="false">IF(Q199="","",IF(Q199&lt;=N199,"Yes","No"))</f>
        <v>Yes</v>
      </c>
      <c r="S199" s="26" t="n">
        <f aca="false">IF(Q199="","",IF(Q199&lt;=N199,0,NETWORKDAYS.INTL(N199,Q199,INDEX(LR_Code,MATCH(B199,LR_Lane,0)),INDEX(DH_Table,0,MATCH(B199&amp;"*",DH_Head,0)))-1))</f>
        <v>0</v>
      </c>
      <c r="T199" s="4"/>
      <c r="U199" s="25" t="str">
        <f aca="false">IF(V199&lt;&gt;"",V199,IF(IFERROR(INDEX(RS_Flag,MATCH(B199,RS_Lane,0)),"")="Yes",IF(IFERROR(INDEX(RS_Loc,MATCH(B199,RS_Lane,0)),"")="","Regional stock",IFERROR(INDEX(RS_Loc,MATCH(B199,RS_Lane,0)),"")),"Helmond"))</f>
        <v>Helmond</v>
      </c>
      <c r="V199" s="17"/>
      <c r="W199" s="38"/>
      <c r="X199" s="39"/>
      <c r="Y199" s="40" t="n">
        <f aca="false">IF(X199&lt;&gt;"",X199,IF(U199="Helmond",IF(COUNTIFS(RC_Lane,B199,RC_Band,E199,RC_CostPS,"&gt;0")=0,"",SUMIFS(RC_CostPS,RC_Lane,B199,RC_Band,E199)*(1-SUMIFS(RC_Disc,RC_Lane,B199,RC_Band,E199))),IF(U199="Other","",IF(INDEX(RS_Rate,MATCH(B199,RS_Lane,0))="","",INDEX(RS_Rate,MATCH(B199,RS_Lane,0))))))</f>
        <v>72.485</v>
      </c>
    </row>
    <row r="200" customFormat="false" ht="15" hidden="false" customHeight="false" outlineLevel="0" collapsed="false">
      <c r="A200" s="3" t="s">
        <v>609</v>
      </c>
      <c r="B200" s="25" t="s">
        <v>108</v>
      </c>
      <c r="C200" s="8" t="s">
        <v>109</v>
      </c>
      <c r="D200" s="8" t="s">
        <v>272</v>
      </c>
      <c r="E200" s="8" t="s">
        <v>183</v>
      </c>
      <c r="F200" s="19" t="n">
        <v>727.6</v>
      </c>
      <c r="G200" s="33" t="n">
        <f aca="false">F200*0.006477</f>
        <v>4.7126652</v>
      </c>
      <c r="H200" s="19" t="n">
        <f aca="false">F200*1.079436</f>
        <v>785.3976336</v>
      </c>
      <c r="I200" s="18" t="n">
        <f aca="false">MAX(1,ROUNDUP(G200/0.096,0))</f>
        <v>50</v>
      </c>
      <c r="J200" s="31" t="n">
        <v>46626</v>
      </c>
      <c r="K200" s="34" t="n">
        <f aca="false">J200-WEEKDAY(J200,2)+1</f>
        <v>46622</v>
      </c>
      <c r="L200" s="31" t="n">
        <f aca="false">J200</f>
        <v>46626</v>
      </c>
      <c r="M200" s="26" t="n">
        <f aca="false">INDEX(LR_Target,MATCH(B200,LR_Lane,0))</f>
        <v>2</v>
      </c>
      <c r="N200" s="31" t="n">
        <f aca="false">WORKDAY.INTL(L200,M200,INDEX(LR_Code,MATCH(B200,LR_Lane,0)),INDEX(DH_Table,0,MATCH(B200&amp;"*",DH_Head,0)))</f>
        <v>46629</v>
      </c>
      <c r="O200" s="35" t="n">
        <f aca="false">IF(W200&lt;&gt;"",W200,IF(U200="Helmond",IF(COUNTIFS(RC_Lane,B200,RC_Band,E200,RC_Transit,"&lt;&gt;")=0,"",SUMIFS(RC_Transit,RC_Lane,B200,RC_Band,E200)),IF(U200="Other","",IF(INDEX(RS_Transit,MATCH(B200,RS_Lane,0))="","",INDEX(RS_Transit,MATCH(B200,RS_Lane,0))))))</f>
        <v>4</v>
      </c>
      <c r="P200" s="36"/>
      <c r="Q200" s="31" t="n">
        <f aca="false">IF(P200&lt;&gt;"",P200,IF(O200="","",WORKDAY.INTL(L200,ROUNDUP(O200,0),INDEX(LR_Code,MATCH(B200,LR_Lane,0)),INDEX(DH_Table,0,MATCH(B200&amp;"*",DH_Head,0)))))</f>
        <v>46631</v>
      </c>
      <c r="R200" s="37" t="str">
        <f aca="false">IF(Q200="","",IF(Q200&lt;=N200,"Yes","No"))</f>
        <v>No</v>
      </c>
      <c r="S200" s="26" t="n">
        <f aca="false">IF(Q200="","",IF(Q200&lt;=N200,0,NETWORKDAYS.INTL(N200,Q200,INDEX(LR_Code,MATCH(B200,LR_Lane,0)),INDEX(DH_Table,0,MATCH(B200&amp;"*",DH_Head,0)))-1))</f>
        <v>2</v>
      </c>
      <c r="T200" s="4"/>
      <c r="U200" s="25" t="str">
        <f aca="false">IF(V200&lt;&gt;"",V200,IF(IFERROR(INDEX(RS_Flag,MATCH(B200,RS_Lane,0)),"")="Yes",IF(IFERROR(INDEX(RS_Loc,MATCH(B200,RS_Lane,0)),"")="","Regional stock",IFERROR(INDEX(RS_Loc,MATCH(B200,RS_Lane,0)),"")),"Helmond"))</f>
        <v>Helmond</v>
      </c>
      <c r="V200" s="17"/>
      <c r="W200" s="38"/>
      <c r="X200" s="39"/>
      <c r="Y200" s="40" t="n">
        <f aca="false">IF(X200&lt;&gt;"",X200,IF(U200="Helmond",IF(COUNTIFS(RC_Lane,B200,RC_Band,E200,RC_CostPS,"&gt;0")=0,"",SUMIFS(RC_CostPS,RC_Lane,B200,RC_Band,E200)*(1-SUMIFS(RC_Disc,RC_Lane,B200,RC_Band,E200))),IF(U200="Other","",IF(INDEX(RS_Rate,MATCH(B200,RS_Lane,0))="","",INDEX(RS_Rate,MATCH(B200,RS_Lane,0))))))</f>
        <v>3051.4304</v>
      </c>
    </row>
    <row r="201" customFormat="false" ht="15" hidden="false" customHeight="false" outlineLevel="0" collapsed="false">
      <c r="A201" s="3" t="s">
        <v>610</v>
      </c>
      <c r="B201" s="25" t="s">
        <v>108</v>
      </c>
      <c r="C201" s="8" t="s">
        <v>109</v>
      </c>
      <c r="D201" s="8" t="s">
        <v>270</v>
      </c>
      <c r="E201" s="8" t="s">
        <v>178</v>
      </c>
      <c r="F201" s="19" t="n">
        <v>4.8</v>
      </c>
      <c r="G201" s="33" t="n">
        <f aca="false">F201*0.006477</f>
        <v>0.0310896</v>
      </c>
      <c r="H201" s="19" t="n">
        <f aca="false">F201*1.079436</f>
        <v>5.1812928</v>
      </c>
      <c r="I201" s="18" t="n">
        <f aca="false">MAX(1,ROUNDUP(G201/0.096,0))</f>
        <v>1</v>
      </c>
      <c r="J201" s="31" t="n">
        <v>46626</v>
      </c>
      <c r="K201" s="34" t="n">
        <f aca="false">J201-WEEKDAY(J201,2)+1</f>
        <v>46622</v>
      </c>
      <c r="L201" s="31" t="n">
        <f aca="false">J201</f>
        <v>46626</v>
      </c>
      <c r="M201" s="26" t="n">
        <f aca="false">INDEX(LR_Target,MATCH(B201,LR_Lane,0))</f>
        <v>2</v>
      </c>
      <c r="N201" s="31" t="n">
        <f aca="false">WORKDAY.INTL(L201,M201,INDEX(LR_Code,MATCH(B201,LR_Lane,0)),INDEX(DH_Table,0,MATCH(B201&amp;"*",DH_Head,0)))</f>
        <v>46629</v>
      </c>
      <c r="O201" s="35" t="n">
        <f aca="false">IF(W201&lt;&gt;"",W201,IF(U201="Helmond",IF(COUNTIFS(RC_Lane,B201,RC_Band,E201,RC_Transit,"&lt;&gt;")=0,"",SUMIFS(RC_Transit,RC_Lane,B201,RC_Band,E201)),IF(U201="Other","",IF(INDEX(RS_Transit,MATCH(B201,RS_Lane,0))="","",INDEX(RS_Transit,MATCH(B201,RS_Lane,0))))))</f>
        <v>1</v>
      </c>
      <c r="P201" s="36"/>
      <c r="Q201" s="31" t="n">
        <f aca="false">IF(P201&lt;&gt;"",P201,IF(O201="","",WORKDAY.INTL(L201,ROUNDUP(O201,0),INDEX(LR_Code,MATCH(B201,LR_Lane,0)),INDEX(DH_Table,0,MATCH(B201&amp;"*",DH_Head,0)))))</f>
        <v>46628</v>
      </c>
      <c r="R201" s="37" t="str">
        <f aca="false">IF(Q201="","",IF(Q201&lt;=N201,"Yes","No"))</f>
        <v>Yes</v>
      </c>
      <c r="S201" s="26" t="n">
        <f aca="false">IF(Q201="","",IF(Q201&lt;=N201,0,NETWORKDAYS.INTL(N201,Q201,INDEX(LR_Code,MATCH(B201,LR_Lane,0)),INDEX(DH_Table,0,MATCH(B201&amp;"*",DH_Head,0)))-1))</f>
        <v>0</v>
      </c>
      <c r="T201" s="4"/>
      <c r="U201" s="25" t="str">
        <f aca="false">IF(V201&lt;&gt;"",V201,IF(IFERROR(INDEX(RS_Flag,MATCH(B201,RS_Lane,0)),"")="Yes",IF(IFERROR(INDEX(RS_Loc,MATCH(B201,RS_Lane,0)),"")="","Regional stock",IFERROR(INDEX(RS_Loc,MATCH(B201,RS_Lane,0)),"")),"Helmond"))</f>
        <v>Helmond</v>
      </c>
      <c r="V201" s="17"/>
      <c r="W201" s="38"/>
      <c r="X201" s="39"/>
      <c r="Y201" s="40" t="n">
        <f aca="false">IF(X201&lt;&gt;"",X201,IF(U201="Helmond",IF(COUNTIFS(RC_Lane,B201,RC_Band,E201,RC_CostPS,"&gt;0")=0,"",SUMIFS(RC_CostPS,RC_Lane,B201,RC_Band,E201)*(1-SUMIFS(RC_Disc,RC_Lane,B201,RC_Band,E201))),IF(U201="Other","",IF(INDEX(RS_Rate,MATCH(B201,RS_Lane,0))="","",INDEX(RS_Rate,MATCH(B201,RS_Lane,0))))))</f>
        <v>72.485</v>
      </c>
    </row>
    <row r="202" customFormat="false" ht="15" hidden="false" customHeight="false" outlineLevel="0" collapsed="false">
      <c r="A202" s="3" t="s">
        <v>611</v>
      </c>
      <c r="B202" s="25" t="s">
        <v>112</v>
      </c>
      <c r="C202" s="8" t="s">
        <v>113</v>
      </c>
      <c r="D202" s="8" t="s">
        <v>152</v>
      </c>
      <c r="E202" s="8" t="s">
        <v>182</v>
      </c>
      <c r="F202" s="19" t="n">
        <v>234.1</v>
      </c>
      <c r="G202" s="33" t="n">
        <f aca="false">F202*0.006477</f>
        <v>1.5162657</v>
      </c>
      <c r="H202" s="19" t="n">
        <f aca="false">F202*1.079436</f>
        <v>252.6959676</v>
      </c>
      <c r="I202" s="18" t="n">
        <f aca="false">MAX(1,ROUNDUP(G202/0.096,0))</f>
        <v>16</v>
      </c>
      <c r="J202" s="31" t="n">
        <v>46626</v>
      </c>
      <c r="K202" s="34" t="n">
        <f aca="false">J202-WEEKDAY(J202,2)+1</f>
        <v>46622</v>
      </c>
      <c r="L202" s="31" t="n">
        <f aca="false">J202</f>
        <v>46626</v>
      </c>
      <c r="M202" s="26" t="n">
        <f aca="false">INDEX(LR_Target,MATCH(B202,LR_Lane,0))</f>
        <v>2</v>
      </c>
      <c r="N202" s="31" t="n">
        <f aca="false">WORKDAY.INTL(L202,M202,INDEX(LR_Code,MATCH(B202,LR_Lane,0)),INDEX(DH_Table,0,MATCH(B202&amp;"*",DH_Head,0)))</f>
        <v>46630</v>
      </c>
      <c r="O202" s="35" t="n">
        <f aca="false">IF(W202&lt;&gt;"",W202,IF(U202="Helmond",IF(COUNTIFS(RC_Lane,B202,RC_Band,E202,RC_Transit,"&lt;&gt;")=0,"",SUMIFS(RC_Transit,RC_Lane,B202,RC_Band,E202)),IF(U202="Other","",IF(INDEX(RS_Transit,MATCH(B202,RS_Lane,0))="","",INDEX(RS_Transit,MATCH(B202,RS_Lane,0))))))</f>
        <v>3</v>
      </c>
      <c r="P202" s="36"/>
      <c r="Q202" s="31" t="n">
        <f aca="false">IF(P202&lt;&gt;"",P202,IF(O202="","",WORKDAY.INTL(L202,ROUNDUP(O202,0),INDEX(LR_Code,MATCH(B202,LR_Lane,0)),INDEX(DH_Table,0,MATCH(B202&amp;"*",DH_Head,0)))))</f>
        <v>46631</v>
      </c>
      <c r="R202" s="37" t="str">
        <f aca="false">IF(Q202="","",IF(Q202&lt;=N202,"Yes","No"))</f>
        <v>No</v>
      </c>
      <c r="S202" s="26" t="n">
        <f aca="false">IF(Q202="","",IF(Q202&lt;=N202,0,NETWORKDAYS.INTL(N202,Q202,INDEX(LR_Code,MATCH(B202,LR_Lane,0)),INDEX(DH_Table,0,MATCH(B202&amp;"*",DH_Head,0)))-1))</f>
        <v>1</v>
      </c>
      <c r="T202" s="4"/>
      <c r="U202" s="25" t="str">
        <f aca="false">IF(V202&lt;&gt;"",V202,IF(IFERROR(INDEX(RS_Flag,MATCH(B202,RS_Lane,0)),"")="Yes",IF(IFERROR(INDEX(RS_Loc,MATCH(B202,RS_Lane,0)),"")="","Regional stock",IFERROR(INDEX(RS_Loc,MATCH(B202,RS_Lane,0)),"")),"Helmond"))</f>
        <v>Helmond</v>
      </c>
      <c r="V202" s="17"/>
      <c r="W202" s="38"/>
      <c r="X202" s="39"/>
      <c r="Y202" s="40" t="n">
        <f aca="false">IF(X202&lt;&gt;"",X202,IF(U202="Helmond",IF(COUNTIFS(RC_Lane,B202,RC_Band,E202,RC_CostPS,"&gt;0")=0,"",SUMIFS(RC_CostPS,RC_Lane,B202,RC_Band,E202)*(1-SUMIFS(RC_Disc,RC_Lane,B202,RC_Band,E202))),IF(U202="Other","",IF(INDEX(RS_Rate,MATCH(B202,RS_Lane,0))="","",INDEX(RS_Rate,MATCH(B202,RS_Lane,0))))))</f>
        <v>1428.70443</v>
      </c>
    </row>
    <row r="203" customFormat="false" ht="15" hidden="false" customHeight="false" outlineLevel="0" collapsed="false">
      <c r="A203" s="3" t="s">
        <v>612</v>
      </c>
      <c r="B203" s="25" t="s">
        <v>108</v>
      </c>
      <c r="C203" s="8" t="s">
        <v>109</v>
      </c>
      <c r="D203" s="8" t="s">
        <v>272</v>
      </c>
      <c r="E203" s="8" t="s">
        <v>178</v>
      </c>
      <c r="F203" s="19" t="n">
        <v>2.3</v>
      </c>
      <c r="G203" s="33" t="n">
        <f aca="false">F203*0.006477</f>
        <v>0.0148971</v>
      </c>
      <c r="H203" s="19" t="n">
        <f aca="false">F203*1.079436</f>
        <v>2.4827028</v>
      </c>
      <c r="I203" s="18" t="n">
        <f aca="false">MAX(1,ROUNDUP(G203/0.096,0))</f>
        <v>1</v>
      </c>
      <c r="J203" s="31" t="n">
        <v>46629</v>
      </c>
      <c r="K203" s="34" t="n">
        <f aca="false">J203-WEEKDAY(J203,2)+1</f>
        <v>46629</v>
      </c>
      <c r="L203" s="31" t="n">
        <f aca="false">J203</f>
        <v>46629</v>
      </c>
      <c r="M203" s="26" t="n">
        <f aca="false">INDEX(LR_Target,MATCH(B203,LR_Lane,0))</f>
        <v>2</v>
      </c>
      <c r="N203" s="31" t="n">
        <f aca="false">WORKDAY.INTL(L203,M203,INDEX(LR_Code,MATCH(B203,LR_Lane,0)),INDEX(DH_Table,0,MATCH(B203&amp;"*",DH_Head,0)))</f>
        <v>46631</v>
      </c>
      <c r="O203" s="35" t="n">
        <f aca="false">IF(W203&lt;&gt;"",W203,IF(U203="Helmond",IF(COUNTIFS(RC_Lane,B203,RC_Band,E203,RC_Transit,"&lt;&gt;")=0,"",SUMIFS(RC_Transit,RC_Lane,B203,RC_Band,E203)),IF(U203="Other","",IF(INDEX(RS_Transit,MATCH(B203,RS_Lane,0))="","",INDEX(RS_Transit,MATCH(B203,RS_Lane,0))))))</f>
        <v>1</v>
      </c>
      <c r="P203" s="36"/>
      <c r="Q203" s="31" t="n">
        <f aca="false">IF(P203&lt;&gt;"",P203,IF(O203="","",WORKDAY.INTL(L203,ROUNDUP(O203,0),INDEX(LR_Code,MATCH(B203,LR_Lane,0)),INDEX(DH_Table,0,MATCH(B203&amp;"*",DH_Head,0)))))</f>
        <v>46630</v>
      </c>
      <c r="R203" s="37" t="str">
        <f aca="false">IF(Q203="","",IF(Q203&lt;=N203,"Yes","No"))</f>
        <v>Yes</v>
      </c>
      <c r="S203" s="26" t="n">
        <f aca="false">IF(Q203="","",IF(Q203&lt;=N203,0,NETWORKDAYS.INTL(N203,Q203,INDEX(LR_Code,MATCH(B203,LR_Lane,0)),INDEX(DH_Table,0,MATCH(B203&amp;"*",DH_Head,0)))-1))</f>
        <v>0</v>
      </c>
      <c r="T203" s="4"/>
      <c r="U203" s="25" t="str">
        <f aca="false">IF(V203&lt;&gt;"",V203,IF(IFERROR(INDEX(RS_Flag,MATCH(B203,RS_Lane,0)),"")="Yes",IF(IFERROR(INDEX(RS_Loc,MATCH(B203,RS_Lane,0)),"")="","Regional stock",IFERROR(INDEX(RS_Loc,MATCH(B203,RS_Lane,0)),"")),"Helmond"))</f>
        <v>Helmond</v>
      </c>
      <c r="V203" s="17"/>
      <c r="W203" s="38"/>
      <c r="X203" s="39"/>
      <c r="Y203" s="40" t="n">
        <f aca="false">IF(X203&lt;&gt;"",X203,IF(U203="Helmond",IF(COUNTIFS(RC_Lane,B203,RC_Band,E203,RC_CostPS,"&gt;0")=0,"",SUMIFS(RC_CostPS,RC_Lane,B203,RC_Band,E203)*(1-SUMIFS(RC_Disc,RC_Lane,B203,RC_Band,E203))),IF(U203="Other","",IF(INDEX(RS_Rate,MATCH(B203,RS_Lane,0))="","",INDEX(RS_Rate,MATCH(B203,RS_Lane,0))))))</f>
        <v>72.485</v>
      </c>
    </row>
    <row r="204" customFormat="false" ht="15" hidden="false" customHeight="false" outlineLevel="0" collapsed="false">
      <c r="A204" s="3" t="s">
        <v>613</v>
      </c>
      <c r="B204" s="25" t="s">
        <v>115</v>
      </c>
      <c r="C204" s="8" t="s">
        <v>116</v>
      </c>
      <c r="D204" s="8" t="s">
        <v>153</v>
      </c>
      <c r="E204" s="8" t="s">
        <v>182</v>
      </c>
      <c r="F204" s="19" t="n">
        <v>409.8</v>
      </c>
      <c r="G204" s="33" t="n">
        <f aca="false">F204*0.006477</f>
        <v>2.6542746</v>
      </c>
      <c r="H204" s="19" t="n">
        <f aca="false">F204*1.079436</f>
        <v>442.3528728</v>
      </c>
      <c r="I204" s="18" t="n">
        <f aca="false">MAX(1,ROUNDUP(G204/0.096,0))</f>
        <v>28</v>
      </c>
      <c r="J204" s="31" t="n">
        <v>46630</v>
      </c>
      <c r="K204" s="34" t="n">
        <f aca="false">J204-WEEKDAY(J204,2)+1</f>
        <v>46629</v>
      </c>
      <c r="L204" s="31" t="n">
        <f aca="false">J204</f>
        <v>46630</v>
      </c>
      <c r="M204" s="26" t="n">
        <f aca="false">INDEX(LR_Target,MATCH(B204,LR_Lane,0))</f>
        <v>2</v>
      </c>
      <c r="N204" s="31" t="n">
        <f aca="false">WORKDAY.INTL(L204,M204,INDEX(LR_Code,MATCH(B204,LR_Lane,0)),INDEX(DH_Table,0,MATCH(B204&amp;"*",DH_Head,0)))</f>
        <v>46632</v>
      </c>
      <c r="O204" s="35" t="n">
        <f aca="false">IF(W204&lt;&gt;"",W204,IF(U204="Helmond",IF(COUNTIFS(RC_Lane,B204,RC_Band,E204,RC_Transit,"&lt;&gt;")=0,"",SUMIFS(RC_Transit,RC_Lane,B204,RC_Band,E204)),IF(U204="Other","",IF(INDEX(RS_Transit,MATCH(B204,RS_Lane,0))="","",INDEX(RS_Transit,MATCH(B204,RS_Lane,0))))))</f>
        <v>3</v>
      </c>
      <c r="P204" s="36"/>
      <c r="Q204" s="31" t="n">
        <f aca="false">IF(P204&lt;&gt;"",P204,IF(O204="","",WORKDAY.INTL(L204,ROUNDUP(O204,0),INDEX(LR_Code,MATCH(B204,LR_Lane,0)),INDEX(DH_Table,0,MATCH(B204&amp;"*",DH_Head,0)))))</f>
        <v>46635</v>
      </c>
      <c r="R204" s="37" t="str">
        <f aca="false">IF(Q204="","",IF(Q204&lt;=N204,"Yes","No"))</f>
        <v>No</v>
      </c>
      <c r="S204" s="26" t="n">
        <f aca="false">IF(Q204="","",IF(Q204&lt;=N204,0,NETWORKDAYS.INTL(N204,Q204,INDEX(LR_Code,MATCH(B204,LR_Lane,0)),INDEX(DH_Table,0,MATCH(B204&amp;"*",DH_Head,0)))-1))</f>
        <v>1</v>
      </c>
      <c r="T204" s="4"/>
      <c r="U204" s="25" t="str">
        <f aca="false">IF(V204&lt;&gt;"",V204,IF(IFERROR(INDEX(RS_Flag,MATCH(B204,RS_Lane,0)),"")="Yes",IF(IFERROR(INDEX(RS_Loc,MATCH(B204,RS_Lane,0)),"")="","Regional stock",IFERROR(INDEX(RS_Loc,MATCH(B204,RS_Lane,0)),"")),"Helmond"))</f>
        <v>Helmond</v>
      </c>
      <c r="V204" s="17"/>
      <c r="W204" s="38"/>
      <c r="X204" s="39"/>
      <c r="Y204" s="40" t="n">
        <f aca="false">IF(X204&lt;&gt;"",X204,IF(U204="Helmond",IF(COUNTIFS(RC_Lane,B204,RC_Band,E204,RC_CostPS,"&gt;0")=0,"",SUMIFS(RC_CostPS,RC_Lane,B204,RC_Band,E204)*(1-SUMIFS(RC_Disc,RC_Lane,B204,RC_Band,E204))),IF(U204="Other","",IF(INDEX(RS_Rate,MATCH(B204,RS_Lane,0))="","",INDEX(RS_Rate,MATCH(B204,RS_Lane,0))))))</f>
        <v>1271.20393</v>
      </c>
    </row>
    <row r="205" customFormat="false" ht="15" hidden="false" customHeight="false" outlineLevel="0" collapsed="false">
      <c r="A205" s="3" t="s">
        <v>614</v>
      </c>
      <c r="B205" s="25" t="s">
        <v>108</v>
      </c>
      <c r="C205" s="8" t="s">
        <v>109</v>
      </c>
      <c r="D205" s="8" t="s">
        <v>272</v>
      </c>
      <c r="E205" s="8" t="s">
        <v>180</v>
      </c>
      <c r="F205" s="19" t="n">
        <v>40.4</v>
      </c>
      <c r="G205" s="33" t="n">
        <f aca="false">F205*0.006477</f>
        <v>0.2616708</v>
      </c>
      <c r="H205" s="19" t="n">
        <f aca="false">F205*1.079436</f>
        <v>43.6092144</v>
      </c>
      <c r="I205" s="18" t="n">
        <f aca="false">MAX(1,ROUNDUP(G205/0.096,0))</f>
        <v>3</v>
      </c>
      <c r="J205" s="31" t="n">
        <v>46631</v>
      </c>
      <c r="K205" s="34" t="n">
        <f aca="false">J205-WEEKDAY(J205,2)+1</f>
        <v>46629</v>
      </c>
      <c r="L205" s="31" t="n">
        <f aca="false">J205</f>
        <v>46631</v>
      </c>
      <c r="M205" s="26" t="n">
        <f aca="false">INDEX(LR_Target,MATCH(B205,LR_Lane,0))</f>
        <v>2</v>
      </c>
      <c r="N205" s="31" t="n">
        <f aca="false">WORKDAY.INTL(L205,M205,INDEX(LR_Code,MATCH(B205,LR_Lane,0)),INDEX(DH_Table,0,MATCH(B205&amp;"*",DH_Head,0)))</f>
        <v>46635</v>
      </c>
      <c r="O205" s="35" t="n">
        <f aca="false">IF(W205&lt;&gt;"",W205,IF(U205="Helmond",IF(COUNTIFS(RC_Lane,B205,RC_Band,E205,RC_Transit,"&lt;&gt;")=0,"",SUMIFS(RC_Transit,RC_Lane,B205,RC_Band,E205)),IF(U205="Other","",IF(INDEX(RS_Transit,MATCH(B205,RS_Lane,0))="","",INDEX(RS_Transit,MATCH(B205,RS_Lane,0))))))</f>
        <v>2</v>
      </c>
      <c r="P205" s="36"/>
      <c r="Q205" s="31" t="n">
        <f aca="false">IF(P205&lt;&gt;"",P205,IF(O205="","",WORKDAY.INTL(L205,ROUNDUP(O205,0),INDEX(LR_Code,MATCH(B205,LR_Lane,0)),INDEX(DH_Table,0,MATCH(B205&amp;"*",DH_Head,0)))))</f>
        <v>46635</v>
      </c>
      <c r="R205" s="37" t="str">
        <f aca="false">IF(Q205="","",IF(Q205&lt;=N205,"Yes","No"))</f>
        <v>Yes</v>
      </c>
      <c r="S205" s="26" t="n">
        <f aca="false">IF(Q205="","",IF(Q205&lt;=N205,0,NETWORKDAYS.INTL(N205,Q205,INDEX(LR_Code,MATCH(B205,LR_Lane,0)),INDEX(DH_Table,0,MATCH(B205&amp;"*",DH_Head,0)))-1))</f>
        <v>0</v>
      </c>
      <c r="T205" s="4"/>
      <c r="U205" s="25" t="str">
        <f aca="false">IF(V205&lt;&gt;"",V205,IF(IFERROR(INDEX(RS_Flag,MATCH(B205,RS_Lane,0)),"")="Yes",IF(IFERROR(INDEX(RS_Loc,MATCH(B205,RS_Lane,0)),"")="","Regional stock",IFERROR(INDEX(RS_Loc,MATCH(B205,RS_Lane,0)),"")),"Helmond"))</f>
        <v>Helmond</v>
      </c>
      <c r="V205" s="17"/>
      <c r="W205" s="38"/>
      <c r="X205" s="39"/>
      <c r="Y205" s="40" t="n">
        <f aca="false">IF(X205&lt;&gt;"",X205,IF(U205="Helmond",IF(COUNTIFS(RC_Lane,B205,RC_Band,E205,RC_CostPS,"&gt;0")=0,"",SUMIFS(RC_CostPS,RC_Lane,B205,RC_Band,E205)*(1-SUMIFS(RC_Disc,RC_Lane,B205,RC_Band,E205))),IF(U205="Other","",IF(INDEX(RS_Rate,MATCH(B205,RS_Lane,0))="","",INDEX(RS_Rate,MATCH(B205,RS_Lane,0))))))</f>
        <v>284.98176</v>
      </c>
    </row>
    <row r="206" customFormat="false" ht="15" hidden="false" customHeight="false" outlineLevel="0" collapsed="false">
      <c r="A206" s="3" t="s">
        <v>615</v>
      </c>
      <c r="B206" s="25" t="s">
        <v>108</v>
      </c>
      <c r="C206" s="8" t="s">
        <v>109</v>
      </c>
      <c r="D206" s="8" t="s">
        <v>272</v>
      </c>
      <c r="E206" s="8" t="s">
        <v>183</v>
      </c>
      <c r="F206" s="19" t="n">
        <v>1111.3</v>
      </c>
      <c r="G206" s="33" t="n">
        <f aca="false">F206*0.006477</f>
        <v>7.1978901</v>
      </c>
      <c r="H206" s="19" t="n">
        <f aca="false">F206*1.079436</f>
        <v>1199.5772268</v>
      </c>
      <c r="I206" s="18" t="n">
        <f aca="false">MAX(1,ROUNDUP(G206/0.096,0))</f>
        <v>75</v>
      </c>
      <c r="J206" s="31" t="n">
        <v>46631</v>
      </c>
      <c r="K206" s="34" t="n">
        <f aca="false">J206-WEEKDAY(J206,2)+1</f>
        <v>46629</v>
      </c>
      <c r="L206" s="31" t="n">
        <f aca="false">J206</f>
        <v>46631</v>
      </c>
      <c r="M206" s="26" t="n">
        <f aca="false">INDEX(LR_Target,MATCH(B206,LR_Lane,0))</f>
        <v>2</v>
      </c>
      <c r="N206" s="31" t="n">
        <f aca="false">WORKDAY.INTL(L206,M206,INDEX(LR_Code,MATCH(B206,LR_Lane,0)),INDEX(DH_Table,0,MATCH(B206&amp;"*",DH_Head,0)))</f>
        <v>46635</v>
      </c>
      <c r="O206" s="35" t="n">
        <f aca="false">IF(W206&lt;&gt;"",W206,IF(U206="Helmond",IF(COUNTIFS(RC_Lane,B206,RC_Band,E206,RC_Transit,"&lt;&gt;")=0,"",SUMIFS(RC_Transit,RC_Lane,B206,RC_Band,E206)),IF(U206="Other","",IF(INDEX(RS_Transit,MATCH(B206,RS_Lane,0))="","",INDEX(RS_Transit,MATCH(B206,RS_Lane,0))))))</f>
        <v>4</v>
      </c>
      <c r="P206" s="36"/>
      <c r="Q206" s="31" t="n">
        <f aca="false">IF(P206&lt;&gt;"",P206,IF(O206="","",WORKDAY.INTL(L206,ROUNDUP(O206,0),INDEX(LR_Code,MATCH(B206,LR_Lane,0)),INDEX(DH_Table,0,MATCH(B206&amp;"*",DH_Head,0)))))</f>
        <v>46637</v>
      </c>
      <c r="R206" s="37" t="str">
        <f aca="false">IF(Q206="","",IF(Q206&lt;=N206,"Yes","No"))</f>
        <v>No</v>
      </c>
      <c r="S206" s="26" t="n">
        <f aca="false">IF(Q206="","",IF(Q206&lt;=N206,0,NETWORKDAYS.INTL(N206,Q206,INDEX(LR_Code,MATCH(B206,LR_Lane,0)),INDEX(DH_Table,0,MATCH(B206&amp;"*",DH_Head,0)))-1))</f>
        <v>2</v>
      </c>
      <c r="T206" s="4"/>
      <c r="U206" s="25" t="str">
        <f aca="false">IF(V206&lt;&gt;"",V206,IF(IFERROR(INDEX(RS_Flag,MATCH(B206,RS_Lane,0)),"")="Yes",IF(IFERROR(INDEX(RS_Loc,MATCH(B206,RS_Lane,0)),"")="","Regional stock",IFERROR(INDEX(RS_Loc,MATCH(B206,RS_Lane,0)),"")),"Helmond"))</f>
        <v>Helmond</v>
      </c>
      <c r="V206" s="17"/>
      <c r="W206" s="38"/>
      <c r="X206" s="39"/>
      <c r="Y206" s="40" t="n">
        <f aca="false">IF(X206&lt;&gt;"",X206,IF(U206="Helmond",IF(COUNTIFS(RC_Lane,B206,RC_Band,E206,RC_CostPS,"&gt;0")=0,"",SUMIFS(RC_CostPS,RC_Lane,B206,RC_Band,E206)*(1-SUMIFS(RC_Disc,RC_Lane,B206,RC_Band,E206))),IF(U206="Other","",IF(INDEX(RS_Rate,MATCH(B206,RS_Lane,0))="","",INDEX(RS_Rate,MATCH(B206,RS_Lane,0))))))</f>
        <v>3051.4304</v>
      </c>
    </row>
    <row r="207" customFormat="false" ht="15" hidden="false" customHeight="false" outlineLevel="0" collapsed="false">
      <c r="A207" s="3" t="s">
        <v>616</v>
      </c>
      <c r="B207" s="25" t="s">
        <v>112</v>
      </c>
      <c r="C207" s="8" t="s">
        <v>113</v>
      </c>
      <c r="D207" s="8" t="s">
        <v>152</v>
      </c>
      <c r="E207" s="8" t="s">
        <v>178</v>
      </c>
      <c r="F207" s="19" t="n">
        <v>13.3</v>
      </c>
      <c r="G207" s="33" t="n">
        <f aca="false">F207*0.006477</f>
        <v>0.0861441</v>
      </c>
      <c r="H207" s="19" t="n">
        <f aca="false">F207*1.079436</f>
        <v>14.3564988</v>
      </c>
      <c r="I207" s="18" t="n">
        <f aca="false">MAX(1,ROUNDUP(G207/0.096,0))</f>
        <v>1</v>
      </c>
      <c r="J207" s="31" t="n">
        <v>46631</v>
      </c>
      <c r="K207" s="34" t="n">
        <f aca="false">J207-WEEKDAY(J207,2)+1</f>
        <v>46629</v>
      </c>
      <c r="L207" s="31" t="n">
        <f aca="false">J207</f>
        <v>46631</v>
      </c>
      <c r="M207" s="26" t="n">
        <f aca="false">INDEX(LR_Target,MATCH(B207,LR_Lane,0))</f>
        <v>2</v>
      </c>
      <c r="N207" s="31" t="n">
        <f aca="false">WORKDAY.INTL(L207,M207,INDEX(LR_Code,MATCH(B207,LR_Lane,0)),INDEX(DH_Table,0,MATCH(B207&amp;"*",DH_Head,0)))</f>
        <v>46633</v>
      </c>
      <c r="O207" s="35" t="n">
        <f aca="false">IF(W207&lt;&gt;"",W207,IF(U207="Helmond",IF(COUNTIFS(RC_Lane,B207,RC_Band,E207,RC_Transit,"&lt;&gt;")=0,"",SUMIFS(RC_Transit,RC_Lane,B207,RC_Band,E207)),IF(U207="Other","",IF(INDEX(RS_Transit,MATCH(B207,RS_Lane,0))="","",INDEX(RS_Transit,MATCH(B207,RS_Lane,0))))))</f>
        <v>1</v>
      </c>
      <c r="P207" s="36"/>
      <c r="Q207" s="31" t="n">
        <f aca="false">IF(P207&lt;&gt;"",P207,IF(O207="","",WORKDAY.INTL(L207,ROUNDUP(O207,0),INDEX(LR_Code,MATCH(B207,LR_Lane,0)),INDEX(DH_Table,0,MATCH(B207&amp;"*",DH_Head,0)))))</f>
        <v>46632</v>
      </c>
      <c r="R207" s="37" t="str">
        <f aca="false">IF(Q207="","",IF(Q207&lt;=N207,"Yes","No"))</f>
        <v>Yes</v>
      </c>
      <c r="S207" s="26" t="n">
        <f aca="false">IF(Q207="","",IF(Q207&lt;=N207,0,NETWORKDAYS.INTL(N207,Q207,INDEX(LR_Code,MATCH(B207,LR_Lane,0)),INDEX(DH_Table,0,MATCH(B207&amp;"*",DH_Head,0)))-1))</f>
        <v>0</v>
      </c>
      <c r="T207" s="4"/>
      <c r="U207" s="25" t="str">
        <f aca="false">IF(V207&lt;&gt;"",V207,IF(IFERROR(INDEX(RS_Flag,MATCH(B207,RS_Lane,0)),"")="Yes",IF(IFERROR(INDEX(RS_Loc,MATCH(B207,RS_Lane,0)),"")="","Regional stock",IFERROR(INDEX(RS_Loc,MATCH(B207,RS_Lane,0)),"")),"Helmond"))</f>
        <v>Helmond</v>
      </c>
      <c r="V207" s="17"/>
      <c r="W207" s="38"/>
      <c r="X207" s="39"/>
      <c r="Y207" s="40" t="n">
        <f aca="false">IF(X207&lt;&gt;"",X207,IF(U207="Helmond",IF(COUNTIFS(RC_Lane,B207,RC_Band,E207,RC_CostPS,"&gt;0")=0,"",SUMIFS(RC_CostPS,RC_Lane,B207,RC_Band,E207)*(1-SUMIFS(RC_Disc,RC_Lane,B207,RC_Band,E207))),IF(U207="Other","",IF(INDEX(RS_Rate,MATCH(B207,RS_Lane,0))="","",INDEX(RS_Rate,MATCH(B207,RS_Lane,0))))))</f>
        <v>72.485</v>
      </c>
    </row>
    <row r="208" customFormat="false" ht="15" hidden="false" customHeight="false" outlineLevel="0" collapsed="false">
      <c r="A208" s="3" t="s">
        <v>617</v>
      </c>
      <c r="B208" s="25" t="s">
        <v>115</v>
      </c>
      <c r="C208" s="8" t="s">
        <v>116</v>
      </c>
      <c r="D208" s="8" t="s">
        <v>153</v>
      </c>
      <c r="E208" s="8" t="s">
        <v>183</v>
      </c>
      <c r="F208" s="19" t="n">
        <v>1182.5</v>
      </c>
      <c r="G208" s="33" t="n">
        <f aca="false">F208*0.006477</f>
        <v>7.6590525</v>
      </c>
      <c r="H208" s="19" t="n">
        <f aca="false">F208*1.079436</f>
        <v>1276.43307</v>
      </c>
      <c r="I208" s="18" t="n">
        <f aca="false">MAX(1,ROUNDUP(G208/0.096,0))</f>
        <v>80</v>
      </c>
      <c r="J208" s="31" t="n">
        <v>46631</v>
      </c>
      <c r="K208" s="34" t="n">
        <f aca="false">J208-WEEKDAY(J208,2)+1</f>
        <v>46629</v>
      </c>
      <c r="L208" s="31" t="n">
        <f aca="false">J208</f>
        <v>46631</v>
      </c>
      <c r="M208" s="26" t="n">
        <f aca="false">INDEX(LR_Target,MATCH(B208,LR_Lane,0))</f>
        <v>2</v>
      </c>
      <c r="N208" s="31" t="n">
        <f aca="false">WORKDAY.INTL(L208,M208,INDEX(LR_Code,MATCH(B208,LR_Lane,0)),INDEX(DH_Table,0,MATCH(B208&amp;"*",DH_Head,0)))</f>
        <v>46635</v>
      </c>
      <c r="O208" s="35" t="n">
        <f aca="false">IF(W208&lt;&gt;"",W208,IF(U208="Helmond",IF(COUNTIFS(RC_Lane,B208,RC_Band,E208,RC_Transit,"&lt;&gt;")=0,"",SUMIFS(RC_Transit,RC_Lane,B208,RC_Band,E208)),IF(U208="Other","",IF(INDEX(RS_Transit,MATCH(B208,RS_Lane,0))="","",INDEX(RS_Transit,MATCH(B208,RS_Lane,0))))))</f>
        <v>4</v>
      </c>
      <c r="P208" s="36"/>
      <c r="Q208" s="31" t="n">
        <f aca="false">IF(P208&lt;&gt;"",P208,IF(O208="","",WORKDAY.INTL(L208,ROUNDUP(O208,0),INDEX(LR_Code,MATCH(B208,LR_Lane,0)),INDEX(DH_Table,0,MATCH(B208&amp;"*",DH_Head,0)))))</f>
        <v>46637</v>
      </c>
      <c r="R208" s="37" t="str">
        <f aca="false">IF(Q208="","",IF(Q208&lt;=N208,"Yes","No"))</f>
        <v>No</v>
      </c>
      <c r="S208" s="26" t="n">
        <f aca="false">IF(Q208="","",IF(Q208&lt;=N208,0,NETWORKDAYS.INTL(N208,Q208,INDEX(LR_Code,MATCH(B208,LR_Lane,0)),INDEX(DH_Table,0,MATCH(B208&amp;"*",DH_Head,0)))-1))</f>
        <v>2</v>
      </c>
      <c r="T208" s="4"/>
      <c r="U208" s="25" t="str">
        <f aca="false">IF(V208&lt;&gt;"",V208,IF(IFERROR(INDEX(RS_Flag,MATCH(B208,RS_Lane,0)),"")="Yes",IF(IFERROR(INDEX(RS_Loc,MATCH(B208,RS_Lane,0)),"")="","Regional stock",IFERROR(INDEX(RS_Loc,MATCH(B208,RS_Lane,0)),"")),"Helmond"))</f>
        <v>Helmond</v>
      </c>
      <c r="V208" s="17"/>
      <c r="W208" s="38"/>
      <c r="X208" s="39"/>
      <c r="Y208" s="40" t="n">
        <f aca="false">IF(X208&lt;&gt;"",X208,IF(U208="Helmond",IF(COUNTIFS(RC_Lane,B208,RC_Band,E208,RC_CostPS,"&gt;0")=0,"",SUMIFS(RC_CostPS,RC_Lane,B208,RC_Band,E208)*(1-SUMIFS(RC_Disc,RC_Lane,B208,RC_Band,E208))),IF(U208="Other","",IF(INDEX(RS_Rate,MATCH(B208,RS_Lane,0))="","",INDEX(RS_Rate,MATCH(B208,RS_Lane,0))))))</f>
        <v>3210.88144</v>
      </c>
    </row>
    <row r="209" customFormat="false" ht="15" hidden="false" customHeight="false" outlineLevel="0" collapsed="false">
      <c r="A209" s="3" t="s">
        <v>618</v>
      </c>
      <c r="B209" s="25" t="s">
        <v>117</v>
      </c>
      <c r="C209" s="8" t="s">
        <v>118</v>
      </c>
      <c r="D209" s="8" t="s">
        <v>154</v>
      </c>
      <c r="E209" s="8" t="s">
        <v>178</v>
      </c>
      <c r="F209" s="19" t="n">
        <v>7.8</v>
      </c>
      <c r="G209" s="33" t="n">
        <f aca="false">F209*0.006477</f>
        <v>0.0505206</v>
      </c>
      <c r="H209" s="19" t="n">
        <f aca="false">F209*1.079436</f>
        <v>8.4196008</v>
      </c>
      <c r="I209" s="18" t="n">
        <f aca="false">MAX(1,ROUNDUP(G209/0.096,0))</f>
        <v>1</v>
      </c>
      <c r="J209" s="31" t="n">
        <v>46631</v>
      </c>
      <c r="K209" s="34" t="n">
        <f aca="false">J209-WEEKDAY(J209,2)+1</f>
        <v>46629</v>
      </c>
      <c r="L209" s="31" t="n">
        <f aca="false">J209</f>
        <v>46631</v>
      </c>
      <c r="M209" s="26" t="n">
        <f aca="false">INDEX(LR_Target,MATCH(B209,LR_Lane,0))</f>
        <v>2</v>
      </c>
      <c r="N209" s="31" t="n">
        <f aca="false">WORKDAY.INTL(L209,M209,INDEX(LR_Code,MATCH(B209,LR_Lane,0)),INDEX(DH_Table,0,MATCH(B209&amp;"*",DH_Head,0)))</f>
        <v>46635</v>
      </c>
      <c r="O209" s="35" t="n">
        <f aca="false">IF(W209&lt;&gt;"",W209,IF(U209="Helmond",IF(COUNTIFS(RC_Lane,B209,RC_Band,E209,RC_Transit,"&lt;&gt;")=0,"",SUMIFS(RC_Transit,RC_Lane,B209,RC_Band,E209)),IF(U209="Other","",IF(INDEX(RS_Transit,MATCH(B209,RS_Lane,0))="","",INDEX(RS_Transit,MATCH(B209,RS_Lane,0))))))</f>
        <v>1</v>
      </c>
      <c r="P209" s="36"/>
      <c r="Q209" s="31" t="n">
        <f aca="false">IF(P209&lt;&gt;"",P209,IF(O209="","",WORKDAY.INTL(L209,ROUNDUP(O209,0),INDEX(LR_Code,MATCH(B209,LR_Lane,0)),INDEX(DH_Table,0,MATCH(B209&amp;"*",DH_Head,0)))))</f>
        <v>46632</v>
      </c>
      <c r="R209" s="37" t="str">
        <f aca="false">IF(Q209="","",IF(Q209&lt;=N209,"Yes","No"))</f>
        <v>Yes</v>
      </c>
      <c r="S209" s="26" t="n">
        <f aca="false">IF(Q209="","",IF(Q209&lt;=N209,0,NETWORKDAYS.INTL(N209,Q209,INDEX(LR_Code,MATCH(B209,LR_Lane,0)),INDEX(DH_Table,0,MATCH(B209&amp;"*",DH_Head,0)))-1))</f>
        <v>0</v>
      </c>
      <c r="T209" s="4"/>
      <c r="U209" s="25" t="str">
        <f aca="false">IF(V209&lt;&gt;"",V209,IF(IFERROR(INDEX(RS_Flag,MATCH(B209,RS_Lane,0)),"")="Yes",IF(IFERROR(INDEX(RS_Loc,MATCH(B209,RS_Lane,0)),"")="","Regional stock",IFERROR(INDEX(RS_Loc,MATCH(B209,RS_Lane,0)),"")),"Helmond"))</f>
        <v>Helmond</v>
      </c>
      <c r="V209" s="17"/>
      <c r="W209" s="38"/>
      <c r="X209" s="39"/>
      <c r="Y209" s="40" t="n">
        <f aca="false">IF(X209&lt;&gt;"",X209,IF(U209="Helmond",IF(COUNTIFS(RC_Lane,B209,RC_Band,E209,RC_CostPS,"&gt;0")=0,"",SUMIFS(RC_CostPS,RC_Lane,B209,RC_Band,E209)*(1-SUMIFS(RC_Disc,RC_Lane,B209,RC_Band,E209))),IF(U209="Other","",IF(INDEX(RS_Rate,MATCH(B209,RS_Lane,0))="","",INDEX(RS_Rate,MATCH(B209,RS_Lane,0))))))</f>
        <v>72.485</v>
      </c>
    </row>
    <row r="210" customFormat="false" ht="15" hidden="false" customHeight="false" outlineLevel="0" collapsed="false">
      <c r="A210" s="3" t="s">
        <v>619</v>
      </c>
      <c r="B210" s="25" t="s">
        <v>108</v>
      </c>
      <c r="C210" s="8" t="s">
        <v>109</v>
      </c>
      <c r="D210" s="8" t="s">
        <v>272</v>
      </c>
      <c r="E210" s="8" t="s">
        <v>178</v>
      </c>
      <c r="F210" s="19" t="n">
        <v>3.8</v>
      </c>
      <c r="G210" s="33" t="n">
        <f aca="false">F210*0.006477</f>
        <v>0.0246126</v>
      </c>
      <c r="H210" s="19" t="n">
        <f aca="false">F210*1.079436</f>
        <v>4.1018568</v>
      </c>
      <c r="I210" s="18" t="n">
        <f aca="false">MAX(1,ROUNDUP(G210/0.096,0))</f>
        <v>1</v>
      </c>
      <c r="J210" s="31" t="n">
        <v>46632</v>
      </c>
      <c r="K210" s="34" t="n">
        <f aca="false">J210-WEEKDAY(J210,2)+1</f>
        <v>46629</v>
      </c>
      <c r="L210" s="31" t="n">
        <f aca="false">J210</f>
        <v>46632</v>
      </c>
      <c r="M210" s="26" t="n">
        <f aca="false">INDEX(LR_Target,MATCH(B210,LR_Lane,0))</f>
        <v>2</v>
      </c>
      <c r="N210" s="31" t="n">
        <f aca="false">WORKDAY.INTL(L210,M210,INDEX(LR_Code,MATCH(B210,LR_Lane,0)),INDEX(DH_Table,0,MATCH(B210&amp;"*",DH_Head,0)))</f>
        <v>46636</v>
      </c>
      <c r="O210" s="35" t="n">
        <f aca="false">IF(W210&lt;&gt;"",W210,IF(U210="Helmond",IF(COUNTIFS(RC_Lane,B210,RC_Band,E210,RC_Transit,"&lt;&gt;")=0,"",SUMIFS(RC_Transit,RC_Lane,B210,RC_Band,E210)),IF(U210="Other","",IF(INDEX(RS_Transit,MATCH(B210,RS_Lane,0))="","",INDEX(RS_Transit,MATCH(B210,RS_Lane,0))))))</f>
        <v>1</v>
      </c>
      <c r="P210" s="36"/>
      <c r="Q210" s="31" t="n">
        <f aca="false">IF(P210&lt;&gt;"",P210,IF(O210="","",WORKDAY.INTL(L210,ROUNDUP(O210,0),INDEX(LR_Code,MATCH(B210,LR_Lane,0)),INDEX(DH_Table,0,MATCH(B210&amp;"*",DH_Head,0)))))</f>
        <v>46635</v>
      </c>
      <c r="R210" s="37" t="str">
        <f aca="false">IF(Q210="","",IF(Q210&lt;=N210,"Yes","No"))</f>
        <v>Yes</v>
      </c>
      <c r="S210" s="26" t="n">
        <f aca="false">IF(Q210="","",IF(Q210&lt;=N210,0,NETWORKDAYS.INTL(N210,Q210,INDEX(LR_Code,MATCH(B210,LR_Lane,0)),INDEX(DH_Table,0,MATCH(B210&amp;"*",DH_Head,0)))-1))</f>
        <v>0</v>
      </c>
      <c r="T210" s="4"/>
      <c r="U210" s="25" t="str">
        <f aca="false">IF(V210&lt;&gt;"",V210,IF(IFERROR(INDEX(RS_Flag,MATCH(B210,RS_Lane,0)),"")="Yes",IF(IFERROR(INDEX(RS_Loc,MATCH(B210,RS_Lane,0)),"")="","Regional stock",IFERROR(INDEX(RS_Loc,MATCH(B210,RS_Lane,0)),"")),"Helmond"))</f>
        <v>Helmond</v>
      </c>
      <c r="V210" s="17"/>
      <c r="W210" s="38"/>
      <c r="X210" s="39"/>
      <c r="Y210" s="40" t="n">
        <f aca="false">IF(X210&lt;&gt;"",X210,IF(U210="Helmond",IF(COUNTIFS(RC_Lane,B210,RC_Band,E210,RC_CostPS,"&gt;0")=0,"",SUMIFS(RC_CostPS,RC_Lane,B210,RC_Band,E210)*(1-SUMIFS(RC_Disc,RC_Lane,B210,RC_Band,E210))),IF(U210="Other","",IF(INDEX(RS_Rate,MATCH(B210,RS_Lane,0))="","",INDEX(RS_Rate,MATCH(B210,RS_Lane,0))))))</f>
        <v>72.485</v>
      </c>
    </row>
    <row r="211" customFormat="false" ht="15" hidden="false" customHeight="false" outlineLevel="0" collapsed="false">
      <c r="A211" s="3" t="s">
        <v>620</v>
      </c>
      <c r="B211" s="25" t="s">
        <v>124</v>
      </c>
      <c r="C211" s="8" t="s">
        <v>125</v>
      </c>
      <c r="D211" s="8" t="s">
        <v>157</v>
      </c>
      <c r="E211" s="8" t="s">
        <v>182</v>
      </c>
      <c r="F211" s="19" t="n">
        <v>340</v>
      </c>
      <c r="G211" s="33" t="n">
        <f aca="false">F211*0.006477</f>
        <v>2.20218</v>
      </c>
      <c r="H211" s="19" t="n">
        <f aca="false">F211*1.079436</f>
        <v>367.00824</v>
      </c>
      <c r="I211" s="18" t="n">
        <f aca="false">MAX(1,ROUNDUP(G211/0.096,0))</f>
        <v>23</v>
      </c>
      <c r="J211" s="31" t="n">
        <v>46632</v>
      </c>
      <c r="K211" s="34" t="n">
        <f aca="false">J211-WEEKDAY(J211,2)+1</f>
        <v>46629</v>
      </c>
      <c r="L211" s="31" t="n">
        <f aca="false">J211</f>
        <v>46632</v>
      </c>
      <c r="M211" s="26" t="n">
        <f aca="false">INDEX(LR_Target,MATCH(B211,LR_Lane,0))</f>
        <v>5</v>
      </c>
      <c r="N211" s="31" t="n">
        <f aca="false">WORKDAY.INTL(L211,M211,INDEX(LR_Code,MATCH(B211,LR_Lane,0)),INDEX(DH_Table,0,MATCH(B211&amp;"*",DH_Head,0)))</f>
        <v>46639</v>
      </c>
      <c r="O211" s="35" t="n">
        <f aca="false">IF(W211&lt;&gt;"",W211,IF(U211="Helmond",IF(COUNTIFS(RC_Lane,B211,RC_Band,E211,RC_Transit,"&lt;&gt;")=0,"",SUMIFS(RC_Transit,RC_Lane,B211,RC_Band,E211)),IF(U211="Other","",IF(INDEX(RS_Transit,MATCH(B211,RS_Lane,0))="","",INDEX(RS_Transit,MATCH(B211,RS_Lane,0))))))</f>
        <v>3</v>
      </c>
      <c r="P211" s="36"/>
      <c r="Q211" s="31" t="n">
        <f aca="false">IF(P211&lt;&gt;"",P211,IF(O211="","",WORKDAY.INTL(L211,ROUNDUP(O211,0),INDEX(LR_Code,MATCH(B211,LR_Lane,0)),INDEX(DH_Table,0,MATCH(B211&amp;"*",DH_Head,0)))))</f>
        <v>46637</v>
      </c>
      <c r="R211" s="37" t="str">
        <f aca="false">IF(Q211="","",IF(Q211&lt;=N211,"Yes","No"))</f>
        <v>Yes</v>
      </c>
      <c r="S211" s="26" t="n">
        <f aca="false">IF(Q211="","",IF(Q211&lt;=N211,0,NETWORKDAYS.INTL(N211,Q211,INDEX(LR_Code,MATCH(B211,LR_Lane,0)),INDEX(DH_Table,0,MATCH(B211&amp;"*",DH_Head,0)))-1))</f>
        <v>0</v>
      </c>
      <c r="T211" s="4"/>
      <c r="U211" s="25" t="str">
        <f aca="false">IF(V211&lt;&gt;"",V211,IF(IFERROR(INDEX(RS_Flag,MATCH(B211,RS_Lane,0)),"")="Yes",IF(IFERROR(INDEX(RS_Loc,MATCH(B211,RS_Lane,0)),"")="","Regional stock",IFERROR(INDEX(RS_Loc,MATCH(B211,RS_Lane,0)),"")),"Helmond"))</f>
        <v>Helmond</v>
      </c>
      <c r="V211" s="17"/>
      <c r="W211" s="38"/>
      <c r="X211" s="39"/>
      <c r="Y211" s="40" t="n">
        <f aca="false">IF(X211&lt;&gt;"",X211,IF(U211="Helmond",IF(COUNTIFS(RC_Lane,B211,RC_Band,E211,RC_CostPS,"&gt;0")=0,"",SUMIFS(RC_CostPS,RC_Lane,B211,RC_Band,E211)*(1-SUMIFS(RC_Disc,RC_Lane,B211,RC_Band,E211))),IF(U211="Other","",IF(INDEX(RS_Rate,MATCH(B211,RS_Lane,0))="","",INDEX(RS_Rate,MATCH(B211,RS_Lane,0))))))</f>
        <v>1403.50435</v>
      </c>
    </row>
    <row r="212" customFormat="false" ht="15" hidden="false" customHeight="false" outlineLevel="0" collapsed="false">
      <c r="A212" s="3" t="s">
        <v>621</v>
      </c>
      <c r="B212" s="25" t="s">
        <v>108</v>
      </c>
      <c r="C212" s="8" t="s">
        <v>109</v>
      </c>
      <c r="D212" s="8" t="s">
        <v>270</v>
      </c>
      <c r="E212" s="8" t="s">
        <v>178</v>
      </c>
      <c r="F212" s="19" t="n">
        <v>11.7</v>
      </c>
      <c r="G212" s="33" t="n">
        <f aca="false">F212*0.006477</f>
        <v>0.0757809</v>
      </c>
      <c r="H212" s="19" t="n">
        <f aca="false">F212*1.079436</f>
        <v>12.6294012</v>
      </c>
      <c r="I212" s="18" t="n">
        <f aca="false">MAX(1,ROUNDUP(G212/0.096,0))</f>
        <v>1</v>
      </c>
      <c r="J212" s="31" t="n">
        <v>46633</v>
      </c>
      <c r="K212" s="34" t="n">
        <f aca="false">J212-WEEKDAY(J212,2)+1</f>
        <v>46629</v>
      </c>
      <c r="L212" s="31" t="n">
        <f aca="false">J212</f>
        <v>46633</v>
      </c>
      <c r="M212" s="26" t="n">
        <f aca="false">INDEX(LR_Target,MATCH(B212,LR_Lane,0))</f>
        <v>2</v>
      </c>
      <c r="N212" s="31" t="n">
        <f aca="false">WORKDAY.INTL(L212,M212,INDEX(LR_Code,MATCH(B212,LR_Lane,0)),INDEX(DH_Table,0,MATCH(B212&amp;"*",DH_Head,0)))</f>
        <v>46636</v>
      </c>
      <c r="O212" s="35" t="n">
        <f aca="false">IF(W212&lt;&gt;"",W212,IF(U212="Helmond",IF(COUNTIFS(RC_Lane,B212,RC_Band,E212,RC_Transit,"&lt;&gt;")=0,"",SUMIFS(RC_Transit,RC_Lane,B212,RC_Band,E212)),IF(U212="Other","",IF(INDEX(RS_Transit,MATCH(B212,RS_Lane,0))="","",INDEX(RS_Transit,MATCH(B212,RS_Lane,0))))))</f>
        <v>1</v>
      </c>
      <c r="P212" s="36"/>
      <c r="Q212" s="31" t="n">
        <f aca="false">IF(P212&lt;&gt;"",P212,IF(O212="","",WORKDAY.INTL(L212,ROUNDUP(O212,0),INDEX(LR_Code,MATCH(B212,LR_Lane,0)),INDEX(DH_Table,0,MATCH(B212&amp;"*",DH_Head,0)))))</f>
        <v>46635</v>
      </c>
      <c r="R212" s="37" t="str">
        <f aca="false">IF(Q212="","",IF(Q212&lt;=N212,"Yes","No"))</f>
        <v>Yes</v>
      </c>
      <c r="S212" s="26" t="n">
        <f aca="false">IF(Q212="","",IF(Q212&lt;=N212,0,NETWORKDAYS.INTL(N212,Q212,INDEX(LR_Code,MATCH(B212,LR_Lane,0)),INDEX(DH_Table,0,MATCH(B212&amp;"*",DH_Head,0)))-1))</f>
        <v>0</v>
      </c>
      <c r="T212" s="4"/>
      <c r="U212" s="25" t="str">
        <f aca="false">IF(V212&lt;&gt;"",V212,IF(IFERROR(INDEX(RS_Flag,MATCH(B212,RS_Lane,0)),"")="Yes",IF(IFERROR(INDEX(RS_Loc,MATCH(B212,RS_Lane,0)),"")="","Regional stock",IFERROR(INDEX(RS_Loc,MATCH(B212,RS_Lane,0)),"")),"Helmond"))</f>
        <v>Helmond</v>
      </c>
      <c r="V212" s="17"/>
      <c r="W212" s="38"/>
      <c r="X212" s="39"/>
      <c r="Y212" s="40" t="n">
        <f aca="false">IF(X212&lt;&gt;"",X212,IF(U212="Helmond",IF(COUNTIFS(RC_Lane,B212,RC_Band,E212,RC_CostPS,"&gt;0")=0,"",SUMIFS(RC_CostPS,RC_Lane,B212,RC_Band,E212)*(1-SUMIFS(RC_Disc,RC_Lane,B212,RC_Band,E212))),IF(U212="Other","",IF(INDEX(RS_Rate,MATCH(B212,RS_Lane,0))="","",INDEX(RS_Rate,MATCH(B212,RS_Lane,0))))))</f>
        <v>72.485</v>
      </c>
    </row>
    <row r="213" customFormat="false" ht="15" hidden="false" customHeight="false" outlineLevel="0" collapsed="false">
      <c r="A213" s="3" t="s">
        <v>622</v>
      </c>
      <c r="B213" s="25" t="s">
        <v>112</v>
      </c>
      <c r="C213" s="8" t="s">
        <v>113</v>
      </c>
      <c r="D213" s="8" t="s">
        <v>152</v>
      </c>
      <c r="E213" s="8" t="s">
        <v>178</v>
      </c>
      <c r="F213" s="19" t="n">
        <v>11.2</v>
      </c>
      <c r="G213" s="33" t="n">
        <f aca="false">F213*0.006477</f>
        <v>0.0725424</v>
      </c>
      <c r="H213" s="19" t="n">
        <f aca="false">F213*1.079436</f>
        <v>12.0896832</v>
      </c>
      <c r="I213" s="18" t="n">
        <f aca="false">MAX(1,ROUNDUP(G213/0.096,0))</f>
        <v>1</v>
      </c>
      <c r="J213" s="31" t="n">
        <v>46633</v>
      </c>
      <c r="K213" s="34" t="n">
        <f aca="false">J213-WEEKDAY(J213,2)+1</f>
        <v>46629</v>
      </c>
      <c r="L213" s="31" t="n">
        <f aca="false">J213</f>
        <v>46633</v>
      </c>
      <c r="M213" s="26" t="n">
        <f aca="false">INDEX(LR_Target,MATCH(B213,LR_Lane,0))</f>
        <v>2</v>
      </c>
      <c r="N213" s="31" t="n">
        <f aca="false">WORKDAY.INTL(L213,M213,INDEX(LR_Code,MATCH(B213,LR_Lane,0)),INDEX(DH_Table,0,MATCH(B213&amp;"*",DH_Head,0)))</f>
        <v>46637</v>
      </c>
      <c r="O213" s="35" t="n">
        <f aca="false">IF(W213&lt;&gt;"",W213,IF(U213="Helmond",IF(COUNTIFS(RC_Lane,B213,RC_Band,E213,RC_Transit,"&lt;&gt;")=0,"",SUMIFS(RC_Transit,RC_Lane,B213,RC_Band,E213)),IF(U213="Other","",IF(INDEX(RS_Transit,MATCH(B213,RS_Lane,0))="","",INDEX(RS_Transit,MATCH(B213,RS_Lane,0))))))</f>
        <v>1</v>
      </c>
      <c r="P213" s="36"/>
      <c r="Q213" s="31" t="n">
        <f aca="false">IF(P213&lt;&gt;"",P213,IF(O213="","",WORKDAY.INTL(L213,ROUNDUP(O213,0),INDEX(LR_Code,MATCH(B213,LR_Lane,0)),INDEX(DH_Table,0,MATCH(B213&amp;"*",DH_Head,0)))))</f>
        <v>46636</v>
      </c>
      <c r="R213" s="37" t="str">
        <f aca="false">IF(Q213="","",IF(Q213&lt;=N213,"Yes","No"))</f>
        <v>Yes</v>
      </c>
      <c r="S213" s="26" t="n">
        <f aca="false">IF(Q213="","",IF(Q213&lt;=N213,0,NETWORKDAYS.INTL(N213,Q213,INDEX(LR_Code,MATCH(B213,LR_Lane,0)),INDEX(DH_Table,0,MATCH(B213&amp;"*",DH_Head,0)))-1))</f>
        <v>0</v>
      </c>
      <c r="T213" s="4"/>
      <c r="U213" s="25" t="str">
        <f aca="false">IF(V213&lt;&gt;"",V213,IF(IFERROR(INDEX(RS_Flag,MATCH(B213,RS_Lane,0)),"")="Yes",IF(IFERROR(INDEX(RS_Loc,MATCH(B213,RS_Lane,0)),"")="","Regional stock",IFERROR(INDEX(RS_Loc,MATCH(B213,RS_Lane,0)),"")),"Helmond"))</f>
        <v>Helmond</v>
      </c>
      <c r="V213" s="17"/>
      <c r="W213" s="38"/>
      <c r="X213" s="39"/>
      <c r="Y213" s="40" t="n">
        <f aca="false">IF(X213&lt;&gt;"",X213,IF(U213="Helmond",IF(COUNTIFS(RC_Lane,B213,RC_Band,E213,RC_CostPS,"&gt;0")=0,"",SUMIFS(RC_CostPS,RC_Lane,B213,RC_Band,E213)*(1-SUMIFS(RC_Disc,RC_Lane,B213,RC_Band,E213))),IF(U213="Other","",IF(INDEX(RS_Rate,MATCH(B213,RS_Lane,0))="","",INDEX(RS_Rate,MATCH(B213,RS_Lane,0))))))</f>
        <v>72.485</v>
      </c>
    </row>
    <row r="214" customFormat="false" ht="15" hidden="false" customHeight="false" outlineLevel="0" collapsed="false">
      <c r="A214" s="3" t="s">
        <v>623</v>
      </c>
      <c r="B214" s="25" t="s">
        <v>112</v>
      </c>
      <c r="C214" s="8" t="s">
        <v>113</v>
      </c>
      <c r="D214" s="8" t="s">
        <v>152</v>
      </c>
      <c r="E214" s="8" t="s">
        <v>178</v>
      </c>
      <c r="F214" s="19" t="n">
        <v>14.3</v>
      </c>
      <c r="G214" s="33" t="n">
        <f aca="false">F214*0.006477</f>
        <v>0.0926211</v>
      </c>
      <c r="H214" s="19" t="n">
        <f aca="false">F214*1.079436</f>
        <v>15.4359348</v>
      </c>
      <c r="I214" s="18" t="n">
        <f aca="false">MAX(1,ROUNDUP(G214/0.096,0))</f>
        <v>1</v>
      </c>
      <c r="J214" s="31" t="n">
        <v>46633</v>
      </c>
      <c r="K214" s="34" t="n">
        <f aca="false">J214-WEEKDAY(J214,2)+1</f>
        <v>46629</v>
      </c>
      <c r="L214" s="31" t="n">
        <f aca="false">J214</f>
        <v>46633</v>
      </c>
      <c r="M214" s="26" t="n">
        <f aca="false">INDEX(LR_Target,MATCH(B214,LR_Lane,0))</f>
        <v>2</v>
      </c>
      <c r="N214" s="31" t="n">
        <f aca="false">WORKDAY.INTL(L214,M214,INDEX(LR_Code,MATCH(B214,LR_Lane,0)),INDEX(DH_Table,0,MATCH(B214&amp;"*",DH_Head,0)))</f>
        <v>46637</v>
      </c>
      <c r="O214" s="35" t="n">
        <f aca="false">IF(W214&lt;&gt;"",W214,IF(U214="Helmond",IF(COUNTIFS(RC_Lane,B214,RC_Band,E214,RC_Transit,"&lt;&gt;")=0,"",SUMIFS(RC_Transit,RC_Lane,B214,RC_Band,E214)),IF(U214="Other","",IF(INDEX(RS_Transit,MATCH(B214,RS_Lane,0))="","",INDEX(RS_Transit,MATCH(B214,RS_Lane,0))))))</f>
        <v>1</v>
      </c>
      <c r="P214" s="36"/>
      <c r="Q214" s="31" t="n">
        <f aca="false">IF(P214&lt;&gt;"",P214,IF(O214="","",WORKDAY.INTL(L214,ROUNDUP(O214,0),INDEX(LR_Code,MATCH(B214,LR_Lane,0)),INDEX(DH_Table,0,MATCH(B214&amp;"*",DH_Head,0)))))</f>
        <v>46636</v>
      </c>
      <c r="R214" s="37" t="str">
        <f aca="false">IF(Q214="","",IF(Q214&lt;=N214,"Yes","No"))</f>
        <v>Yes</v>
      </c>
      <c r="S214" s="26" t="n">
        <f aca="false">IF(Q214="","",IF(Q214&lt;=N214,0,NETWORKDAYS.INTL(N214,Q214,INDEX(LR_Code,MATCH(B214,LR_Lane,0)),INDEX(DH_Table,0,MATCH(B214&amp;"*",DH_Head,0)))-1))</f>
        <v>0</v>
      </c>
      <c r="T214" s="4"/>
      <c r="U214" s="25" t="str">
        <f aca="false">IF(V214&lt;&gt;"",V214,IF(IFERROR(INDEX(RS_Flag,MATCH(B214,RS_Lane,0)),"")="Yes",IF(IFERROR(INDEX(RS_Loc,MATCH(B214,RS_Lane,0)),"")="","Regional stock",IFERROR(INDEX(RS_Loc,MATCH(B214,RS_Lane,0)),"")),"Helmond"))</f>
        <v>Helmond</v>
      </c>
      <c r="V214" s="17"/>
      <c r="W214" s="38"/>
      <c r="X214" s="39"/>
      <c r="Y214" s="40" t="n">
        <f aca="false">IF(X214&lt;&gt;"",X214,IF(U214="Helmond",IF(COUNTIFS(RC_Lane,B214,RC_Band,E214,RC_CostPS,"&gt;0")=0,"",SUMIFS(RC_CostPS,RC_Lane,B214,RC_Band,E214)*(1-SUMIFS(RC_Disc,RC_Lane,B214,RC_Band,E214))),IF(U214="Other","",IF(INDEX(RS_Rate,MATCH(B214,RS_Lane,0))="","",INDEX(RS_Rate,MATCH(B214,RS_Lane,0))))))</f>
        <v>72.485</v>
      </c>
    </row>
    <row r="215" customFormat="false" ht="15" hidden="false" customHeight="false" outlineLevel="0" collapsed="false">
      <c r="A215" s="3" t="s">
        <v>624</v>
      </c>
      <c r="B215" s="25" t="s">
        <v>119</v>
      </c>
      <c r="C215" s="8" t="s">
        <v>120</v>
      </c>
      <c r="D215" s="8" t="s">
        <v>155</v>
      </c>
      <c r="E215" s="8" t="s">
        <v>178</v>
      </c>
      <c r="F215" s="19" t="n">
        <v>7.2</v>
      </c>
      <c r="G215" s="33" t="n">
        <f aca="false">F215*0.006477</f>
        <v>0.0466344</v>
      </c>
      <c r="H215" s="19" t="n">
        <f aca="false">F215*1.079436</f>
        <v>7.7719392</v>
      </c>
      <c r="I215" s="18" t="n">
        <f aca="false">MAX(1,ROUNDUP(G215/0.096,0))</f>
        <v>1</v>
      </c>
      <c r="J215" s="31" t="n">
        <v>46633</v>
      </c>
      <c r="K215" s="34" t="n">
        <f aca="false">J215-WEEKDAY(J215,2)+1</f>
        <v>46629</v>
      </c>
      <c r="L215" s="31" t="n">
        <f aca="false">J215</f>
        <v>46633</v>
      </c>
      <c r="M215" s="26" t="n">
        <f aca="false">INDEX(LR_Target,MATCH(B215,LR_Lane,0))</f>
        <v>3</v>
      </c>
      <c r="N215" s="31" t="n">
        <f aca="false">WORKDAY.INTL(L215,M215,INDEX(LR_Code,MATCH(B215,LR_Lane,0)),INDEX(DH_Table,0,MATCH(B215&amp;"*",DH_Head,0)))</f>
        <v>46638</v>
      </c>
      <c r="O215" s="35" t="n">
        <f aca="false">IF(W215&lt;&gt;"",W215,IF(U215="Helmond",IF(COUNTIFS(RC_Lane,B215,RC_Band,E215,RC_Transit,"&lt;&gt;")=0,"",SUMIFS(RC_Transit,RC_Lane,B215,RC_Band,E215)),IF(U215="Other","",IF(INDEX(RS_Transit,MATCH(B215,RS_Lane,0))="","",INDEX(RS_Transit,MATCH(B215,RS_Lane,0))))))</f>
        <v>1</v>
      </c>
      <c r="P215" s="36"/>
      <c r="Q215" s="31" t="n">
        <f aca="false">IF(P215&lt;&gt;"",P215,IF(O215="","",WORKDAY.INTL(L215,ROUNDUP(O215,0),INDEX(LR_Code,MATCH(B215,LR_Lane,0)),INDEX(DH_Table,0,MATCH(B215&amp;"*",DH_Head,0)))))</f>
        <v>46636</v>
      </c>
      <c r="R215" s="37" t="str">
        <f aca="false">IF(Q215="","",IF(Q215&lt;=N215,"Yes","No"))</f>
        <v>Yes</v>
      </c>
      <c r="S215" s="26" t="n">
        <f aca="false">IF(Q215="","",IF(Q215&lt;=N215,0,NETWORKDAYS.INTL(N215,Q215,INDEX(LR_Code,MATCH(B215,LR_Lane,0)),INDEX(DH_Table,0,MATCH(B215&amp;"*",DH_Head,0)))-1))</f>
        <v>0</v>
      </c>
      <c r="T215" s="4"/>
      <c r="U215" s="25" t="str">
        <f aca="false">IF(V215&lt;&gt;"",V215,IF(IFERROR(INDEX(RS_Flag,MATCH(B215,RS_Lane,0)),"")="Yes",IF(IFERROR(INDEX(RS_Loc,MATCH(B215,RS_Lane,0)),"")="","Regional stock",IFERROR(INDEX(RS_Loc,MATCH(B215,RS_Lane,0)),"")),"Helmond"))</f>
        <v>Helmond</v>
      </c>
      <c r="V215" s="17"/>
      <c r="W215" s="38"/>
      <c r="X215" s="39"/>
      <c r="Y215" s="40" t="n">
        <f aca="false">IF(X215&lt;&gt;"",X215,IF(U215="Helmond",IF(COUNTIFS(RC_Lane,B215,RC_Band,E215,RC_CostPS,"&gt;0")=0,"",SUMIFS(RC_CostPS,RC_Lane,B215,RC_Band,E215)*(1-SUMIFS(RC_Disc,RC_Lane,B215,RC_Band,E215))),IF(U215="Other","",IF(INDEX(RS_Rate,MATCH(B215,RS_Lane,0))="","",INDEX(RS_Rate,MATCH(B215,RS_Lane,0))))))</f>
        <v>72.485</v>
      </c>
    </row>
    <row r="216" customFormat="false" ht="15" hidden="false" customHeight="false" outlineLevel="0" collapsed="false">
      <c r="A216" s="3" t="s">
        <v>625</v>
      </c>
      <c r="B216" s="25" t="s">
        <v>126</v>
      </c>
      <c r="C216" s="8" t="s">
        <v>127</v>
      </c>
      <c r="D216" s="8" t="s">
        <v>158</v>
      </c>
      <c r="E216" s="8" t="s">
        <v>178</v>
      </c>
      <c r="F216" s="19" t="n">
        <v>3.4</v>
      </c>
      <c r="G216" s="33" t="n">
        <f aca="false">F216*0.006477</f>
        <v>0.0220218</v>
      </c>
      <c r="H216" s="19" t="n">
        <f aca="false">F216*1.079436</f>
        <v>3.6700824</v>
      </c>
      <c r="I216" s="18" t="n">
        <f aca="false">MAX(1,ROUNDUP(G216/0.096,0))</f>
        <v>1</v>
      </c>
      <c r="J216" s="31" t="n">
        <v>46633</v>
      </c>
      <c r="K216" s="34" t="n">
        <f aca="false">J216-WEEKDAY(J216,2)+1</f>
        <v>46629</v>
      </c>
      <c r="L216" s="31" t="n">
        <f aca="false">J216</f>
        <v>46633</v>
      </c>
      <c r="M216" s="26" t="n">
        <f aca="false">INDEX(LR_Target,MATCH(B216,LR_Lane,0))</f>
        <v>4</v>
      </c>
      <c r="N216" s="31" t="n">
        <f aca="false">WORKDAY.INTL(L216,M216,INDEX(LR_Code,MATCH(B216,LR_Lane,0)),INDEX(DH_Table,0,MATCH(B216&amp;"*",DH_Head,0)))</f>
        <v>46638</v>
      </c>
      <c r="O216" s="35" t="n">
        <f aca="false">IF(W216&lt;&gt;"",W216,IF(U216="Helmond",IF(COUNTIFS(RC_Lane,B216,RC_Band,E216,RC_Transit,"&lt;&gt;")=0,"",SUMIFS(RC_Transit,RC_Lane,B216,RC_Band,E216)),IF(U216="Other","",IF(INDEX(RS_Transit,MATCH(B216,RS_Lane,0))="","",INDEX(RS_Transit,MATCH(B216,RS_Lane,0))))))</f>
        <v>1</v>
      </c>
      <c r="P216" s="36"/>
      <c r="Q216" s="31" t="n">
        <f aca="false">IF(P216&lt;&gt;"",P216,IF(O216="","",WORKDAY.INTL(L216,ROUNDUP(O216,0),INDEX(LR_Code,MATCH(B216,LR_Lane,0)),INDEX(DH_Table,0,MATCH(B216&amp;"*",DH_Head,0)))))</f>
        <v>46635</v>
      </c>
      <c r="R216" s="37" t="str">
        <f aca="false">IF(Q216="","",IF(Q216&lt;=N216,"Yes","No"))</f>
        <v>Yes</v>
      </c>
      <c r="S216" s="26" t="n">
        <f aca="false">IF(Q216="","",IF(Q216&lt;=N216,0,NETWORKDAYS.INTL(N216,Q216,INDEX(LR_Code,MATCH(B216,LR_Lane,0)),INDEX(DH_Table,0,MATCH(B216&amp;"*",DH_Head,0)))-1))</f>
        <v>0</v>
      </c>
      <c r="T216" s="4"/>
      <c r="U216" s="25" t="str">
        <f aca="false">IF(V216&lt;&gt;"",V216,IF(IFERROR(INDEX(RS_Flag,MATCH(B216,RS_Lane,0)),"")="Yes",IF(IFERROR(INDEX(RS_Loc,MATCH(B216,RS_Lane,0)),"")="","Regional stock",IFERROR(INDEX(RS_Loc,MATCH(B216,RS_Lane,0)),"")),"Helmond"))</f>
        <v>Helmond</v>
      </c>
      <c r="V216" s="17"/>
      <c r="W216" s="38"/>
      <c r="X216" s="39"/>
      <c r="Y216" s="40" t="n">
        <f aca="false">IF(X216&lt;&gt;"",X216,IF(U216="Helmond",IF(COUNTIFS(RC_Lane,B216,RC_Band,E216,RC_CostPS,"&gt;0")=0,"",SUMIFS(RC_CostPS,RC_Lane,B216,RC_Band,E216)*(1-SUMIFS(RC_Disc,RC_Lane,B216,RC_Band,E216))),IF(U216="Other","",IF(INDEX(RS_Rate,MATCH(B216,RS_Lane,0))="","",INDEX(RS_Rate,MATCH(B216,RS_Lane,0))))))</f>
        <v>72.485</v>
      </c>
    </row>
    <row r="217" customFormat="false" ht="15" hidden="false" customHeight="false" outlineLevel="0" collapsed="false">
      <c r="A217" s="3" t="s">
        <v>626</v>
      </c>
      <c r="B217" s="25" t="s">
        <v>112</v>
      </c>
      <c r="C217" s="8" t="s">
        <v>113</v>
      </c>
      <c r="D217" s="8" t="s">
        <v>152</v>
      </c>
      <c r="E217" s="8" t="s">
        <v>178</v>
      </c>
      <c r="F217" s="19" t="n">
        <v>5.3</v>
      </c>
      <c r="G217" s="33" t="n">
        <f aca="false">F217*0.006477</f>
        <v>0.0343281</v>
      </c>
      <c r="H217" s="19" t="n">
        <f aca="false">F217*1.079436</f>
        <v>5.7210108</v>
      </c>
      <c r="I217" s="18" t="n">
        <f aca="false">MAX(1,ROUNDUP(G217/0.096,0))</f>
        <v>1</v>
      </c>
      <c r="J217" s="31" t="n">
        <v>46636</v>
      </c>
      <c r="K217" s="34" t="n">
        <f aca="false">J217-WEEKDAY(J217,2)+1</f>
        <v>46636</v>
      </c>
      <c r="L217" s="31" t="n">
        <f aca="false">J217</f>
        <v>46636</v>
      </c>
      <c r="M217" s="26" t="n">
        <f aca="false">INDEX(LR_Target,MATCH(B217,LR_Lane,0))</f>
        <v>2</v>
      </c>
      <c r="N217" s="31" t="n">
        <f aca="false">WORKDAY.INTL(L217,M217,INDEX(LR_Code,MATCH(B217,LR_Lane,0)),INDEX(DH_Table,0,MATCH(B217&amp;"*",DH_Head,0)))</f>
        <v>46638</v>
      </c>
      <c r="O217" s="35" t="n">
        <f aca="false">IF(W217&lt;&gt;"",W217,IF(U217="Helmond",IF(COUNTIFS(RC_Lane,B217,RC_Band,E217,RC_Transit,"&lt;&gt;")=0,"",SUMIFS(RC_Transit,RC_Lane,B217,RC_Band,E217)),IF(U217="Other","",IF(INDEX(RS_Transit,MATCH(B217,RS_Lane,0))="","",INDEX(RS_Transit,MATCH(B217,RS_Lane,0))))))</f>
        <v>1</v>
      </c>
      <c r="P217" s="36"/>
      <c r="Q217" s="31" t="n">
        <f aca="false">IF(P217&lt;&gt;"",P217,IF(O217="","",WORKDAY.INTL(L217,ROUNDUP(O217,0),INDEX(LR_Code,MATCH(B217,LR_Lane,0)),INDEX(DH_Table,0,MATCH(B217&amp;"*",DH_Head,0)))))</f>
        <v>46637</v>
      </c>
      <c r="R217" s="37" t="str">
        <f aca="false">IF(Q217="","",IF(Q217&lt;=N217,"Yes","No"))</f>
        <v>Yes</v>
      </c>
      <c r="S217" s="26" t="n">
        <f aca="false">IF(Q217="","",IF(Q217&lt;=N217,0,NETWORKDAYS.INTL(N217,Q217,INDEX(LR_Code,MATCH(B217,LR_Lane,0)),INDEX(DH_Table,0,MATCH(B217&amp;"*",DH_Head,0)))-1))</f>
        <v>0</v>
      </c>
      <c r="T217" s="4"/>
      <c r="U217" s="25" t="str">
        <f aca="false">IF(V217&lt;&gt;"",V217,IF(IFERROR(INDEX(RS_Flag,MATCH(B217,RS_Lane,0)),"")="Yes",IF(IFERROR(INDEX(RS_Loc,MATCH(B217,RS_Lane,0)),"")="","Regional stock",IFERROR(INDEX(RS_Loc,MATCH(B217,RS_Lane,0)),"")),"Helmond"))</f>
        <v>Helmond</v>
      </c>
      <c r="V217" s="17"/>
      <c r="W217" s="38"/>
      <c r="X217" s="39"/>
      <c r="Y217" s="40" t="n">
        <f aca="false">IF(X217&lt;&gt;"",X217,IF(U217="Helmond",IF(COUNTIFS(RC_Lane,B217,RC_Band,E217,RC_CostPS,"&gt;0")=0,"",SUMIFS(RC_CostPS,RC_Lane,B217,RC_Band,E217)*(1-SUMIFS(RC_Disc,RC_Lane,B217,RC_Band,E217))),IF(U217="Other","",IF(INDEX(RS_Rate,MATCH(B217,RS_Lane,0))="","",INDEX(RS_Rate,MATCH(B217,RS_Lane,0))))))</f>
        <v>72.485</v>
      </c>
    </row>
    <row r="218" customFormat="false" ht="15" hidden="false" customHeight="false" outlineLevel="0" collapsed="false">
      <c r="A218" s="3" t="s">
        <v>627</v>
      </c>
      <c r="B218" s="25" t="s">
        <v>108</v>
      </c>
      <c r="C218" s="8" t="s">
        <v>109</v>
      </c>
      <c r="D218" s="8" t="s">
        <v>270</v>
      </c>
      <c r="E218" s="8" t="s">
        <v>183</v>
      </c>
      <c r="F218" s="19" t="n">
        <v>824.7</v>
      </c>
      <c r="G218" s="33" t="n">
        <f aca="false">F218*0.006477</f>
        <v>5.3415819</v>
      </c>
      <c r="H218" s="19" t="n">
        <f aca="false">F218*1.079436</f>
        <v>890.2108692</v>
      </c>
      <c r="I218" s="18" t="n">
        <f aca="false">MAX(1,ROUNDUP(G218/0.096,0))</f>
        <v>56</v>
      </c>
      <c r="J218" s="31" t="n">
        <v>46638</v>
      </c>
      <c r="K218" s="34" t="n">
        <f aca="false">J218-WEEKDAY(J218,2)+1</f>
        <v>46636</v>
      </c>
      <c r="L218" s="31" t="n">
        <f aca="false">J218</f>
        <v>46638</v>
      </c>
      <c r="M218" s="26" t="n">
        <f aca="false">INDEX(LR_Target,MATCH(B218,LR_Lane,0))</f>
        <v>2</v>
      </c>
      <c r="N218" s="31" t="n">
        <f aca="false">WORKDAY.INTL(L218,M218,INDEX(LR_Code,MATCH(B218,LR_Lane,0)),INDEX(DH_Table,0,MATCH(B218&amp;"*",DH_Head,0)))</f>
        <v>46642</v>
      </c>
      <c r="O218" s="35" t="n">
        <f aca="false">IF(W218&lt;&gt;"",W218,IF(U218="Helmond",IF(COUNTIFS(RC_Lane,B218,RC_Band,E218,RC_Transit,"&lt;&gt;")=0,"",SUMIFS(RC_Transit,RC_Lane,B218,RC_Band,E218)),IF(U218="Other","",IF(INDEX(RS_Transit,MATCH(B218,RS_Lane,0))="","",INDEX(RS_Transit,MATCH(B218,RS_Lane,0))))))</f>
        <v>4</v>
      </c>
      <c r="P218" s="36"/>
      <c r="Q218" s="31" t="n">
        <f aca="false">IF(P218&lt;&gt;"",P218,IF(O218="","",WORKDAY.INTL(L218,ROUNDUP(O218,0),INDEX(LR_Code,MATCH(B218,LR_Lane,0)),INDEX(DH_Table,0,MATCH(B218&amp;"*",DH_Head,0)))))</f>
        <v>46644</v>
      </c>
      <c r="R218" s="37" t="str">
        <f aca="false">IF(Q218="","",IF(Q218&lt;=N218,"Yes","No"))</f>
        <v>No</v>
      </c>
      <c r="S218" s="26" t="n">
        <f aca="false">IF(Q218="","",IF(Q218&lt;=N218,0,NETWORKDAYS.INTL(N218,Q218,INDEX(LR_Code,MATCH(B218,LR_Lane,0)),INDEX(DH_Table,0,MATCH(B218&amp;"*",DH_Head,0)))-1))</f>
        <v>2</v>
      </c>
      <c r="T218" s="4"/>
      <c r="U218" s="25" t="str">
        <f aca="false">IF(V218&lt;&gt;"",V218,IF(IFERROR(INDEX(RS_Flag,MATCH(B218,RS_Lane,0)),"")="Yes",IF(IFERROR(INDEX(RS_Loc,MATCH(B218,RS_Lane,0)),"")="","Regional stock",IFERROR(INDEX(RS_Loc,MATCH(B218,RS_Lane,0)),"")),"Helmond"))</f>
        <v>Helmond</v>
      </c>
      <c r="V218" s="17"/>
      <c r="W218" s="38"/>
      <c r="X218" s="39"/>
      <c r="Y218" s="40" t="n">
        <f aca="false">IF(X218&lt;&gt;"",X218,IF(U218="Helmond",IF(COUNTIFS(RC_Lane,B218,RC_Band,E218,RC_CostPS,"&gt;0")=0,"",SUMIFS(RC_CostPS,RC_Lane,B218,RC_Band,E218)*(1-SUMIFS(RC_Disc,RC_Lane,B218,RC_Band,E218))),IF(U218="Other","",IF(INDEX(RS_Rate,MATCH(B218,RS_Lane,0))="","",INDEX(RS_Rate,MATCH(B218,RS_Lane,0))))))</f>
        <v>3051.4304</v>
      </c>
    </row>
    <row r="219" customFormat="false" ht="15" hidden="false" customHeight="false" outlineLevel="0" collapsed="false">
      <c r="A219" s="3" t="s">
        <v>628</v>
      </c>
      <c r="B219" s="25" t="s">
        <v>108</v>
      </c>
      <c r="C219" s="8" t="s">
        <v>109</v>
      </c>
      <c r="D219" s="8" t="s">
        <v>272</v>
      </c>
      <c r="E219" s="8" t="s">
        <v>178</v>
      </c>
      <c r="F219" s="19" t="n">
        <v>7.2</v>
      </c>
      <c r="G219" s="33" t="n">
        <f aca="false">F219*0.006477</f>
        <v>0.0466344</v>
      </c>
      <c r="H219" s="19" t="n">
        <f aca="false">F219*1.079436</f>
        <v>7.7719392</v>
      </c>
      <c r="I219" s="18" t="n">
        <f aca="false">MAX(1,ROUNDUP(G219/0.096,0))</f>
        <v>1</v>
      </c>
      <c r="J219" s="31" t="n">
        <v>46639</v>
      </c>
      <c r="K219" s="34" t="n">
        <f aca="false">J219-WEEKDAY(J219,2)+1</f>
        <v>46636</v>
      </c>
      <c r="L219" s="31" t="n">
        <f aca="false">J219</f>
        <v>46639</v>
      </c>
      <c r="M219" s="26" t="n">
        <f aca="false">INDEX(LR_Target,MATCH(B219,LR_Lane,0))</f>
        <v>2</v>
      </c>
      <c r="N219" s="31" t="n">
        <f aca="false">WORKDAY.INTL(L219,M219,INDEX(LR_Code,MATCH(B219,LR_Lane,0)),INDEX(DH_Table,0,MATCH(B219&amp;"*",DH_Head,0)))</f>
        <v>46643</v>
      </c>
      <c r="O219" s="35" t="n">
        <f aca="false">IF(W219&lt;&gt;"",W219,IF(U219="Helmond",IF(COUNTIFS(RC_Lane,B219,RC_Band,E219,RC_Transit,"&lt;&gt;")=0,"",SUMIFS(RC_Transit,RC_Lane,B219,RC_Band,E219)),IF(U219="Other","",IF(INDEX(RS_Transit,MATCH(B219,RS_Lane,0))="","",INDEX(RS_Transit,MATCH(B219,RS_Lane,0))))))</f>
        <v>1</v>
      </c>
      <c r="P219" s="36"/>
      <c r="Q219" s="31" t="n">
        <f aca="false">IF(P219&lt;&gt;"",P219,IF(O219="","",WORKDAY.INTL(L219,ROUNDUP(O219,0),INDEX(LR_Code,MATCH(B219,LR_Lane,0)),INDEX(DH_Table,0,MATCH(B219&amp;"*",DH_Head,0)))))</f>
        <v>46642</v>
      </c>
      <c r="R219" s="37" t="str">
        <f aca="false">IF(Q219="","",IF(Q219&lt;=N219,"Yes","No"))</f>
        <v>Yes</v>
      </c>
      <c r="S219" s="26" t="n">
        <f aca="false">IF(Q219="","",IF(Q219&lt;=N219,0,NETWORKDAYS.INTL(N219,Q219,INDEX(LR_Code,MATCH(B219,LR_Lane,0)),INDEX(DH_Table,0,MATCH(B219&amp;"*",DH_Head,0)))-1))</f>
        <v>0</v>
      </c>
      <c r="T219" s="4"/>
      <c r="U219" s="25" t="str">
        <f aca="false">IF(V219&lt;&gt;"",V219,IF(IFERROR(INDEX(RS_Flag,MATCH(B219,RS_Lane,0)),"")="Yes",IF(IFERROR(INDEX(RS_Loc,MATCH(B219,RS_Lane,0)),"")="","Regional stock",IFERROR(INDEX(RS_Loc,MATCH(B219,RS_Lane,0)),"")),"Helmond"))</f>
        <v>Helmond</v>
      </c>
      <c r="V219" s="17"/>
      <c r="W219" s="38"/>
      <c r="X219" s="39"/>
      <c r="Y219" s="40" t="n">
        <f aca="false">IF(X219&lt;&gt;"",X219,IF(U219="Helmond",IF(COUNTIFS(RC_Lane,B219,RC_Band,E219,RC_CostPS,"&gt;0")=0,"",SUMIFS(RC_CostPS,RC_Lane,B219,RC_Band,E219)*(1-SUMIFS(RC_Disc,RC_Lane,B219,RC_Band,E219))),IF(U219="Other","",IF(INDEX(RS_Rate,MATCH(B219,RS_Lane,0))="","",INDEX(RS_Rate,MATCH(B219,RS_Lane,0))))))</f>
        <v>72.485</v>
      </c>
    </row>
    <row r="220" customFormat="false" ht="15" hidden="false" customHeight="false" outlineLevel="0" collapsed="false">
      <c r="A220" s="3" t="s">
        <v>629</v>
      </c>
      <c r="B220" s="25" t="s">
        <v>108</v>
      </c>
      <c r="C220" s="8" t="s">
        <v>109</v>
      </c>
      <c r="D220" s="8" t="s">
        <v>272</v>
      </c>
      <c r="E220" s="8" t="s">
        <v>178</v>
      </c>
      <c r="F220" s="19" t="n">
        <v>12.3</v>
      </c>
      <c r="G220" s="33" t="n">
        <f aca="false">F220*0.006477</f>
        <v>0.0796671</v>
      </c>
      <c r="H220" s="19" t="n">
        <f aca="false">F220*1.079436</f>
        <v>13.2770628</v>
      </c>
      <c r="I220" s="18" t="n">
        <f aca="false">MAX(1,ROUNDUP(G220/0.096,0))</f>
        <v>1</v>
      </c>
      <c r="J220" s="31" t="n">
        <v>46643</v>
      </c>
      <c r="K220" s="34" t="n">
        <f aca="false">J220-WEEKDAY(J220,2)+1</f>
        <v>46643</v>
      </c>
      <c r="L220" s="31" t="n">
        <f aca="false">J220</f>
        <v>46643</v>
      </c>
      <c r="M220" s="26" t="n">
        <f aca="false">INDEX(LR_Target,MATCH(B220,LR_Lane,0))</f>
        <v>2</v>
      </c>
      <c r="N220" s="31" t="n">
        <f aca="false">WORKDAY.INTL(L220,M220,INDEX(LR_Code,MATCH(B220,LR_Lane,0)),INDEX(DH_Table,0,MATCH(B220&amp;"*",DH_Head,0)))</f>
        <v>46645</v>
      </c>
      <c r="O220" s="35" t="n">
        <f aca="false">IF(W220&lt;&gt;"",W220,IF(U220="Helmond",IF(COUNTIFS(RC_Lane,B220,RC_Band,E220,RC_Transit,"&lt;&gt;")=0,"",SUMIFS(RC_Transit,RC_Lane,B220,RC_Band,E220)),IF(U220="Other","",IF(INDEX(RS_Transit,MATCH(B220,RS_Lane,0))="","",INDEX(RS_Transit,MATCH(B220,RS_Lane,0))))))</f>
        <v>1</v>
      </c>
      <c r="P220" s="36"/>
      <c r="Q220" s="31" t="n">
        <f aca="false">IF(P220&lt;&gt;"",P220,IF(O220="","",WORKDAY.INTL(L220,ROUNDUP(O220,0),INDEX(LR_Code,MATCH(B220,LR_Lane,0)),INDEX(DH_Table,0,MATCH(B220&amp;"*",DH_Head,0)))))</f>
        <v>46644</v>
      </c>
      <c r="R220" s="37" t="str">
        <f aca="false">IF(Q220="","",IF(Q220&lt;=N220,"Yes","No"))</f>
        <v>Yes</v>
      </c>
      <c r="S220" s="26" t="n">
        <f aca="false">IF(Q220="","",IF(Q220&lt;=N220,0,NETWORKDAYS.INTL(N220,Q220,INDEX(LR_Code,MATCH(B220,LR_Lane,0)),INDEX(DH_Table,0,MATCH(B220&amp;"*",DH_Head,0)))-1))</f>
        <v>0</v>
      </c>
      <c r="T220" s="4"/>
      <c r="U220" s="25" t="str">
        <f aca="false">IF(V220&lt;&gt;"",V220,IF(IFERROR(INDEX(RS_Flag,MATCH(B220,RS_Lane,0)),"")="Yes",IF(IFERROR(INDEX(RS_Loc,MATCH(B220,RS_Lane,0)),"")="","Regional stock",IFERROR(INDEX(RS_Loc,MATCH(B220,RS_Lane,0)),"")),"Helmond"))</f>
        <v>Helmond</v>
      </c>
      <c r="V220" s="17"/>
      <c r="W220" s="38"/>
      <c r="X220" s="39"/>
      <c r="Y220" s="40" t="n">
        <f aca="false">IF(X220&lt;&gt;"",X220,IF(U220="Helmond",IF(COUNTIFS(RC_Lane,B220,RC_Band,E220,RC_CostPS,"&gt;0")=0,"",SUMIFS(RC_CostPS,RC_Lane,B220,RC_Band,E220)*(1-SUMIFS(RC_Disc,RC_Lane,B220,RC_Band,E220))),IF(U220="Other","",IF(INDEX(RS_Rate,MATCH(B220,RS_Lane,0))="","",INDEX(RS_Rate,MATCH(B220,RS_Lane,0))))))</f>
        <v>72.485</v>
      </c>
    </row>
    <row r="221" customFormat="false" ht="15" hidden="false" customHeight="false" outlineLevel="0" collapsed="false">
      <c r="A221" s="3" t="s">
        <v>630</v>
      </c>
      <c r="B221" s="25" t="s">
        <v>108</v>
      </c>
      <c r="C221" s="8" t="s">
        <v>109</v>
      </c>
      <c r="D221" s="8" t="s">
        <v>270</v>
      </c>
      <c r="E221" s="8" t="s">
        <v>182</v>
      </c>
      <c r="F221" s="19" t="n">
        <v>194.8</v>
      </c>
      <c r="G221" s="33" t="n">
        <f aca="false">F221*0.006477</f>
        <v>1.2617196</v>
      </c>
      <c r="H221" s="19" t="n">
        <f aca="false">F221*1.079436</f>
        <v>210.2741328</v>
      </c>
      <c r="I221" s="18" t="n">
        <f aca="false">MAX(1,ROUNDUP(G221/0.096,0))</f>
        <v>14</v>
      </c>
      <c r="J221" s="31" t="n">
        <v>46644</v>
      </c>
      <c r="K221" s="34" t="n">
        <f aca="false">J221-WEEKDAY(J221,2)+1</f>
        <v>46643</v>
      </c>
      <c r="L221" s="31" t="n">
        <f aca="false">J221</f>
        <v>46644</v>
      </c>
      <c r="M221" s="26" t="n">
        <f aca="false">INDEX(LR_Target,MATCH(B221,LR_Lane,0))</f>
        <v>2</v>
      </c>
      <c r="N221" s="31" t="n">
        <f aca="false">WORKDAY.INTL(L221,M221,INDEX(LR_Code,MATCH(B221,LR_Lane,0)),INDEX(DH_Table,0,MATCH(B221&amp;"*",DH_Head,0)))</f>
        <v>46646</v>
      </c>
      <c r="O221" s="35" t="n">
        <f aca="false">IF(W221&lt;&gt;"",W221,IF(U221="Helmond",IF(COUNTIFS(RC_Lane,B221,RC_Band,E221,RC_Transit,"&lt;&gt;")=0,"",SUMIFS(RC_Transit,RC_Lane,B221,RC_Band,E221)),IF(U221="Other","",IF(INDEX(RS_Transit,MATCH(B221,RS_Lane,0))="","",INDEX(RS_Transit,MATCH(B221,RS_Lane,0))))))</f>
        <v>3</v>
      </c>
      <c r="P221" s="36"/>
      <c r="Q221" s="31" t="n">
        <f aca="false">IF(P221&lt;&gt;"",P221,IF(O221="","",WORKDAY.INTL(L221,ROUNDUP(O221,0),INDEX(LR_Code,MATCH(B221,LR_Lane,0)),INDEX(DH_Table,0,MATCH(B221&amp;"*",DH_Head,0)))))</f>
        <v>46649</v>
      </c>
      <c r="R221" s="37" t="str">
        <f aca="false">IF(Q221="","",IF(Q221&lt;=N221,"Yes","No"))</f>
        <v>No</v>
      </c>
      <c r="S221" s="26" t="n">
        <f aca="false">IF(Q221="","",IF(Q221&lt;=N221,0,NETWORKDAYS.INTL(N221,Q221,INDEX(LR_Code,MATCH(B221,LR_Lane,0)),INDEX(DH_Table,0,MATCH(B221&amp;"*",DH_Head,0)))-1))</f>
        <v>1</v>
      </c>
      <c r="T221" s="4"/>
      <c r="U221" s="25" t="str">
        <f aca="false">IF(V221&lt;&gt;"",V221,IF(IFERROR(INDEX(RS_Flag,MATCH(B221,RS_Lane,0)),"")="Yes",IF(IFERROR(INDEX(RS_Loc,MATCH(B221,RS_Lane,0)),"")="","Regional stock",IFERROR(INDEX(RS_Loc,MATCH(B221,RS_Lane,0)),"")),"Helmond"))</f>
        <v>Helmond</v>
      </c>
      <c r="V221" s="17"/>
      <c r="W221" s="38"/>
      <c r="X221" s="39"/>
      <c r="Y221" s="40" t="n">
        <f aca="false">IF(X221&lt;&gt;"",X221,IF(U221="Helmond",IF(COUNTIFS(RC_Lane,B221,RC_Band,E221,RC_CostPS,"&gt;0")=0,"",SUMIFS(RC_CostPS,RC_Lane,B221,RC_Band,E221)*(1-SUMIFS(RC_Disc,RC_Lane,B221,RC_Band,E221))),IF(U221="Other","",IF(INDEX(RS_Rate,MATCH(B221,RS_Lane,0))="","",INDEX(RS_Rate,MATCH(B221,RS_Lane,0))))))</f>
        <v>1009.7531</v>
      </c>
    </row>
    <row r="222" customFormat="false" ht="15" hidden="false" customHeight="false" outlineLevel="0" collapsed="false">
      <c r="A222" s="3" t="s">
        <v>631</v>
      </c>
      <c r="B222" s="25" t="s">
        <v>112</v>
      </c>
      <c r="C222" s="8" t="s">
        <v>113</v>
      </c>
      <c r="D222" s="8" t="s">
        <v>152</v>
      </c>
      <c r="E222" s="8" t="s">
        <v>178</v>
      </c>
      <c r="F222" s="19" t="n">
        <v>2.1</v>
      </c>
      <c r="G222" s="33" t="n">
        <f aca="false">F222*0.006477</f>
        <v>0.0136017</v>
      </c>
      <c r="H222" s="19" t="n">
        <f aca="false">F222*1.079436</f>
        <v>2.2668156</v>
      </c>
      <c r="I222" s="18" t="n">
        <f aca="false">MAX(1,ROUNDUP(G222/0.096,0))</f>
        <v>1</v>
      </c>
      <c r="J222" s="31" t="n">
        <v>46646</v>
      </c>
      <c r="K222" s="34" t="n">
        <f aca="false">J222-WEEKDAY(J222,2)+1</f>
        <v>46643</v>
      </c>
      <c r="L222" s="31" t="n">
        <f aca="false">J222</f>
        <v>46646</v>
      </c>
      <c r="M222" s="26" t="n">
        <f aca="false">INDEX(LR_Target,MATCH(B222,LR_Lane,0))</f>
        <v>2</v>
      </c>
      <c r="N222" s="31" t="n">
        <f aca="false">WORKDAY.INTL(L222,M222,INDEX(LR_Code,MATCH(B222,LR_Lane,0)),INDEX(DH_Table,0,MATCH(B222&amp;"*",DH_Head,0)))</f>
        <v>46650</v>
      </c>
      <c r="O222" s="35" t="n">
        <f aca="false">IF(W222&lt;&gt;"",W222,IF(U222="Helmond",IF(COUNTIFS(RC_Lane,B222,RC_Band,E222,RC_Transit,"&lt;&gt;")=0,"",SUMIFS(RC_Transit,RC_Lane,B222,RC_Band,E222)),IF(U222="Other","",IF(INDEX(RS_Transit,MATCH(B222,RS_Lane,0))="","",INDEX(RS_Transit,MATCH(B222,RS_Lane,0))))))</f>
        <v>1</v>
      </c>
      <c r="P222" s="36"/>
      <c r="Q222" s="31" t="n">
        <f aca="false">IF(P222&lt;&gt;"",P222,IF(O222="","",WORKDAY.INTL(L222,ROUNDUP(O222,0),INDEX(LR_Code,MATCH(B222,LR_Lane,0)),INDEX(DH_Table,0,MATCH(B222&amp;"*",DH_Head,0)))))</f>
        <v>46647</v>
      </c>
      <c r="R222" s="37" t="str">
        <f aca="false">IF(Q222="","",IF(Q222&lt;=N222,"Yes","No"))</f>
        <v>Yes</v>
      </c>
      <c r="S222" s="26" t="n">
        <f aca="false">IF(Q222="","",IF(Q222&lt;=N222,0,NETWORKDAYS.INTL(N222,Q222,INDEX(LR_Code,MATCH(B222,LR_Lane,0)),INDEX(DH_Table,0,MATCH(B222&amp;"*",DH_Head,0)))-1))</f>
        <v>0</v>
      </c>
      <c r="T222" s="4"/>
      <c r="U222" s="25" t="str">
        <f aca="false">IF(V222&lt;&gt;"",V222,IF(IFERROR(INDEX(RS_Flag,MATCH(B222,RS_Lane,0)),"")="Yes",IF(IFERROR(INDEX(RS_Loc,MATCH(B222,RS_Lane,0)),"")="","Regional stock",IFERROR(INDEX(RS_Loc,MATCH(B222,RS_Lane,0)),"")),"Helmond"))</f>
        <v>Helmond</v>
      </c>
      <c r="V222" s="17"/>
      <c r="W222" s="38"/>
      <c r="X222" s="39"/>
      <c r="Y222" s="40" t="n">
        <f aca="false">IF(X222&lt;&gt;"",X222,IF(U222="Helmond",IF(COUNTIFS(RC_Lane,B222,RC_Band,E222,RC_CostPS,"&gt;0")=0,"",SUMIFS(RC_CostPS,RC_Lane,B222,RC_Band,E222)*(1-SUMIFS(RC_Disc,RC_Lane,B222,RC_Band,E222))),IF(U222="Other","",IF(INDEX(RS_Rate,MATCH(B222,RS_Lane,0))="","",INDEX(RS_Rate,MATCH(B222,RS_Lane,0))))))</f>
        <v>72.485</v>
      </c>
    </row>
    <row r="223" customFormat="false" ht="15" hidden="false" customHeight="false" outlineLevel="0" collapsed="false">
      <c r="A223" s="3" t="s">
        <v>632</v>
      </c>
      <c r="B223" s="25" t="s">
        <v>115</v>
      </c>
      <c r="C223" s="8" t="s">
        <v>116</v>
      </c>
      <c r="D223" s="8" t="s">
        <v>153</v>
      </c>
      <c r="E223" s="8" t="s">
        <v>182</v>
      </c>
      <c r="F223" s="19" t="n">
        <v>161.5</v>
      </c>
      <c r="G223" s="33" t="n">
        <f aca="false">F223*0.006477</f>
        <v>1.0460355</v>
      </c>
      <c r="H223" s="19" t="n">
        <f aca="false">F223*1.079436</f>
        <v>174.328914</v>
      </c>
      <c r="I223" s="18" t="n">
        <f aca="false">MAX(1,ROUNDUP(G223/0.096,0))</f>
        <v>11</v>
      </c>
      <c r="J223" s="31" t="n">
        <v>46646</v>
      </c>
      <c r="K223" s="34" t="n">
        <f aca="false">J223-WEEKDAY(J223,2)+1</f>
        <v>46643</v>
      </c>
      <c r="L223" s="31" t="n">
        <f aca="false">J223</f>
        <v>46646</v>
      </c>
      <c r="M223" s="26" t="n">
        <f aca="false">INDEX(LR_Target,MATCH(B223,LR_Lane,0))</f>
        <v>2</v>
      </c>
      <c r="N223" s="31" t="n">
        <f aca="false">WORKDAY.INTL(L223,M223,INDEX(LR_Code,MATCH(B223,LR_Lane,0)),INDEX(DH_Table,0,MATCH(B223&amp;"*",DH_Head,0)))</f>
        <v>46650</v>
      </c>
      <c r="O223" s="35" t="n">
        <f aca="false">IF(W223&lt;&gt;"",W223,IF(U223="Helmond",IF(COUNTIFS(RC_Lane,B223,RC_Band,E223,RC_Transit,"&lt;&gt;")=0,"",SUMIFS(RC_Transit,RC_Lane,B223,RC_Band,E223)),IF(U223="Other","",IF(INDEX(RS_Transit,MATCH(B223,RS_Lane,0))="","",INDEX(RS_Transit,MATCH(B223,RS_Lane,0))))))</f>
        <v>3</v>
      </c>
      <c r="P223" s="36"/>
      <c r="Q223" s="31" t="n">
        <f aca="false">IF(P223&lt;&gt;"",P223,IF(O223="","",WORKDAY.INTL(L223,ROUNDUP(O223,0),INDEX(LR_Code,MATCH(B223,LR_Lane,0)),INDEX(DH_Table,0,MATCH(B223&amp;"*",DH_Head,0)))))</f>
        <v>46651</v>
      </c>
      <c r="R223" s="37" t="str">
        <f aca="false">IF(Q223="","",IF(Q223&lt;=N223,"Yes","No"))</f>
        <v>No</v>
      </c>
      <c r="S223" s="26" t="n">
        <f aca="false">IF(Q223="","",IF(Q223&lt;=N223,0,NETWORKDAYS.INTL(N223,Q223,INDEX(LR_Code,MATCH(B223,LR_Lane,0)),INDEX(DH_Table,0,MATCH(B223&amp;"*",DH_Head,0)))-1))</f>
        <v>1</v>
      </c>
      <c r="T223" s="4"/>
      <c r="U223" s="25" t="str">
        <f aca="false">IF(V223&lt;&gt;"",V223,IF(IFERROR(INDEX(RS_Flag,MATCH(B223,RS_Lane,0)),"")="Yes",IF(IFERROR(INDEX(RS_Loc,MATCH(B223,RS_Lane,0)),"")="","Regional stock",IFERROR(INDEX(RS_Loc,MATCH(B223,RS_Lane,0)),"")),"Helmond"))</f>
        <v>Helmond</v>
      </c>
      <c r="V223" s="17"/>
      <c r="W223" s="38"/>
      <c r="X223" s="39"/>
      <c r="Y223" s="40" t="n">
        <f aca="false">IF(X223&lt;&gt;"",X223,IF(U223="Helmond",IF(COUNTIFS(RC_Lane,B223,RC_Band,E223,RC_CostPS,"&gt;0")=0,"",SUMIFS(RC_CostPS,RC_Lane,B223,RC_Band,E223)*(1-SUMIFS(RC_Disc,RC_Lane,B223,RC_Band,E223))),IF(U223="Other","",IF(INDEX(RS_Rate,MATCH(B223,RS_Lane,0))="","",INDEX(RS_Rate,MATCH(B223,RS_Lane,0))))))</f>
        <v>1271.20393</v>
      </c>
    </row>
    <row r="224" customFormat="false" ht="15" hidden="false" customHeight="false" outlineLevel="0" collapsed="false">
      <c r="A224" s="3" t="s">
        <v>633</v>
      </c>
      <c r="B224" s="25" t="s">
        <v>119</v>
      </c>
      <c r="C224" s="8" t="s">
        <v>120</v>
      </c>
      <c r="D224" s="8" t="s">
        <v>155</v>
      </c>
      <c r="E224" s="8" t="s">
        <v>180</v>
      </c>
      <c r="F224" s="19" t="n">
        <v>47.4</v>
      </c>
      <c r="G224" s="33" t="n">
        <f aca="false">F224*0.006477</f>
        <v>0.3070098</v>
      </c>
      <c r="H224" s="19" t="n">
        <f aca="false">F224*1.079436</f>
        <v>51.1652664</v>
      </c>
      <c r="I224" s="18" t="n">
        <f aca="false">MAX(1,ROUNDUP(G224/0.096,0))</f>
        <v>4</v>
      </c>
      <c r="J224" s="31" t="n">
        <v>46646</v>
      </c>
      <c r="K224" s="34" t="n">
        <f aca="false">J224-WEEKDAY(J224,2)+1</f>
        <v>46643</v>
      </c>
      <c r="L224" s="31" t="n">
        <f aca="false">J224</f>
        <v>46646</v>
      </c>
      <c r="M224" s="26" t="n">
        <f aca="false">INDEX(LR_Target,MATCH(B224,LR_Lane,0))</f>
        <v>3</v>
      </c>
      <c r="N224" s="31" t="n">
        <f aca="false">WORKDAY.INTL(L224,M224,INDEX(LR_Code,MATCH(B224,LR_Lane,0)),INDEX(DH_Table,0,MATCH(B224&amp;"*",DH_Head,0)))</f>
        <v>46651</v>
      </c>
      <c r="O224" s="35" t="n">
        <f aca="false">IF(W224&lt;&gt;"",W224,IF(U224="Helmond",IF(COUNTIFS(RC_Lane,B224,RC_Band,E224,RC_Transit,"&lt;&gt;")=0,"",SUMIFS(RC_Transit,RC_Lane,B224,RC_Band,E224)),IF(U224="Other","",IF(INDEX(RS_Transit,MATCH(B224,RS_Lane,0))="","",INDEX(RS_Transit,MATCH(B224,RS_Lane,0))))))</f>
        <v>2</v>
      </c>
      <c r="P224" s="36"/>
      <c r="Q224" s="31" t="n">
        <f aca="false">IF(P224&lt;&gt;"",P224,IF(O224="","",WORKDAY.INTL(L224,ROUNDUP(O224,0),INDEX(LR_Code,MATCH(B224,LR_Lane,0)),INDEX(DH_Table,0,MATCH(B224&amp;"*",DH_Head,0)))))</f>
        <v>46650</v>
      </c>
      <c r="R224" s="37" t="str">
        <f aca="false">IF(Q224="","",IF(Q224&lt;=N224,"Yes","No"))</f>
        <v>Yes</v>
      </c>
      <c r="S224" s="26" t="n">
        <f aca="false">IF(Q224="","",IF(Q224&lt;=N224,0,NETWORKDAYS.INTL(N224,Q224,INDEX(LR_Code,MATCH(B224,LR_Lane,0)),INDEX(DH_Table,0,MATCH(B224&amp;"*",DH_Head,0)))-1))</f>
        <v>0</v>
      </c>
      <c r="T224" s="4"/>
      <c r="U224" s="25" t="str">
        <f aca="false">IF(V224&lt;&gt;"",V224,IF(IFERROR(INDEX(RS_Flag,MATCH(B224,RS_Lane,0)),"")="Yes",IF(IFERROR(INDEX(RS_Loc,MATCH(B224,RS_Lane,0)),"")="","Regional stock",IFERROR(INDEX(RS_Loc,MATCH(B224,RS_Lane,0)),"")),"Helmond"))</f>
        <v>Helmond</v>
      </c>
      <c r="V224" s="17"/>
      <c r="W224" s="38"/>
      <c r="X224" s="39"/>
      <c r="Y224" s="40" t="n">
        <f aca="false">IF(X224&lt;&gt;"",X224,IF(U224="Helmond",IF(COUNTIFS(RC_Lane,B224,RC_Band,E224,RC_CostPS,"&gt;0")=0,"",SUMIFS(RC_CostPS,RC_Lane,B224,RC_Band,E224)*(1-SUMIFS(RC_Disc,RC_Lane,B224,RC_Band,E224))),IF(U224="Other","",IF(INDEX(RS_Rate,MATCH(B224,RS_Lane,0))="","",INDEX(RS_Rate,MATCH(B224,RS_Lane,0))))))</f>
        <v>303.81456</v>
      </c>
    </row>
    <row r="225" customFormat="false" ht="15" hidden="false" customHeight="false" outlineLevel="0" collapsed="false">
      <c r="A225" s="3" t="s">
        <v>634</v>
      </c>
      <c r="B225" s="25" t="s">
        <v>121</v>
      </c>
      <c r="C225" s="8" t="s">
        <v>122</v>
      </c>
      <c r="D225" s="8" t="s">
        <v>287</v>
      </c>
      <c r="E225" s="8" t="s">
        <v>178</v>
      </c>
      <c r="F225" s="19" t="n">
        <v>5</v>
      </c>
      <c r="G225" s="33" t="n">
        <f aca="false">F225*0.006477</f>
        <v>0.032385</v>
      </c>
      <c r="H225" s="19" t="n">
        <f aca="false">F225*1.079436</f>
        <v>5.39718</v>
      </c>
      <c r="I225" s="18" t="n">
        <f aca="false">MAX(1,ROUNDUP(G225/0.096,0))</f>
        <v>1</v>
      </c>
      <c r="J225" s="31" t="n">
        <v>46650</v>
      </c>
      <c r="K225" s="34" t="n">
        <f aca="false">J225-WEEKDAY(J225,2)+1</f>
        <v>46650</v>
      </c>
      <c r="L225" s="31" t="n">
        <f aca="false">J225</f>
        <v>46650</v>
      </c>
      <c r="M225" s="26" t="n">
        <f aca="false">INDEX(LR_Target,MATCH(B225,LR_Lane,0))</f>
        <v>3</v>
      </c>
      <c r="N225" s="31" t="n">
        <f aca="false">WORKDAY.INTL(L225,M225,INDEX(LR_Code,MATCH(B225,LR_Lane,0)),INDEX(DH_Table,0,MATCH(B225&amp;"*",DH_Head,0)))</f>
        <v>46653</v>
      </c>
      <c r="O225" s="35" t="n">
        <f aca="false">IF(W225&lt;&gt;"",W225,IF(U225="Helmond",IF(COUNTIFS(RC_Lane,B225,RC_Band,E225,RC_Transit,"&lt;&gt;")=0,"",SUMIFS(RC_Transit,RC_Lane,B225,RC_Band,E225)),IF(U225="Other","",IF(INDEX(RS_Transit,MATCH(B225,RS_Lane,0))="","",INDEX(RS_Transit,MATCH(B225,RS_Lane,0))))))</f>
        <v>1</v>
      </c>
      <c r="P225" s="36"/>
      <c r="Q225" s="31" t="n">
        <f aca="false">IF(P225&lt;&gt;"",P225,IF(O225="","",WORKDAY.INTL(L225,ROUNDUP(O225,0),INDEX(LR_Code,MATCH(B225,LR_Lane,0)),INDEX(DH_Table,0,MATCH(B225&amp;"*",DH_Head,0)))))</f>
        <v>46651</v>
      </c>
      <c r="R225" s="37" t="str">
        <f aca="false">IF(Q225="","",IF(Q225&lt;=N225,"Yes","No"))</f>
        <v>Yes</v>
      </c>
      <c r="S225" s="26" t="n">
        <f aca="false">IF(Q225="","",IF(Q225&lt;=N225,0,NETWORKDAYS.INTL(N225,Q225,INDEX(LR_Code,MATCH(B225,LR_Lane,0)),INDEX(DH_Table,0,MATCH(B225&amp;"*",DH_Head,0)))-1))</f>
        <v>0</v>
      </c>
      <c r="T225" s="4"/>
      <c r="U225" s="25" t="str">
        <f aca="false">IF(V225&lt;&gt;"",V225,IF(IFERROR(INDEX(RS_Flag,MATCH(B225,RS_Lane,0)),"")="Yes",IF(IFERROR(INDEX(RS_Loc,MATCH(B225,RS_Lane,0)),"")="","Regional stock",IFERROR(INDEX(RS_Loc,MATCH(B225,RS_Lane,0)),"")),"Helmond"))</f>
        <v>Helmond</v>
      </c>
      <c r="V225" s="17"/>
      <c r="W225" s="38"/>
      <c r="X225" s="39"/>
      <c r="Y225" s="40" t="n">
        <f aca="false">IF(X225&lt;&gt;"",X225,IF(U225="Helmond",IF(COUNTIFS(RC_Lane,B225,RC_Band,E225,RC_CostPS,"&gt;0")=0,"",SUMIFS(RC_CostPS,RC_Lane,B225,RC_Band,E225)*(1-SUMIFS(RC_Disc,RC_Lane,B225,RC_Band,E225))),IF(U225="Other","",IF(INDEX(RS_Rate,MATCH(B225,RS_Lane,0))="","",INDEX(RS_Rate,MATCH(B225,RS_Lane,0))))))</f>
        <v>72.485</v>
      </c>
    </row>
    <row r="226" customFormat="false" ht="15" hidden="false" customHeight="false" outlineLevel="0" collapsed="false">
      <c r="A226" s="3" t="s">
        <v>635</v>
      </c>
      <c r="B226" s="25" t="s">
        <v>129</v>
      </c>
      <c r="C226" s="8" t="s">
        <v>130</v>
      </c>
      <c r="D226" s="8" t="s">
        <v>159</v>
      </c>
      <c r="E226" s="8" t="s">
        <v>182</v>
      </c>
      <c r="F226" s="19" t="n">
        <v>260.6</v>
      </c>
      <c r="G226" s="33" t="n">
        <f aca="false">F226*0.006477</f>
        <v>1.6879062</v>
      </c>
      <c r="H226" s="19" t="n">
        <f aca="false">F226*1.079436</f>
        <v>281.3010216</v>
      </c>
      <c r="I226" s="18" t="n">
        <f aca="false">MAX(1,ROUNDUP(G226/0.096,0))</f>
        <v>18</v>
      </c>
      <c r="J226" s="31" t="n">
        <v>46650</v>
      </c>
      <c r="K226" s="34" t="n">
        <f aca="false">J226-WEEKDAY(J226,2)+1</f>
        <v>46650</v>
      </c>
      <c r="L226" s="31" t="n">
        <f aca="false">J226</f>
        <v>46650</v>
      </c>
      <c r="M226" s="26" t="n">
        <f aca="false">INDEX(LR_Target,MATCH(B226,LR_Lane,0))</f>
        <v>4</v>
      </c>
      <c r="N226" s="31" t="n">
        <f aca="false">WORKDAY.INTL(L226,M226,INDEX(LR_Code,MATCH(B226,LR_Lane,0)),INDEX(DH_Table,0,MATCH(B226&amp;"*",DH_Head,0)))</f>
        <v>46654</v>
      </c>
      <c r="O226" s="35" t="n">
        <f aca="false">IF(W226&lt;&gt;"",W226,IF(U226="Helmond",IF(COUNTIFS(RC_Lane,B226,RC_Band,E226,RC_Transit,"&lt;&gt;")=0,"",SUMIFS(RC_Transit,RC_Lane,B226,RC_Band,E226)),IF(U226="Other","",IF(INDEX(RS_Transit,MATCH(B226,RS_Lane,0))="","",INDEX(RS_Transit,MATCH(B226,RS_Lane,0))))))</f>
        <v>3</v>
      </c>
      <c r="P226" s="36"/>
      <c r="Q226" s="31" t="n">
        <f aca="false">IF(P226&lt;&gt;"",P226,IF(O226="","",WORKDAY.INTL(L226,ROUNDUP(O226,0),INDEX(LR_Code,MATCH(B226,LR_Lane,0)),INDEX(DH_Table,0,MATCH(B226&amp;"*",DH_Head,0)))))</f>
        <v>46653</v>
      </c>
      <c r="R226" s="37" t="str">
        <f aca="false">IF(Q226="","",IF(Q226&lt;=N226,"Yes","No"))</f>
        <v>Yes</v>
      </c>
      <c r="S226" s="26" t="n">
        <f aca="false">IF(Q226="","",IF(Q226&lt;=N226,0,NETWORKDAYS.INTL(N226,Q226,INDEX(LR_Code,MATCH(B226,LR_Lane,0)),INDEX(DH_Table,0,MATCH(B226&amp;"*",DH_Head,0)))-1))</f>
        <v>0</v>
      </c>
      <c r="T226" s="4"/>
      <c r="U226" s="25" t="str">
        <f aca="false">IF(V226&lt;&gt;"",V226,IF(IFERROR(INDEX(RS_Flag,MATCH(B226,RS_Lane,0)),"")="Yes",IF(IFERROR(INDEX(RS_Loc,MATCH(B226,RS_Lane,0)),"")="","Regional stock",IFERROR(INDEX(RS_Loc,MATCH(B226,RS_Lane,0)),"")),"Helmond"))</f>
        <v>Helmond</v>
      </c>
      <c r="V226" s="17"/>
      <c r="W226" s="38"/>
      <c r="X226" s="39"/>
      <c r="Y226" s="40" t="n">
        <f aca="false">IF(X226&lt;&gt;"",X226,IF(U226="Helmond",IF(COUNTIFS(RC_Lane,B226,RC_Band,E226,RC_CostPS,"&gt;0")=0,"",SUMIFS(RC_CostPS,RC_Lane,B226,RC_Band,E226)*(1-SUMIFS(RC_Disc,RC_Lane,B226,RC_Band,E226))),IF(U226="Other","",IF(INDEX(RS_Rate,MATCH(B226,RS_Lane,0))="","",INDEX(RS_Rate,MATCH(B226,RS_Lane,0))))))</f>
        <v>751.45228</v>
      </c>
    </row>
    <row r="227" customFormat="false" ht="15" hidden="false" customHeight="false" outlineLevel="0" collapsed="false">
      <c r="A227" s="3" t="s">
        <v>636</v>
      </c>
      <c r="B227" s="25" t="s">
        <v>112</v>
      </c>
      <c r="C227" s="8" t="s">
        <v>113</v>
      </c>
      <c r="D227" s="8" t="s">
        <v>152</v>
      </c>
      <c r="E227" s="8" t="s">
        <v>178</v>
      </c>
      <c r="F227" s="19" t="n">
        <v>12.7</v>
      </c>
      <c r="G227" s="33" t="n">
        <f aca="false">F227*0.006477</f>
        <v>0.0822579</v>
      </c>
      <c r="H227" s="19" t="n">
        <f aca="false">F227*1.079436</f>
        <v>13.7088372</v>
      </c>
      <c r="I227" s="18" t="n">
        <f aca="false">MAX(1,ROUNDUP(G227/0.096,0))</f>
        <v>1</v>
      </c>
      <c r="J227" s="31" t="n">
        <v>46651</v>
      </c>
      <c r="K227" s="34" t="n">
        <f aca="false">J227-WEEKDAY(J227,2)+1</f>
        <v>46650</v>
      </c>
      <c r="L227" s="31" t="n">
        <f aca="false">J227</f>
        <v>46651</v>
      </c>
      <c r="M227" s="26" t="n">
        <f aca="false">INDEX(LR_Target,MATCH(B227,LR_Lane,0))</f>
        <v>2</v>
      </c>
      <c r="N227" s="31" t="n">
        <f aca="false">WORKDAY.INTL(L227,M227,INDEX(LR_Code,MATCH(B227,LR_Lane,0)),INDEX(DH_Table,0,MATCH(B227&amp;"*",DH_Head,0)))</f>
        <v>46653</v>
      </c>
      <c r="O227" s="35" t="n">
        <f aca="false">IF(W227&lt;&gt;"",W227,IF(U227="Helmond",IF(COUNTIFS(RC_Lane,B227,RC_Band,E227,RC_Transit,"&lt;&gt;")=0,"",SUMIFS(RC_Transit,RC_Lane,B227,RC_Band,E227)),IF(U227="Other","",IF(INDEX(RS_Transit,MATCH(B227,RS_Lane,0))="","",INDEX(RS_Transit,MATCH(B227,RS_Lane,0))))))</f>
        <v>1</v>
      </c>
      <c r="P227" s="36"/>
      <c r="Q227" s="31" t="n">
        <f aca="false">IF(P227&lt;&gt;"",P227,IF(O227="","",WORKDAY.INTL(L227,ROUNDUP(O227,0),INDEX(LR_Code,MATCH(B227,LR_Lane,0)),INDEX(DH_Table,0,MATCH(B227&amp;"*",DH_Head,0)))))</f>
        <v>46652</v>
      </c>
      <c r="R227" s="37" t="str">
        <f aca="false">IF(Q227="","",IF(Q227&lt;=N227,"Yes","No"))</f>
        <v>Yes</v>
      </c>
      <c r="S227" s="26" t="n">
        <f aca="false">IF(Q227="","",IF(Q227&lt;=N227,0,NETWORKDAYS.INTL(N227,Q227,INDEX(LR_Code,MATCH(B227,LR_Lane,0)),INDEX(DH_Table,0,MATCH(B227&amp;"*",DH_Head,0)))-1))</f>
        <v>0</v>
      </c>
      <c r="T227" s="4"/>
      <c r="U227" s="25" t="str">
        <f aca="false">IF(V227&lt;&gt;"",V227,IF(IFERROR(INDEX(RS_Flag,MATCH(B227,RS_Lane,0)),"")="Yes",IF(IFERROR(INDEX(RS_Loc,MATCH(B227,RS_Lane,0)),"")="","Regional stock",IFERROR(INDEX(RS_Loc,MATCH(B227,RS_Lane,0)),"")),"Helmond"))</f>
        <v>Helmond</v>
      </c>
      <c r="V227" s="17"/>
      <c r="W227" s="38"/>
      <c r="X227" s="39"/>
      <c r="Y227" s="40" t="n">
        <f aca="false">IF(X227&lt;&gt;"",X227,IF(U227="Helmond",IF(COUNTIFS(RC_Lane,B227,RC_Band,E227,RC_CostPS,"&gt;0")=0,"",SUMIFS(RC_CostPS,RC_Lane,B227,RC_Band,E227)*(1-SUMIFS(RC_Disc,RC_Lane,B227,RC_Band,E227))),IF(U227="Other","",IF(INDEX(RS_Rate,MATCH(B227,RS_Lane,0))="","",INDEX(RS_Rate,MATCH(B227,RS_Lane,0))))))</f>
        <v>72.485</v>
      </c>
    </row>
    <row r="228" customFormat="false" ht="15" hidden="false" customHeight="false" outlineLevel="0" collapsed="false">
      <c r="A228" s="3" t="s">
        <v>637</v>
      </c>
      <c r="B228" s="25" t="s">
        <v>112</v>
      </c>
      <c r="C228" s="8" t="s">
        <v>113</v>
      </c>
      <c r="D228" s="8" t="s">
        <v>152</v>
      </c>
      <c r="E228" s="8" t="s">
        <v>178</v>
      </c>
      <c r="F228" s="19" t="n">
        <v>12.5</v>
      </c>
      <c r="G228" s="33" t="n">
        <f aca="false">F228*0.006477</f>
        <v>0.0809625</v>
      </c>
      <c r="H228" s="19" t="n">
        <f aca="false">F228*1.079436</f>
        <v>13.49295</v>
      </c>
      <c r="I228" s="18" t="n">
        <f aca="false">MAX(1,ROUNDUP(G228/0.096,0))</f>
        <v>1</v>
      </c>
      <c r="J228" s="31" t="n">
        <v>46653</v>
      </c>
      <c r="K228" s="34" t="n">
        <f aca="false">J228-WEEKDAY(J228,2)+1</f>
        <v>46650</v>
      </c>
      <c r="L228" s="31" t="n">
        <f aca="false">J228</f>
        <v>46653</v>
      </c>
      <c r="M228" s="26" t="n">
        <f aca="false">INDEX(LR_Target,MATCH(B228,LR_Lane,0))</f>
        <v>2</v>
      </c>
      <c r="N228" s="31" t="n">
        <f aca="false">WORKDAY.INTL(L228,M228,INDEX(LR_Code,MATCH(B228,LR_Lane,0)),INDEX(DH_Table,0,MATCH(B228&amp;"*",DH_Head,0)))</f>
        <v>46657</v>
      </c>
      <c r="O228" s="35" t="n">
        <f aca="false">IF(W228&lt;&gt;"",W228,IF(U228="Helmond",IF(COUNTIFS(RC_Lane,B228,RC_Band,E228,RC_Transit,"&lt;&gt;")=0,"",SUMIFS(RC_Transit,RC_Lane,B228,RC_Band,E228)),IF(U228="Other","",IF(INDEX(RS_Transit,MATCH(B228,RS_Lane,0))="","",INDEX(RS_Transit,MATCH(B228,RS_Lane,0))))))</f>
        <v>1</v>
      </c>
      <c r="P228" s="36"/>
      <c r="Q228" s="31" t="n">
        <f aca="false">IF(P228&lt;&gt;"",P228,IF(O228="","",WORKDAY.INTL(L228,ROUNDUP(O228,0),INDEX(LR_Code,MATCH(B228,LR_Lane,0)),INDEX(DH_Table,0,MATCH(B228&amp;"*",DH_Head,0)))))</f>
        <v>46654</v>
      </c>
      <c r="R228" s="37" t="str">
        <f aca="false">IF(Q228="","",IF(Q228&lt;=N228,"Yes","No"))</f>
        <v>Yes</v>
      </c>
      <c r="S228" s="26" t="n">
        <f aca="false">IF(Q228="","",IF(Q228&lt;=N228,0,NETWORKDAYS.INTL(N228,Q228,INDEX(LR_Code,MATCH(B228,LR_Lane,0)),INDEX(DH_Table,0,MATCH(B228&amp;"*",DH_Head,0)))-1))</f>
        <v>0</v>
      </c>
      <c r="T228" s="4"/>
      <c r="U228" s="25" t="str">
        <f aca="false">IF(V228&lt;&gt;"",V228,IF(IFERROR(INDEX(RS_Flag,MATCH(B228,RS_Lane,0)),"")="Yes",IF(IFERROR(INDEX(RS_Loc,MATCH(B228,RS_Lane,0)),"")="","Regional stock",IFERROR(INDEX(RS_Loc,MATCH(B228,RS_Lane,0)),"")),"Helmond"))</f>
        <v>Helmond</v>
      </c>
      <c r="V228" s="17"/>
      <c r="W228" s="38"/>
      <c r="X228" s="39"/>
      <c r="Y228" s="40" t="n">
        <f aca="false">IF(X228&lt;&gt;"",X228,IF(U228="Helmond",IF(COUNTIFS(RC_Lane,B228,RC_Band,E228,RC_CostPS,"&gt;0")=0,"",SUMIFS(RC_CostPS,RC_Lane,B228,RC_Band,E228)*(1-SUMIFS(RC_Disc,RC_Lane,B228,RC_Band,E228))),IF(U228="Other","",IF(INDEX(RS_Rate,MATCH(B228,RS_Lane,0))="","",INDEX(RS_Rate,MATCH(B228,RS_Lane,0))))))</f>
        <v>72.485</v>
      </c>
    </row>
    <row r="229" customFormat="false" ht="15" hidden="false" customHeight="false" outlineLevel="0" collapsed="false">
      <c r="A229" s="3" t="s">
        <v>638</v>
      </c>
      <c r="B229" s="25" t="s">
        <v>117</v>
      </c>
      <c r="C229" s="8" t="s">
        <v>118</v>
      </c>
      <c r="D229" s="8" t="s">
        <v>154</v>
      </c>
      <c r="E229" s="8" t="s">
        <v>178</v>
      </c>
      <c r="F229" s="19" t="n">
        <v>12.4</v>
      </c>
      <c r="G229" s="33" t="n">
        <f aca="false">F229*0.006477</f>
        <v>0.0803148</v>
      </c>
      <c r="H229" s="19" t="n">
        <f aca="false">F229*1.079436</f>
        <v>13.3850064</v>
      </c>
      <c r="I229" s="18" t="n">
        <f aca="false">MAX(1,ROUNDUP(G229/0.096,0))</f>
        <v>1</v>
      </c>
      <c r="J229" s="31" t="n">
        <v>46653</v>
      </c>
      <c r="K229" s="34" t="n">
        <f aca="false">J229-WEEKDAY(J229,2)+1</f>
        <v>46650</v>
      </c>
      <c r="L229" s="31" t="n">
        <f aca="false">J229</f>
        <v>46653</v>
      </c>
      <c r="M229" s="26" t="n">
        <f aca="false">INDEX(LR_Target,MATCH(B229,LR_Lane,0))</f>
        <v>2</v>
      </c>
      <c r="N229" s="31" t="n">
        <f aca="false">WORKDAY.INTL(L229,M229,INDEX(LR_Code,MATCH(B229,LR_Lane,0)),INDEX(DH_Table,0,MATCH(B229&amp;"*",DH_Head,0)))</f>
        <v>46657</v>
      </c>
      <c r="O229" s="35" t="n">
        <f aca="false">IF(W229&lt;&gt;"",W229,IF(U229="Helmond",IF(COUNTIFS(RC_Lane,B229,RC_Band,E229,RC_Transit,"&lt;&gt;")=0,"",SUMIFS(RC_Transit,RC_Lane,B229,RC_Band,E229)),IF(U229="Other","",IF(INDEX(RS_Transit,MATCH(B229,RS_Lane,0))="","",INDEX(RS_Transit,MATCH(B229,RS_Lane,0))))))</f>
        <v>1</v>
      </c>
      <c r="P229" s="36"/>
      <c r="Q229" s="31" t="n">
        <f aca="false">IF(P229&lt;&gt;"",P229,IF(O229="","",WORKDAY.INTL(L229,ROUNDUP(O229,0),INDEX(LR_Code,MATCH(B229,LR_Lane,0)),INDEX(DH_Table,0,MATCH(B229&amp;"*",DH_Head,0)))))</f>
        <v>46656</v>
      </c>
      <c r="R229" s="37" t="str">
        <f aca="false">IF(Q229="","",IF(Q229&lt;=N229,"Yes","No"))</f>
        <v>Yes</v>
      </c>
      <c r="S229" s="26" t="n">
        <f aca="false">IF(Q229="","",IF(Q229&lt;=N229,0,NETWORKDAYS.INTL(N229,Q229,INDEX(LR_Code,MATCH(B229,LR_Lane,0)),INDEX(DH_Table,0,MATCH(B229&amp;"*",DH_Head,0)))-1))</f>
        <v>0</v>
      </c>
      <c r="T229" s="4"/>
      <c r="U229" s="25" t="str">
        <f aca="false">IF(V229&lt;&gt;"",V229,IF(IFERROR(INDEX(RS_Flag,MATCH(B229,RS_Lane,0)),"")="Yes",IF(IFERROR(INDEX(RS_Loc,MATCH(B229,RS_Lane,0)),"")="","Regional stock",IFERROR(INDEX(RS_Loc,MATCH(B229,RS_Lane,0)),"")),"Helmond"))</f>
        <v>Helmond</v>
      </c>
      <c r="V229" s="17"/>
      <c r="W229" s="38"/>
      <c r="X229" s="39"/>
      <c r="Y229" s="40" t="n">
        <f aca="false">IF(X229&lt;&gt;"",X229,IF(U229="Helmond",IF(COUNTIFS(RC_Lane,B229,RC_Band,E229,RC_CostPS,"&gt;0")=0,"",SUMIFS(RC_CostPS,RC_Lane,B229,RC_Band,E229)*(1-SUMIFS(RC_Disc,RC_Lane,B229,RC_Band,E229))),IF(U229="Other","",IF(INDEX(RS_Rate,MATCH(B229,RS_Lane,0))="","",INDEX(RS_Rate,MATCH(B229,RS_Lane,0))))))</f>
        <v>72.485</v>
      </c>
    </row>
    <row r="230" customFormat="false" ht="15" hidden="false" customHeight="false" outlineLevel="0" collapsed="false">
      <c r="A230" s="3" t="s">
        <v>639</v>
      </c>
      <c r="B230" s="25" t="s">
        <v>126</v>
      </c>
      <c r="C230" s="8" t="s">
        <v>127</v>
      </c>
      <c r="D230" s="8" t="s">
        <v>158</v>
      </c>
      <c r="E230" s="8" t="s">
        <v>180</v>
      </c>
      <c r="F230" s="19" t="n">
        <v>49.7</v>
      </c>
      <c r="G230" s="33" t="n">
        <f aca="false">F230*0.006477</f>
        <v>0.3219069</v>
      </c>
      <c r="H230" s="19" t="n">
        <f aca="false">F230*1.079436</f>
        <v>53.6479692</v>
      </c>
      <c r="I230" s="18" t="n">
        <f aca="false">MAX(1,ROUNDUP(G230/0.096,0))</f>
        <v>4</v>
      </c>
      <c r="J230" s="31" t="n">
        <v>46653</v>
      </c>
      <c r="K230" s="34" t="n">
        <f aca="false">J230-WEEKDAY(J230,2)+1</f>
        <v>46650</v>
      </c>
      <c r="L230" s="31" t="n">
        <f aca="false">J230</f>
        <v>46653</v>
      </c>
      <c r="M230" s="26" t="n">
        <f aca="false">INDEX(LR_Target,MATCH(B230,LR_Lane,0))</f>
        <v>4</v>
      </c>
      <c r="N230" s="31" t="n">
        <f aca="false">WORKDAY.INTL(L230,M230,INDEX(LR_Code,MATCH(B230,LR_Lane,0)),INDEX(DH_Table,0,MATCH(B230&amp;"*",DH_Head,0)))</f>
        <v>46659</v>
      </c>
      <c r="O230" s="35" t="n">
        <f aca="false">IF(W230&lt;&gt;"",W230,IF(U230="Helmond",IF(COUNTIFS(RC_Lane,B230,RC_Band,E230,RC_Transit,"&lt;&gt;")=0,"",SUMIFS(RC_Transit,RC_Lane,B230,RC_Band,E230)),IF(U230="Other","",IF(INDEX(RS_Transit,MATCH(B230,RS_Lane,0))="","",INDEX(RS_Transit,MATCH(B230,RS_Lane,0))))))</f>
        <v>2</v>
      </c>
      <c r="P230" s="36"/>
      <c r="Q230" s="31" t="n">
        <f aca="false">IF(P230&lt;&gt;"",P230,IF(O230="","",WORKDAY.INTL(L230,ROUNDUP(O230,0),INDEX(LR_Code,MATCH(B230,LR_Lane,0)),INDEX(DH_Table,0,MATCH(B230&amp;"*",DH_Head,0)))))</f>
        <v>46657</v>
      </c>
      <c r="R230" s="37" t="str">
        <f aca="false">IF(Q230="","",IF(Q230&lt;=N230,"Yes","No"))</f>
        <v>Yes</v>
      </c>
      <c r="S230" s="26" t="n">
        <f aca="false">IF(Q230="","",IF(Q230&lt;=N230,0,NETWORKDAYS.INTL(N230,Q230,INDEX(LR_Code,MATCH(B230,LR_Lane,0)),INDEX(DH_Table,0,MATCH(B230&amp;"*",DH_Head,0)))-1))</f>
        <v>0</v>
      </c>
      <c r="T230" s="4"/>
      <c r="U230" s="25" t="str">
        <f aca="false">IF(V230&lt;&gt;"",V230,IF(IFERROR(INDEX(RS_Flag,MATCH(B230,RS_Lane,0)),"")="Yes",IF(IFERROR(INDEX(RS_Loc,MATCH(B230,RS_Lane,0)),"")="","Regional stock",IFERROR(INDEX(RS_Loc,MATCH(B230,RS_Lane,0)),"")),"Helmond"))</f>
        <v>Helmond</v>
      </c>
      <c r="V230" s="17"/>
      <c r="W230" s="38"/>
      <c r="X230" s="39"/>
      <c r="Y230" s="40" t="n">
        <f aca="false">IF(X230&lt;&gt;"",X230,IF(U230="Helmond",IF(COUNTIFS(RC_Lane,B230,RC_Band,E230,RC_CostPS,"&gt;0")=0,"",SUMIFS(RC_CostPS,RC_Lane,B230,RC_Band,E230)*(1-SUMIFS(RC_Disc,RC_Lane,B230,RC_Band,E230))),IF(U230="Other","",IF(INDEX(RS_Rate,MATCH(B230,RS_Lane,0))="","",INDEX(RS_Rate,MATCH(B230,RS_Lane,0))))))</f>
        <v>301.93128</v>
      </c>
    </row>
    <row r="231" customFormat="false" ht="15" hidden="false" customHeight="false" outlineLevel="0" collapsed="false">
      <c r="A231" s="3" t="s">
        <v>640</v>
      </c>
      <c r="B231" s="25" t="s">
        <v>108</v>
      </c>
      <c r="C231" s="8" t="s">
        <v>109</v>
      </c>
      <c r="D231" s="8" t="s">
        <v>272</v>
      </c>
      <c r="E231" s="8" t="s">
        <v>182</v>
      </c>
      <c r="F231" s="19" t="n">
        <v>264.4</v>
      </c>
      <c r="G231" s="33" t="n">
        <f aca="false">F231*0.006477</f>
        <v>1.7125188</v>
      </c>
      <c r="H231" s="19" t="n">
        <f aca="false">F231*1.079436</f>
        <v>285.4028784</v>
      </c>
      <c r="I231" s="18" t="n">
        <f aca="false">MAX(1,ROUNDUP(G231/0.096,0))</f>
        <v>18</v>
      </c>
      <c r="J231" s="31" t="n">
        <v>46657</v>
      </c>
      <c r="K231" s="34" t="n">
        <f aca="false">J231-WEEKDAY(J231,2)+1</f>
        <v>46657</v>
      </c>
      <c r="L231" s="31" t="n">
        <f aca="false">J231</f>
        <v>46657</v>
      </c>
      <c r="M231" s="26" t="n">
        <f aca="false">INDEX(LR_Target,MATCH(B231,LR_Lane,0))</f>
        <v>2</v>
      </c>
      <c r="N231" s="31" t="n">
        <f aca="false">WORKDAY.INTL(L231,M231,INDEX(LR_Code,MATCH(B231,LR_Lane,0)),INDEX(DH_Table,0,MATCH(B231&amp;"*",DH_Head,0)))</f>
        <v>46659</v>
      </c>
      <c r="O231" s="35" t="n">
        <f aca="false">IF(W231&lt;&gt;"",W231,IF(U231="Helmond",IF(COUNTIFS(RC_Lane,B231,RC_Band,E231,RC_Transit,"&lt;&gt;")=0,"",SUMIFS(RC_Transit,RC_Lane,B231,RC_Band,E231)),IF(U231="Other","",IF(INDEX(RS_Transit,MATCH(B231,RS_Lane,0))="","",INDEX(RS_Transit,MATCH(B231,RS_Lane,0))))))</f>
        <v>3</v>
      </c>
      <c r="P231" s="36"/>
      <c r="Q231" s="31" t="n">
        <f aca="false">IF(P231&lt;&gt;"",P231,IF(O231="","",WORKDAY.INTL(L231,ROUNDUP(O231,0),INDEX(LR_Code,MATCH(B231,LR_Lane,0)),INDEX(DH_Table,0,MATCH(B231&amp;"*",DH_Head,0)))))</f>
        <v>46660</v>
      </c>
      <c r="R231" s="37" t="str">
        <f aca="false">IF(Q231="","",IF(Q231&lt;=N231,"Yes","No"))</f>
        <v>No</v>
      </c>
      <c r="S231" s="26" t="n">
        <f aca="false">IF(Q231="","",IF(Q231&lt;=N231,0,NETWORKDAYS.INTL(N231,Q231,INDEX(LR_Code,MATCH(B231,LR_Lane,0)),INDEX(DH_Table,0,MATCH(B231&amp;"*",DH_Head,0)))-1))</f>
        <v>1</v>
      </c>
      <c r="T231" s="4"/>
      <c r="U231" s="25" t="str">
        <f aca="false">IF(V231&lt;&gt;"",V231,IF(IFERROR(INDEX(RS_Flag,MATCH(B231,RS_Lane,0)),"")="Yes",IF(IFERROR(INDEX(RS_Loc,MATCH(B231,RS_Lane,0)),"")="","Regional stock",IFERROR(INDEX(RS_Loc,MATCH(B231,RS_Lane,0)),"")),"Helmond"))</f>
        <v>Helmond</v>
      </c>
      <c r="V231" s="17"/>
      <c r="W231" s="38"/>
      <c r="X231" s="39"/>
      <c r="Y231" s="40" t="n">
        <f aca="false">IF(X231&lt;&gt;"",X231,IF(U231="Helmond",IF(COUNTIFS(RC_Lane,B231,RC_Band,E231,RC_CostPS,"&gt;0")=0,"",SUMIFS(RC_CostPS,RC_Lane,B231,RC_Band,E231)*(1-SUMIFS(RC_Disc,RC_Lane,B231,RC_Band,E231))),IF(U231="Other","",IF(INDEX(RS_Rate,MATCH(B231,RS_Lane,0))="","",INDEX(RS_Rate,MATCH(B231,RS_Lane,0))))))</f>
        <v>1009.7531</v>
      </c>
    </row>
    <row r="232" customFormat="false" ht="15" hidden="false" customHeight="false" outlineLevel="0" collapsed="false">
      <c r="A232" s="3" t="s">
        <v>641</v>
      </c>
      <c r="B232" s="25" t="s">
        <v>115</v>
      </c>
      <c r="C232" s="8" t="s">
        <v>116</v>
      </c>
      <c r="D232" s="8" t="s">
        <v>153</v>
      </c>
      <c r="E232" s="8" t="s">
        <v>182</v>
      </c>
      <c r="F232" s="19" t="n">
        <v>224.4</v>
      </c>
      <c r="G232" s="33" t="n">
        <f aca="false">F232*0.006477</f>
        <v>1.4534388</v>
      </c>
      <c r="H232" s="19" t="n">
        <f aca="false">F232*1.079436</f>
        <v>242.2254384</v>
      </c>
      <c r="I232" s="18" t="n">
        <f aca="false">MAX(1,ROUNDUP(G232/0.096,0))</f>
        <v>16</v>
      </c>
      <c r="J232" s="31" t="n">
        <v>46657</v>
      </c>
      <c r="K232" s="34" t="n">
        <f aca="false">J232-WEEKDAY(J232,2)+1</f>
        <v>46657</v>
      </c>
      <c r="L232" s="31" t="n">
        <f aca="false">J232</f>
        <v>46657</v>
      </c>
      <c r="M232" s="26" t="n">
        <f aca="false">INDEX(LR_Target,MATCH(B232,LR_Lane,0))</f>
        <v>2</v>
      </c>
      <c r="N232" s="31" t="n">
        <f aca="false">WORKDAY.INTL(L232,M232,INDEX(LR_Code,MATCH(B232,LR_Lane,0)),INDEX(DH_Table,0,MATCH(B232&amp;"*",DH_Head,0)))</f>
        <v>46659</v>
      </c>
      <c r="O232" s="35" t="n">
        <f aca="false">IF(W232&lt;&gt;"",W232,IF(U232="Helmond",IF(COUNTIFS(RC_Lane,B232,RC_Band,E232,RC_Transit,"&lt;&gt;")=0,"",SUMIFS(RC_Transit,RC_Lane,B232,RC_Band,E232)),IF(U232="Other","",IF(INDEX(RS_Transit,MATCH(B232,RS_Lane,0))="","",INDEX(RS_Transit,MATCH(B232,RS_Lane,0))))))</f>
        <v>3</v>
      </c>
      <c r="P232" s="36"/>
      <c r="Q232" s="31" t="n">
        <f aca="false">IF(P232&lt;&gt;"",P232,IF(O232="","",WORKDAY.INTL(L232,ROUNDUP(O232,0),INDEX(LR_Code,MATCH(B232,LR_Lane,0)),INDEX(DH_Table,0,MATCH(B232&amp;"*",DH_Head,0)))))</f>
        <v>46660</v>
      </c>
      <c r="R232" s="37" t="str">
        <f aca="false">IF(Q232="","",IF(Q232&lt;=N232,"Yes","No"))</f>
        <v>No</v>
      </c>
      <c r="S232" s="26" t="n">
        <f aca="false">IF(Q232="","",IF(Q232&lt;=N232,0,NETWORKDAYS.INTL(N232,Q232,INDEX(LR_Code,MATCH(B232,LR_Lane,0)),INDEX(DH_Table,0,MATCH(B232&amp;"*",DH_Head,0)))-1))</f>
        <v>1</v>
      </c>
      <c r="T232" s="4"/>
      <c r="U232" s="25" t="str">
        <f aca="false">IF(V232&lt;&gt;"",V232,IF(IFERROR(INDEX(RS_Flag,MATCH(B232,RS_Lane,0)),"")="Yes",IF(IFERROR(INDEX(RS_Loc,MATCH(B232,RS_Lane,0)),"")="","Regional stock",IFERROR(INDEX(RS_Loc,MATCH(B232,RS_Lane,0)),"")),"Helmond"))</f>
        <v>Helmond</v>
      </c>
      <c r="V232" s="17"/>
      <c r="W232" s="38"/>
      <c r="X232" s="39"/>
      <c r="Y232" s="40" t="n">
        <f aca="false">IF(X232&lt;&gt;"",X232,IF(U232="Helmond",IF(COUNTIFS(RC_Lane,B232,RC_Band,E232,RC_CostPS,"&gt;0")=0,"",SUMIFS(RC_CostPS,RC_Lane,B232,RC_Band,E232)*(1-SUMIFS(RC_Disc,RC_Lane,B232,RC_Band,E232))),IF(U232="Other","",IF(INDEX(RS_Rate,MATCH(B232,RS_Lane,0))="","",INDEX(RS_Rate,MATCH(B232,RS_Lane,0))))))</f>
        <v>1271.20393</v>
      </c>
    </row>
    <row r="233" customFormat="false" ht="15" hidden="false" customHeight="false" outlineLevel="0" collapsed="false">
      <c r="A233" s="3" t="s">
        <v>642</v>
      </c>
      <c r="B233" s="25" t="s">
        <v>119</v>
      </c>
      <c r="C233" s="8" t="s">
        <v>120</v>
      </c>
      <c r="D233" s="8" t="s">
        <v>155</v>
      </c>
      <c r="E233" s="8" t="s">
        <v>182</v>
      </c>
      <c r="F233" s="19" t="n">
        <v>162</v>
      </c>
      <c r="G233" s="33" t="n">
        <f aca="false">F233*0.006477</f>
        <v>1.049274</v>
      </c>
      <c r="H233" s="19" t="n">
        <f aca="false">F233*1.079436</f>
        <v>174.868632</v>
      </c>
      <c r="I233" s="18" t="n">
        <f aca="false">MAX(1,ROUNDUP(G233/0.096,0))</f>
        <v>11</v>
      </c>
      <c r="J233" s="31" t="n">
        <v>46657</v>
      </c>
      <c r="K233" s="34" t="n">
        <f aca="false">J233-WEEKDAY(J233,2)+1</f>
        <v>46657</v>
      </c>
      <c r="L233" s="31" t="n">
        <f aca="false">J233</f>
        <v>46657</v>
      </c>
      <c r="M233" s="26" t="n">
        <f aca="false">INDEX(LR_Target,MATCH(B233,LR_Lane,0))</f>
        <v>3</v>
      </c>
      <c r="N233" s="31" t="n">
        <f aca="false">WORKDAY.INTL(L233,M233,INDEX(LR_Code,MATCH(B233,LR_Lane,0)),INDEX(DH_Table,0,MATCH(B233&amp;"*",DH_Head,0)))</f>
        <v>46660</v>
      </c>
      <c r="O233" s="35" t="n">
        <f aca="false">IF(W233&lt;&gt;"",W233,IF(U233="Helmond",IF(COUNTIFS(RC_Lane,B233,RC_Band,E233,RC_Transit,"&lt;&gt;")=0,"",SUMIFS(RC_Transit,RC_Lane,B233,RC_Band,E233)),IF(U233="Other","",IF(INDEX(RS_Transit,MATCH(B233,RS_Lane,0))="","",INDEX(RS_Transit,MATCH(B233,RS_Lane,0))))))</f>
        <v>3</v>
      </c>
      <c r="P233" s="36"/>
      <c r="Q233" s="31" t="n">
        <f aca="false">IF(P233&lt;&gt;"",P233,IF(O233="","",WORKDAY.INTL(L233,ROUNDUP(O233,0),INDEX(LR_Code,MATCH(B233,LR_Lane,0)),INDEX(DH_Table,0,MATCH(B233&amp;"*",DH_Head,0)))))</f>
        <v>46660</v>
      </c>
      <c r="R233" s="37" t="str">
        <f aca="false">IF(Q233="","",IF(Q233&lt;=N233,"Yes","No"))</f>
        <v>Yes</v>
      </c>
      <c r="S233" s="26" t="n">
        <f aca="false">IF(Q233="","",IF(Q233&lt;=N233,0,NETWORKDAYS.INTL(N233,Q233,INDEX(LR_Code,MATCH(B233,LR_Lane,0)),INDEX(DH_Table,0,MATCH(B233&amp;"*",DH_Head,0)))-1))</f>
        <v>0</v>
      </c>
      <c r="T233" s="4"/>
      <c r="U233" s="25" t="str">
        <f aca="false">IF(V233&lt;&gt;"",V233,IF(IFERROR(INDEX(RS_Flag,MATCH(B233,RS_Lane,0)),"")="Yes",IF(IFERROR(INDEX(RS_Loc,MATCH(B233,RS_Lane,0)),"")="","Regional stock",IFERROR(INDEX(RS_Loc,MATCH(B233,RS_Lane,0)),"")),"Helmond"))</f>
        <v>Helmond</v>
      </c>
      <c r="V233" s="17"/>
      <c r="W233" s="38"/>
      <c r="X233" s="39"/>
      <c r="Y233" s="40" t="n">
        <f aca="false">IF(X233&lt;&gt;"",X233,IF(U233="Helmond",IF(COUNTIFS(RC_Lane,B233,RC_Band,E233,RC_CostPS,"&gt;0")=0,"",SUMIFS(RC_CostPS,RC_Lane,B233,RC_Band,E233)*(1-SUMIFS(RC_Disc,RC_Lane,B233,RC_Band,E233))),IF(U233="Other","",IF(INDEX(RS_Rate,MATCH(B233,RS_Lane,0))="","",INDEX(RS_Rate,MATCH(B233,RS_Lane,0))))))</f>
        <v>1400.35434</v>
      </c>
    </row>
    <row r="234" customFormat="false" ht="15" hidden="false" customHeight="false" outlineLevel="0" collapsed="false">
      <c r="A234" s="3" t="s">
        <v>643</v>
      </c>
      <c r="B234" s="25" t="s">
        <v>121</v>
      </c>
      <c r="C234" s="8" t="s">
        <v>122</v>
      </c>
      <c r="D234" s="8" t="s">
        <v>278</v>
      </c>
      <c r="E234" s="8" t="s">
        <v>180</v>
      </c>
      <c r="F234" s="19" t="n">
        <v>44.2</v>
      </c>
      <c r="G234" s="33" t="n">
        <f aca="false">F234*0.006477</f>
        <v>0.2862834</v>
      </c>
      <c r="H234" s="19" t="n">
        <f aca="false">F234*1.079436</f>
        <v>47.7110712</v>
      </c>
      <c r="I234" s="18" t="n">
        <f aca="false">MAX(1,ROUNDUP(G234/0.096,0))</f>
        <v>3</v>
      </c>
      <c r="J234" s="31" t="n">
        <v>46658</v>
      </c>
      <c r="K234" s="34" t="n">
        <f aca="false">J234-WEEKDAY(J234,2)+1</f>
        <v>46657</v>
      </c>
      <c r="L234" s="31" t="n">
        <f aca="false">J234</f>
        <v>46658</v>
      </c>
      <c r="M234" s="26" t="n">
        <f aca="false">INDEX(LR_Target,MATCH(B234,LR_Lane,0))</f>
        <v>3</v>
      </c>
      <c r="N234" s="31" t="n">
        <f aca="false">WORKDAY.INTL(L234,M234,INDEX(LR_Code,MATCH(B234,LR_Lane,0)),INDEX(DH_Table,0,MATCH(B234&amp;"*",DH_Head,0)))</f>
        <v>46661</v>
      </c>
      <c r="O234" s="35" t="n">
        <f aca="false">IF(W234&lt;&gt;"",W234,IF(U234="Helmond",IF(COUNTIFS(RC_Lane,B234,RC_Band,E234,RC_Transit,"&lt;&gt;")=0,"",SUMIFS(RC_Transit,RC_Lane,B234,RC_Band,E234)),IF(U234="Other","",IF(INDEX(RS_Transit,MATCH(B234,RS_Lane,0))="","",INDEX(RS_Transit,MATCH(B234,RS_Lane,0))))))</f>
        <v>2</v>
      </c>
      <c r="P234" s="36"/>
      <c r="Q234" s="31" t="n">
        <f aca="false">IF(P234&lt;&gt;"",P234,IF(O234="","",WORKDAY.INTL(L234,ROUNDUP(O234,0),INDEX(LR_Code,MATCH(B234,LR_Lane,0)),INDEX(DH_Table,0,MATCH(B234&amp;"*",DH_Head,0)))))</f>
        <v>46660</v>
      </c>
      <c r="R234" s="37" t="str">
        <f aca="false">IF(Q234="","",IF(Q234&lt;=N234,"Yes","No"))</f>
        <v>Yes</v>
      </c>
      <c r="S234" s="26" t="n">
        <f aca="false">IF(Q234="","",IF(Q234&lt;=N234,0,NETWORKDAYS.INTL(N234,Q234,INDEX(LR_Code,MATCH(B234,LR_Lane,0)),INDEX(DH_Table,0,MATCH(B234&amp;"*",DH_Head,0)))-1))</f>
        <v>0</v>
      </c>
      <c r="T234" s="4"/>
      <c r="U234" s="25" t="str">
        <f aca="false">IF(V234&lt;&gt;"",V234,IF(IFERROR(INDEX(RS_Flag,MATCH(B234,RS_Lane,0)),"")="Yes",IF(IFERROR(INDEX(RS_Loc,MATCH(B234,RS_Lane,0)),"")="","Regional stock",IFERROR(INDEX(RS_Loc,MATCH(B234,RS_Lane,0)),"")),"Helmond"))</f>
        <v>Helmond</v>
      </c>
      <c r="V234" s="17"/>
      <c r="W234" s="38"/>
      <c r="X234" s="39"/>
      <c r="Y234" s="40" t="n">
        <f aca="false">IF(X234&lt;&gt;"",X234,IF(U234="Helmond",IF(COUNTIFS(RC_Lane,B234,RC_Band,E234,RC_CostPS,"&gt;0")=0,"",SUMIFS(RC_CostPS,RC_Lane,B234,RC_Band,E234)*(1-SUMIFS(RC_Disc,RC_Lane,B234,RC_Band,E234))),IF(U234="Other","",IF(INDEX(RS_Rate,MATCH(B234,RS_Lane,0))="","",INDEX(RS_Rate,MATCH(B234,RS_Lane,0))))))</f>
        <v>277.44864</v>
      </c>
    </row>
    <row r="235" customFormat="false" ht="15" hidden="false" customHeight="false" outlineLevel="0" collapsed="false">
      <c r="A235" s="3" t="s">
        <v>644</v>
      </c>
      <c r="B235" s="25" t="s">
        <v>108</v>
      </c>
      <c r="C235" s="8" t="s">
        <v>109</v>
      </c>
      <c r="D235" s="8" t="s">
        <v>270</v>
      </c>
      <c r="E235" s="8" t="s">
        <v>180</v>
      </c>
      <c r="F235" s="19" t="n">
        <v>59</v>
      </c>
      <c r="G235" s="33" t="n">
        <f aca="false">F235*0.006477</f>
        <v>0.382143</v>
      </c>
      <c r="H235" s="19" t="n">
        <f aca="false">F235*1.079436</f>
        <v>63.686724</v>
      </c>
      <c r="I235" s="18" t="n">
        <f aca="false">MAX(1,ROUNDUP(G235/0.096,0))</f>
        <v>4</v>
      </c>
      <c r="J235" s="31" t="n">
        <v>46660</v>
      </c>
      <c r="K235" s="34" t="n">
        <f aca="false">J235-WEEKDAY(J235,2)+1</f>
        <v>46657</v>
      </c>
      <c r="L235" s="31" t="n">
        <f aca="false">J235</f>
        <v>46660</v>
      </c>
      <c r="M235" s="26" t="n">
        <f aca="false">INDEX(LR_Target,MATCH(B235,LR_Lane,0))</f>
        <v>2</v>
      </c>
      <c r="N235" s="31" t="n">
        <f aca="false">WORKDAY.INTL(L235,M235,INDEX(LR_Code,MATCH(B235,LR_Lane,0)),INDEX(DH_Table,0,MATCH(B235&amp;"*",DH_Head,0)))</f>
        <v>46664</v>
      </c>
      <c r="O235" s="35" t="n">
        <f aca="false">IF(W235&lt;&gt;"",W235,IF(U235="Helmond",IF(COUNTIFS(RC_Lane,B235,RC_Band,E235,RC_Transit,"&lt;&gt;")=0,"",SUMIFS(RC_Transit,RC_Lane,B235,RC_Band,E235)),IF(U235="Other","",IF(INDEX(RS_Transit,MATCH(B235,RS_Lane,0))="","",INDEX(RS_Transit,MATCH(B235,RS_Lane,0))))))</f>
        <v>2</v>
      </c>
      <c r="P235" s="36"/>
      <c r="Q235" s="31" t="n">
        <f aca="false">IF(P235&lt;&gt;"",P235,IF(O235="","",WORKDAY.INTL(L235,ROUNDUP(O235,0),INDEX(LR_Code,MATCH(B235,LR_Lane,0)),INDEX(DH_Table,0,MATCH(B235&amp;"*",DH_Head,0)))))</f>
        <v>46664</v>
      </c>
      <c r="R235" s="37" t="str">
        <f aca="false">IF(Q235="","",IF(Q235&lt;=N235,"Yes","No"))</f>
        <v>Yes</v>
      </c>
      <c r="S235" s="26" t="n">
        <f aca="false">IF(Q235="","",IF(Q235&lt;=N235,0,NETWORKDAYS.INTL(N235,Q235,INDEX(LR_Code,MATCH(B235,LR_Lane,0)),INDEX(DH_Table,0,MATCH(B235&amp;"*",DH_Head,0)))-1))</f>
        <v>0</v>
      </c>
      <c r="T235" s="4"/>
      <c r="U235" s="25" t="str">
        <f aca="false">IF(V235&lt;&gt;"",V235,IF(IFERROR(INDEX(RS_Flag,MATCH(B235,RS_Lane,0)),"")="Yes",IF(IFERROR(INDEX(RS_Loc,MATCH(B235,RS_Lane,0)),"")="","Regional stock",IFERROR(INDEX(RS_Loc,MATCH(B235,RS_Lane,0)),"")),"Helmond"))</f>
        <v>Helmond</v>
      </c>
      <c r="V235" s="17"/>
      <c r="W235" s="38"/>
      <c r="X235" s="39"/>
      <c r="Y235" s="40" t="n">
        <f aca="false">IF(X235&lt;&gt;"",X235,IF(U235="Helmond",IF(COUNTIFS(RC_Lane,B235,RC_Band,E235,RC_CostPS,"&gt;0")=0,"",SUMIFS(RC_CostPS,RC_Lane,B235,RC_Band,E235)*(1-SUMIFS(RC_Disc,RC_Lane,B235,RC_Band,E235))),IF(U235="Other","",IF(INDEX(RS_Rate,MATCH(B235,RS_Lane,0))="","",INDEX(RS_Rate,MATCH(B235,RS_Lane,0))))))</f>
        <v>284.98176</v>
      </c>
    </row>
    <row r="236" customFormat="false" ht="15" hidden="false" customHeight="false" outlineLevel="0" collapsed="false">
      <c r="A236" s="3" t="s">
        <v>645</v>
      </c>
      <c r="B236" s="25" t="s">
        <v>108</v>
      </c>
      <c r="C236" s="8" t="s">
        <v>109</v>
      </c>
      <c r="D236" s="8" t="s">
        <v>272</v>
      </c>
      <c r="E236" s="8" t="s">
        <v>178</v>
      </c>
      <c r="F236" s="19" t="n">
        <v>12.8</v>
      </c>
      <c r="G236" s="33" t="n">
        <f aca="false">F236*0.006477</f>
        <v>0.0829056</v>
      </c>
      <c r="H236" s="19" t="n">
        <f aca="false">F236*1.079436</f>
        <v>13.8167808</v>
      </c>
      <c r="I236" s="18" t="n">
        <f aca="false">MAX(1,ROUNDUP(G236/0.096,0))</f>
        <v>1</v>
      </c>
      <c r="J236" s="31" t="n">
        <v>46660</v>
      </c>
      <c r="K236" s="34" t="n">
        <f aca="false">J236-WEEKDAY(J236,2)+1</f>
        <v>46657</v>
      </c>
      <c r="L236" s="31" t="n">
        <f aca="false">J236</f>
        <v>46660</v>
      </c>
      <c r="M236" s="26" t="n">
        <f aca="false">INDEX(LR_Target,MATCH(B236,LR_Lane,0))</f>
        <v>2</v>
      </c>
      <c r="N236" s="31" t="n">
        <f aca="false">WORKDAY.INTL(L236,M236,INDEX(LR_Code,MATCH(B236,LR_Lane,0)),INDEX(DH_Table,0,MATCH(B236&amp;"*",DH_Head,0)))</f>
        <v>46664</v>
      </c>
      <c r="O236" s="35" t="n">
        <f aca="false">IF(W236&lt;&gt;"",W236,IF(U236="Helmond",IF(COUNTIFS(RC_Lane,B236,RC_Band,E236,RC_Transit,"&lt;&gt;")=0,"",SUMIFS(RC_Transit,RC_Lane,B236,RC_Band,E236)),IF(U236="Other","",IF(INDEX(RS_Transit,MATCH(B236,RS_Lane,0))="","",INDEX(RS_Transit,MATCH(B236,RS_Lane,0))))))</f>
        <v>1</v>
      </c>
      <c r="P236" s="36"/>
      <c r="Q236" s="31" t="n">
        <f aca="false">IF(P236&lt;&gt;"",P236,IF(O236="","",WORKDAY.INTL(L236,ROUNDUP(O236,0),INDEX(LR_Code,MATCH(B236,LR_Lane,0)),INDEX(DH_Table,0,MATCH(B236&amp;"*",DH_Head,0)))))</f>
        <v>46663</v>
      </c>
      <c r="R236" s="37" t="str">
        <f aca="false">IF(Q236="","",IF(Q236&lt;=N236,"Yes","No"))</f>
        <v>Yes</v>
      </c>
      <c r="S236" s="26" t="n">
        <f aca="false">IF(Q236="","",IF(Q236&lt;=N236,0,NETWORKDAYS.INTL(N236,Q236,INDEX(LR_Code,MATCH(B236,LR_Lane,0)),INDEX(DH_Table,0,MATCH(B236&amp;"*",DH_Head,0)))-1))</f>
        <v>0</v>
      </c>
      <c r="T236" s="4"/>
      <c r="U236" s="25" t="str">
        <f aca="false">IF(V236&lt;&gt;"",V236,IF(IFERROR(INDEX(RS_Flag,MATCH(B236,RS_Lane,0)),"")="Yes",IF(IFERROR(INDEX(RS_Loc,MATCH(B236,RS_Lane,0)),"")="","Regional stock",IFERROR(INDEX(RS_Loc,MATCH(B236,RS_Lane,0)),"")),"Helmond"))</f>
        <v>Helmond</v>
      </c>
      <c r="V236" s="17"/>
      <c r="W236" s="38"/>
      <c r="X236" s="39"/>
      <c r="Y236" s="40" t="n">
        <f aca="false">IF(X236&lt;&gt;"",X236,IF(U236="Helmond",IF(COUNTIFS(RC_Lane,B236,RC_Band,E236,RC_CostPS,"&gt;0")=0,"",SUMIFS(RC_CostPS,RC_Lane,B236,RC_Band,E236)*(1-SUMIFS(RC_Disc,RC_Lane,B236,RC_Band,E236))),IF(U236="Other","",IF(INDEX(RS_Rate,MATCH(B236,RS_Lane,0))="","",INDEX(RS_Rate,MATCH(B236,RS_Lane,0))))))</f>
        <v>72.485</v>
      </c>
    </row>
    <row r="237" customFormat="false" ht="15" hidden="false" customHeight="false" outlineLevel="0" collapsed="false">
      <c r="A237" s="3" t="s">
        <v>646</v>
      </c>
      <c r="B237" s="25" t="s">
        <v>108</v>
      </c>
      <c r="C237" s="8" t="s">
        <v>109</v>
      </c>
      <c r="D237" s="8" t="s">
        <v>272</v>
      </c>
      <c r="E237" s="8" t="s">
        <v>182</v>
      </c>
      <c r="F237" s="19" t="n">
        <v>181.8</v>
      </c>
      <c r="G237" s="33" t="n">
        <f aca="false">F237*0.006477</f>
        <v>1.1775186</v>
      </c>
      <c r="H237" s="19" t="n">
        <f aca="false">F237*1.079436</f>
        <v>196.2414648</v>
      </c>
      <c r="I237" s="18" t="n">
        <f aca="false">MAX(1,ROUNDUP(G237/0.096,0))</f>
        <v>13</v>
      </c>
      <c r="J237" s="31" t="n">
        <v>46660</v>
      </c>
      <c r="K237" s="34" t="n">
        <f aca="false">J237-WEEKDAY(J237,2)+1</f>
        <v>46657</v>
      </c>
      <c r="L237" s="31" t="n">
        <f aca="false">J237</f>
        <v>46660</v>
      </c>
      <c r="M237" s="26" t="n">
        <f aca="false">INDEX(LR_Target,MATCH(B237,LR_Lane,0))</f>
        <v>2</v>
      </c>
      <c r="N237" s="31" t="n">
        <f aca="false">WORKDAY.INTL(L237,M237,INDEX(LR_Code,MATCH(B237,LR_Lane,0)),INDEX(DH_Table,0,MATCH(B237&amp;"*",DH_Head,0)))</f>
        <v>46664</v>
      </c>
      <c r="O237" s="35" t="n">
        <f aca="false">IF(W237&lt;&gt;"",W237,IF(U237="Helmond",IF(COUNTIFS(RC_Lane,B237,RC_Band,E237,RC_Transit,"&lt;&gt;")=0,"",SUMIFS(RC_Transit,RC_Lane,B237,RC_Band,E237)),IF(U237="Other","",IF(INDEX(RS_Transit,MATCH(B237,RS_Lane,0))="","",INDEX(RS_Transit,MATCH(B237,RS_Lane,0))))))</f>
        <v>3</v>
      </c>
      <c r="P237" s="36"/>
      <c r="Q237" s="31" t="n">
        <f aca="false">IF(P237&lt;&gt;"",P237,IF(O237="","",WORKDAY.INTL(L237,ROUNDUP(O237,0),INDEX(LR_Code,MATCH(B237,LR_Lane,0)),INDEX(DH_Table,0,MATCH(B237&amp;"*",DH_Head,0)))))</f>
        <v>46665</v>
      </c>
      <c r="R237" s="37" t="str">
        <f aca="false">IF(Q237="","",IF(Q237&lt;=N237,"Yes","No"))</f>
        <v>No</v>
      </c>
      <c r="S237" s="26" t="n">
        <f aca="false">IF(Q237="","",IF(Q237&lt;=N237,0,NETWORKDAYS.INTL(N237,Q237,INDEX(LR_Code,MATCH(B237,LR_Lane,0)),INDEX(DH_Table,0,MATCH(B237&amp;"*",DH_Head,0)))-1))</f>
        <v>1</v>
      </c>
      <c r="T237" s="4"/>
      <c r="U237" s="25" t="str">
        <f aca="false">IF(V237&lt;&gt;"",V237,IF(IFERROR(INDEX(RS_Flag,MATCH(B237,RS_Lane,0)),"")="Yes",IF(IFERROR(INDEX(RS_Loc,MATCH(B237,RS_Lane,0)),"")="","Regional stock",IFERROR(INDEX(RS_Loc,MATCH(B237,RS_Lane,0)),"")),"Helmond"))</f>
        <v>Helmond</v>
      </c>
      <c r="V237" s="17"/>
      <c r="W237" s="38"/>
      <c r="X237" s="39"/>
      <c r="Y237" s="40" t="n">
        <f aca="false">IF(X237&lt;&gt;"",X237,IF(U237="Helmond",IF(COUNTIFS(RC_Lane,B237,RC_Band,E237,RC_CostPS,"&gt;0")=0,"",SUMIFS(RC_CostPS,RC_Lane,B237,RC_Band,E237)*(1-SUMIFS(RC_Disc,RC_Lane,B237,RC_Band,E237))),IF(U237="Other","",IF(INDEX(RS_Rate,MATCH(B237,RS_Lane,0))="","",INDEX(RS_Rate,MATCH(B237,RS_Lane,0))))))</f>
        <v>1009.7531</v>
      </c>
    </row>
    <row r="238" customFormat="false" ht="15" hidden="false" customHeight="false" outlineLevel="0" collapsed="false">
      <c r="A238" s="3" t="s">
        <v>647</v>
      </c>
      <c r="B238" s="25" t="s">
        <v>112</v>
      </c>
      <c r="C238" s="8" t="s">
        <v>113</v>
      </c>
      <c r="D238" s="8" t="s">
        <v>152</v>
      </c>
      <c r="E238" s="8" t="s">
        <v>178</v>
      </c>
      <c r="F238" s="19" t="n">
        <v>6.5</v>
      </c>
      <c r="G238" s="33" t="n">
        <f aca="false">F238*0.006477</f>
        <v>0.0421005</v>
      </c>
      <c r="H238" s="19" t="n">
        <f aca="false">F238*1.079436</f>
        <v>7.016334</v>
      </c>
      <c r="I238" s="18" t="n">
        <f aca="false">MAX(1,ROUNDUP(G238/0.096,0))</f>
        <v>1</v>
      </c>
      <c r="J238" s="31" t="n">
        <v>46660</v>
      </c>
      <c r="K238" s="34" t="n">
        <f aca="false">J238-WEEKDAY(J238,2)+1</f>
        <v>46657</v>
      </c>
      <c r="L238" s="31" t="n">
        <f aca="false">J238</f>
        <v>46660</v>
      </c>
      <c r="M238" s="26" t="n">
        <f aca="false">INDEX(LR_Target,MATCH(B238,LR_Lane,0))</f>
        <v>2</v>
      </c>
      <c r="N238" s="31" t="n">
        <f aca="false">WORKDAY.INTL(L238,M238,INDEX(LR_Code,MATCH(B238,LR_Lane,0)),INDEX(DH_Table,0,MATCH(B238&amp;"*",DH_Head,0)))</f>
        <v>46664</v>
      </c>
      <c r="O238" s="35" t="n">
        <f aca="false">IF(W238&lt;&gt;"",W238,IF(U238="Helmond",IF(COUNTIFS(RC_Lane,B238,RC_Band,E238,RC_Transit,"&lt;&gt;")=0,"",SUMIFS(RC_Transit,RC_Lane,B238,RC_Band,E238)),IF(U238="Other","",IF(INDEX(RS_Transit,MATCH(B238,RS_Lane,0))="","",INDEX(RS_Transit,MATCH(B238,RS_Lane,0))))))</f>
        <v>1</v>
      </c>
      <c r="P238" s="36"/>
      <c r="Q238" s="31" t="n">
        <f aca="false">IF(P238&lt;&gt;"",P238,IF(O238="","",WORKDAY.INTL(L238,ROUNDUP(O238,0),INDEX(LR_Code,MATCH(B238,LR_Lane,0)),INDEX(DH_Table,0,MATCH(B238&amp;"*",DH_Head,0)))))</f>
        <v>46661</v>
      </c>
      <c r="R238" s="37" t="str">
        <f aca="false">IF(Q238="","",IF(Q238&lt;=N238,"Yes","No"))</f>
        <v>Yes</v>
      </c>
      <c r="S238" s="26" t="n">
        <f aca="false">IF(Q238="","",IF(Q238&lt;=N238,0,NETWORKDAYS.INTL(N238,Q238,INDEX(LR_Code,MATCH(B238,LR_Lane,0)),INDEX(DH_Table,0,MATCH(B238&amp;"*",DH_Head,0)))-1))</f>
        <v>0</v>
      </c>
      <c r="T238" s="4"/>
      <c r="U238" s="25" t="str">
        <f aca="false">IF(V238&lt;&gt;"",V238,IF(IFERROR(INDEX(RS_Flag,MATCH(B238,RS_Lane,0)),"")="Yes",IF(IFERROR(INDEX(RS_Loc,MATCH(B238,RS_Lane,0)),"")="","Regional stock",IFERROR(INDEX(RS_Loc,MATCH(B238,RS_Lane,0)),"")),"Helmond"))</f>
        <v>Helmond</v>
      </c>
      <c r="V238" s="17"/>
      <c r="W238" s="38"/>
      <c r="X238" s="39"/>
      <c r="Y238" s="40" t="n">
        <f aca="false">IF(X238&lt;&gt;"",X238,IF(U238="Helmond",IF(COUNTIFS(RC_Lane,B238,RC_Band,E238,RC_CostPS,"&gt;0")=0,"",SUMIFS(RC_CostPS,RC_Lane,B238,RC_Band,E238)*(1-SUMIFS(RC_Disc,RC_Lane,B238,RC_Band,E238))),IF(U238="Other","",IF(INDEX(RS_Rate,MATCH(B238,RS_Lane,0))="","",INDEX(RS_Rate,MATCH(B238,RS_Lane,0))))))</f>
        <v>72.485</v>
      </c>
    </row>
    <row r="239" customFormat="false" ht="15" hidden="false" customHeight="false" outlineLevel="0" collapsed="false">
      <c r="A239" s="3" t="s">
        <v>648</v>
      </c>
      <c r="B239" s="25" t="s">
        <v>108</v>
      </c>
      <c r="C239" s="8" t="s">
        <v>109</v>
      </c>
      <c r="D239" s="8" t="s">
        <v>270</v>
      </c>
      <c r="E239" s="8" t="s">
        <v>185</v>
      </c>
      <c r="F239" s="19" t="n">
        <v>2768.3</v>
      </c>
      <c r="G239" s="33" t="n">
        <f aca="false">F239*0.006477</f>
        <v>17.9302791</v>
      </c>
      <c r="H239" s="19" t="n">
        <f aca="false">F239*1.079436</f>
        <v>2988.2026788</v>
      </c>
      <c r="I239" s="18" t="n">
        <f aca="false">MAX(1,ROUNDUP(G239/0.096,0))</f>
        <v>187</v>
      </c>
      <c r="J239" s="31" t="n">
        <v>46661</v>
      </c>
      <c r="K239" s="34" t="n">
        <f aca="false">J239-WEEKDAY(J239,2)+1</f>
        <v>46657</v>
      </c>
      <c r="L239" s="31" t="n">
        <f aca="false">J239</f>
        <v>46661</v>
      </c>
      <c r="M239" s="26" t="n">
        <f aca="false">INDEX(LR_Target,MATCH(B239,LR_Lane,0))</f>
        <v>2</v>
      </c>
      <c r="N239" s="31" t="n">
        <f aca="false">WORKDAY.INTL(L239,M239,INDEX(LR_Code,MATCH(B239,LR_Lane,0)),INDEX(DH_Table,0,MATCH(B239&amp;"*",DH_Head,0)))</f>
        <v>46664</v>
      </c>
      <c r="O239" s="35" t="n">
        <f aca="false">IF(W239&lt;&gt;"",W239,IF(U239="Helmond",IF(COUNTIFS(RC_Lane,B239,RC_Band,E239,RC_Transit,"&lt;&gt;")=0,"",SUMIFS(RC_Transit,RC_Lane,B239,RC_Band,E239)),IF(U239="Other","",IF(INDEX(RS_Transit,MATCH(B239,RS_Lane,0))="","",INDEX(RS_Transit,MATCH(B239,RS_Lane,0))))))</f>
        <v>6</v>
      </c>
      <c r="P239" s="36"/>
      <c r="Q239" s="31" t="n">
        <f aca="false">IF(P239&lt;&gt;"",P239,IF(O239="","",WORKDAY.INTL(L239,ROUNDUP(O239,0),INDEX(LR_Code,MATCH(B239,LR_Lane,0)),INDEX(DH_Table,0,MATCH(B239&amp;"*",DH_Head,0)))))</f>
        <v>46670</v>
      </c>
      <c r="R239" s="37" t="str">
        <f aca="false">IF(Q239="","",IF(Q239&lt;=N239,"Yes","No"))</f>
        <v>No</v>
      </c>
      <c r="S239" s="26" t="n">
        <f aca="false">IF(Q239="","",IF(Q239&lt;=N239,0,NETWORKDAYS.INTL(N239,Q239,INDEX(LR_Code,MATCH(B239,LR_Lane,0)),INDEX(DH_Table,0,MATCH(B239&amp;"*",DH_Head,0)))-1))</f>
        <v>4</v>
      </c>
      <c r="T239" s="4"/>
      <c r="U239" s="25" t="str">
        <f aca="false">IF(V239&lt;&gt;"",V239,IF(IFERROR(INDEX(RS_Flag,MATCH(B239,RS_Lane,0)),"")="Yes",IF(IFERROR(INDEX(RS_Loc,MATCH(B239,RS_Lane,0)),"")="","Regional stock",IFERROR(INDEX(RS_Loc,MATCH(B239,RS_Lane,0)),"")),"Helmond"))</f>
        <v>Helmond</v>
      </c>
      <c r="V239" s="17"/>
      <c r="W239" s="38"/>
      <c r="X239" s="39"/>
      <c r="Y239" s="40" t="n">
        <f aca="false">IF(X239&lt;&gt;"",X239,IF(U239="Helmond",IF(COUNTIFS(RC_Lane,B239,RC_Band,E239,RC_CostPS,"&gt;0")=0,"",SUMIFS(RC_CostPS,RC_Lane,B239,RC_Band,E239)*(1-SUMIFS(RC_Disc,RC_Lane,B239,RC_Band,E239))),IF(U239="Other","",IF(INDEX(RS_Rate,MATCH(B239,RS_Lane,0))="","",INDEX(RS_Rate,MATCH(B239,RS_Lane,0))))))</f>
        <v>8960.7819</v>
      </c>
    </row>
    <row r="240" customFormat="false" ht="15" hidden="false" customHeight="false" outlineLevel="0" collapsed="false">
      <c r="A240" s="3" t="s">
        <v>649</v>
      </c>
      <c r="B240" s="25" t="s">
        <v>121</v>
      </c>
      <c r="C240" s="8" t="s">
        <v>122</v>
      </c>
      <c r="D240" s="8" t="s">
        <v>278</v>
      </c>
      <c r="E240" s="8" t="s">
        <v>178</v>
      </c>
      <c r="F240" s="19" t="n">
        <v>7.4</v>
      </c>
      <c r="G240" s="33" t="n">
        <f aca="false">F240*0.006477</f>
        <v>0.0479298</v>
      </c>
      <c r="H240" s="19" t="n">
        <f aca="false">F240*1.079436</f>
        <v>7.9878264</v>
      </c>
      <c r="I240" s="18" t="n">
        <f aca="false">MAX(1,ROUNDUP(G240/0.096,0))</f>
        <v>1</v>
      </c>
      <c r="J240" s="31" t="n">
        <v>46661</v>
      </c>
      <c r="K240" s="34" t="n">
        <f aca="false">J240-WEEKDAY(J240,2)+1</f>
        <v>46657</v>
      </c>
      <c r="L240" s="31" t="n">
        <f aca="false">J240</f>
        <v>46661</v>
      </c>
      <c r="M240" s="26" t="n">
        <f aca="false">INDEX(LR_Target,MATCH(B240,LR_Lane,0))</f>
        <v>3</v>
      </c>
      <c r="N240" s="31" t="n">
        <f aca="false">WORKDAY.INTL(L240,M240,INDEX(LR_Code,MATCH(B240,LR_Lane,0)),INDEX(DH_Table,0,MATCH(B240&amp;"*",DH_Head,0)))</f>
        <v>46666</v>
      </c>
      <c r="O240" s="35" t="n">
        <f aca="false">IF(W240&lt;&gt;"",W240,IF(U240="Helmond",IF(COUNTIFS(RC_Lane,B240,RC_Band,E240,RC_Transit,"&lt;&gt;")=0,"",SUMIFS(RC_Transit,RC_Lane,B240,RC_Band,E240)),IF(U240="Other","",IF(INDEX(RS_Transit,MATCH(B240,RS_Lane,0))="","",INDEX(RS_Transit,MATCH(B240,RS_Lane,0))))))</f>
        <v>1</v>
      </c>
      <c r="P240" s="36"/>
      <c r="Q240" s="31" t="n">
        <f aca="false">IF(P240&lt;&gt;"",P240,IF(O240="","",WORKDAY.INTL(L240,ROUNDUP(O240,0),INDEX(LR_Code,MATCH(B240,LR_Lane,0)),INDEX(DH_Table,0,MATCH(B240&amp;"*",DH_Head,0)))))</f>
        <v>46664</v>
      </c>
      <c r="R240" s="37" t="str">
        <f aca="false">IF(Q240="","",IF(Q240&lt;=N240,"Yes","No"))</f>
        <v>Yes</v>
      </c>
      <c r="S240" s="26" t="n">
        <f aca="false">IF(Q240="","",IF(Q240&lt;=N240,0,NETWORKDAYS.INTL(N240,Q240,INDEX(LR_Code,MATCH(B240,LR_Lane,0)),INDEX(DH_Table,0,MATCH(B240&amp;"*",DH_Head,0)))-1))</f>
        <v>0</v>
      </c>
      <c r="T240" s="4"/>
      <c r="U240" s="25" t="str">
        <f aca="false">IF(V240&lt;&gt;"",V240,IF(IFERROR(INDEX(RS_Flag,MATCH(B240,RS_Lane,0)),"")="Yes",IF(IFERROR(INDEX(RS_Loc,MATCH(B240,RS_Lane,0)),"")="","Regional stock",IFERROR(INDEX(RS_Loc,MATCH(B240,RS_Lane,0)),"")),"Helmond"))</f>
        <v>Helmond</v>
      </c>
      <c r="V240" s="17"/>
      <c r="W240" s="38"/>
      <c r="X240" s="39"/>
      <c r="Y240" s="40" t="n">
        <f aca="false">IF(X240&lt;&gt;"",X240,IF(U240="Helmond",IF(COUNTIFS(RC_Lane,B240,RC_Band,E240,RC_CostPS,"&gt;0")=0,"",SUMIFS(RC_CostPS,RC_Lane,B240,RC_Band,E240)*(1-SUMIFS(RC_Disc,RC_Lane,B240,RC_Band,E240))),IF(U240="Other","",IF(INDEX(RS_Rate,MATCH(B240,RS_Lane,0))="","",INDEX(RS_Rate,MATCH(B240,RS_Lane,0))))))</f>
        <v>72.485</v>
      </c>
    </row>
    <row r="241" customFormat="false" ht="15" hidden="false" customHeight="false" outlineLevel="0" collapsed="false">
      <c r="A241" s="3" t="s">
        <v>650</v>
      </c>
      <c r="B241" s="25" t="s">
        <v>119</v>
      </c>
      <c r="C241" s="8" t="s">
        <v>120</v>
      </c>
      <c r="D241" s="8" t="s">
        <v>155</v>
      </c>
      <c r="E241" s="8" t="s">
        <v>178</v>
      </c>
      <c r="F241" s="19" t="n">
        <v>12</v>
      </c>
      <c r="G241" s="33" t="n">
        <f aca="false">F241*0.006477</f>
        <v>0.077724</v>
      </c>
      <c r="H241" s="19" t="n">
        <f aca="false">F241*1.079436</f>
        <v>12.953232</v>
      </c>
      <c r="I241" s="18" t="n">
        <f aca="false">MAX(1,ROUNDUP(G241/0.096,0))</f>
        <v>1</v>
      </c>
      <c r="J241" s="31" t="n">
        <v>46664</v>
      </c>
      <c r="K241" s="34" t="n">
        <f aca="false">J241-WEEKDAY(J241,2)+1</f>
        <v>46664</v>
      </c>
      <c r="L241" s="31" t="n">
        <f aca="false">J241</f>
        <v>46664</v>
      </c>
      <c r="M241" s="26" t="n">
        <f aca="false">INDEX(LR_Target,MATCH(B241,LR_Lane,0))</f>
        <v>3</v>
      </c>
      <c r="N241" s="31" t="n">
        <f aca="false">WORKDAY.INTL(L241,M241,INDEX(LR_Code,MATCH(B241,LR_Lane,0)),INDEX(DH_Table,0,MATCH(B241&amp;"*",DH_Head,0)))</f>
        <v>46667</v>
      </c>
      <c r="O241" s="35" t="n">
        <f aca="false">IF(W241&lt;&gt;"",W241,IF(U241="Helmond",IF(COUNTIFS(RC_Lane,B241,RC_Band,E241,RC_Transit,"&lt;&gt;")=0,"",SUMIFS(RC_Transit,RC_Lane,B241,RC_Band,E241)),IF(U241="Other","",IF(INDEX(RS_Transit,MATCH(B241,RS_Lane,0))="","",INDEX(RS_Transit,MATCH(B241,RS_Lane,0))))))</f>
        <v>1</v>
      </c>
      <c r="P241" s="36"/>
      <c r="Q241" s="31" t="n">
        <f aca="false">IF(P241&lt;&gt;"",P241,IF(O241="","",WORKDAY.INTL(L241,ROUNDUP(O241,0),INDEX(LR_Code,MATCH(B241,LR_Lane,0)),INDEX(DH_Table,0,MATCH(B241&amp;"*",DH_Head,0)))))</f>
        <v>46665</v>
      </c>
      <c r="R241" s="37" t="str">
        <f aca="false">IF(Q241="","",IF(Q241&lt;=N241,"Yes","No"))</f>
        <v>Yes</v>
      </c>
      <c r="S241" s="26" t="n">
        <f aca="false">IF(Q241="","",IF(Q241&lt;=N241,0,NETWORKDAYS.INTL(N241,Q241,INDEX(LR_Code,MATCH(B241,LR_Lane,0)),INDEX(DH_Table,0,MATCH(B241&amp;"*",DH_Head,0)))-1))</f>
        <v>0</v>
      </c>
      <c r="T241" s="4"/>
      <c r="U241" s="25" t="str">
        <f aca="false">IF(V241&lt;&gt;"",V241,IF(IFERROR(INDEX(RS_Flag,MATCH(B241,RS_Lane,0)),"")="Yes",IF(IFERROR(INDEX(RS_Loc,MATCH(B241,RS_Lane,0)),"")="","Regional stock",IFERROR(INDEX(RS_Loc,MATCH(B241,RS_Lane,0)),"")),"Helmond"))</f>
        <v>Helmond</v>
      </c>
      <c r="V241" s="17"/>
      <c r="W241" s="38"/>
      <c r="X241" s="39"/>
      <c r="Y241" s="40" t="n">
        <f aca="false">IF(X241&lt;&gt;"",X241,IF(U241="Helmond",IF(COUNTIFS(RC_Lane,B241,RC_Band,E241,RC_CostPS,"&gt;0")=0,"",SUMIFS(RC_CostPS,RC_Lane,B241,RC_Band,E241)*(1-SUMIFS(RC_Disc,RC_Lane,B241,RC_Band,E241))),IF(U241="Other","",IF(INDEX(RS_Rate,MATCH(B241,RS_Lane,0))="","",INDEX(RS_Rate,MATCH(B241,RS_Lane,0))))))</f>
        <v>72.485</v>
      </c>
    </row>
    <row r="242" customFormat="false" ht="15" hidden="false" customHeight="false" outlineLevel="0" collapsed="false">
      <c r="A242" s="3" t="s">
        <v>651</v>
      </c>
      <c r="B242" s="25" t="s">
        <v>108</v>
      </c>
      <c r="C242" s="8" t="s">
        <v>109</v>
      </c>
      <c r="D242" s="8" t="s">
        <v>272</v>
      </c>
      <c r="E242" s="8" t="s">
        <v>185</v>
      </c>
      <c r="F242" s="19" t="n">
        <v>2195.5</v>
      </c>
      <c r="G242" s="33" t="n">
        <f aca="false">F242*0.006477</f>
        <v>14.2202535</v>
      </c>
      <c r="H242" s="19" t="n">
        <f aca="false">F242*1.079436</f>
        <v>2369.901738</v>
      </c>
      <c r="I242" s="18" t="n">
        <f aca="false">MAX(1,ROUNDUP(G242/0.096,0))</f>
        <v>149</v>
      </c>
      <c r="J242" s="31" t="n">
        <v>46665</v>
      </c>
      <c r="K242" s="34" t="n">
        <f aca="false">J242-WEEKDAY(J242,2)+1</f>
        <v>46664</v>
      </c>
      <c r="L242" s="31" t="n">
        <f aca="false">J242</f>
        <v>46665</v>
      </c>
      <c r="M242" s="26" t="n">
        <f aca="false">INDEX(LR_Target,MATCH(B242,LR_Lane,0))</f>
        <v>2</v>
      </c>
      <c r="N242" s="31" t="n">
        <f aca="false">WORKDAY.INTL(L242,M242,INDEX(LR_Code,MATCH(B242,LR_Lane,0)),INDEX(DH_Table,0,MATCH(B242&amp;"*",DH_Head,0)))</f>
        <v>46667</v>
      </c>
      <c r="O242" s="35" t="n">
        <f aca="false">IF(W242&lt;&gt;"",W242,IF(U242="Helmond",IF(COUNTIFS(RC_Lane,B242,RC_Band,E242,RC_Transit,"&lt;&gt;")=0,"",SUMIFS(RC_Transit,RC_Lane,B242,RC_Band,E242)),IF(U242="Other","",IF(INDEX(RS_Transit,MATCH(B242,RS_Lane,0))="","",INDEX(RS_Transit,MATCH(B242,RS_Lane,0))))))</f>
        <v>6</v>
      </c>
      <c r="P242" s="36"/>
      <c r="Q242" s="31" t="n">
        <f aca="false">IF(P242&lt;&gt;"",P242,IF(O242="","",WORKDAY.INTL(L242,ROUNDUP(O242,0),INDEX(LR_Code,MATCH(B242,LR_Lane,0)),INDEX(DH_Table,0,MATCH(B242&amp;"*",DH_Head,0)))))</f>
        <v>46673</v>
      </c>
      <c r="R242" s="37" t="str">
        <f aca="false">IF(Q242="","",IF(Q242&lt;=N242,"Yes","No"))</f>
        <v>No</v>
      </c>
      <c r="S242" s="26" t="n">
        <f aca="false">IF(Q242="","",IF(Q242&lt;=N242,0,NETWORKDAYS.INTL(N242,Q242,INDEX(LR_Code,MATCH(B242,LR_Lane,0)),INDEX(DH_Table,0,MATCH(B242&amp;"*",DH_Head,0)))-1))</f>
        <v>4</v>
      </c>
      <c r="T242" s="4"/>
      <c r="U242" s="25" t="str">
        <f aca="false">IF(V242&lt;&gt;"",V242,IF(IFERROR(INDEX(RS_Flag,MATCH(B242,RS_Lane,0)),"")="Yes",IF(IFERROR(INDEX(RS_Loc,MATCH(B242,RS_Lane,0)),"")="","Regional stock",IFERROR(INDEX(RS_Loc,MATCH(B242,RS_Lane,0)),"")),"Helmond"))</f>
        <v>Helmond</v>
      </c>
      <c r="V242" s="17"/>
      <c r="W242" s="38"/>
      <c r="X242" s="39"/>
      <c r="Y242" s="40" t="n">
        <f aca="false">IF(X242&lt;&gt;"",X242,IF(U242="Helmond",IF(COUNTIFS(RC_Lane,B242,RC_Band,E242,RC_CostPS,"&gt;0")=0,"",SUMIFS(RC_CostPS,RC_Lane,B242,RC_Band,E242)*(1-SUMIFS(RC_Disc,RC_Lane,B242,RC_Band,E242))),IF(U242="Other","",IF(INDEX(RS_Rate,MATCH(B242,RS_Lane,0))="","",INDEX(RS_Rate,MATCH(B242,RS_Lane,0))))))</f>
        <v>8960.7819</v>
      </c>
    </row>
    <row r="243" customFormat="false" ht="15" hidden="false" customHeight="false" outlineLevel="0" collapsed="false">
      <c r="A243" s="3" t="s">
        <v>652</v>
      </c>
      <c r="B243" s="25" t="s">
        <v>108</v>
      </c>
      <c r="C243" s="8" t="s">
        <v>109</v>
      </c>
      <c r="D243" s="8" t="s">
        <v>272</v>
      </c>
      <c r="E243" s="8" t="s">
        <v>182</v>
      </c>
      <c r="F243" s="19" t="n">
        <v>279.9</v>
      </c>
      <c r="G243" s="33" t="n">
        <f aca="false">F243*0.006477</f>
        <v>1.8129123</v>
      </c>
      <c r="H243" s="19" t="n">
        <f aca="false">F243*1.079436</f>
        <v>302.1341364</v>
      </c>
      <c r="I243" s="18" t="n">
        <f aca="false">MAX(1,ROUNDUP(G243/0.096,0))</f>
        <v>19</v>
      </c>
      <c r="J243" s="31" t="n">
        <v>46665</v>
      </c>
      <c r="K243" s="34" t="n">
        <f aca="false">J243-WEEKDAY(J243,2)+1</f>
        <v>46664</v>
      </c>
      <c r="L243" s="31" t="n">
        <f aca="false">J243</f>
        <v>46665</v>
      </c>
      <c r="M243" s="26" t="n">
        <f aca="false">INDEX(LR_Target,MATCH(B243,LR_Lane,0))</f>
        <v>2</v>
      </c>
      <c r="N243" s="31" t="n">
        <f aca="false">WORKDAY.INTL(L243,M243,INDEX(LR_Code,MATCH(B243,LR_Lane,0)),INDEX(DH_Table,0,MATCH(B243&amp;"*",DH_Head,0)))</f>
        <v>46667</v>
      </c>
      <c r="O243" s="35" t="n">
        <f aca="false">IF(W243&lt;&gt;"",W243,IF(U243="Helmond",IF(COUNTIFS(RC_Lane,B243,RC_Band,E243,RC_Transit,"&lt;&gt;")=0,"",SUMIFS(RC_Transit,RC_Lane,B243,RC_Band,E243)),IF(U243="Other","",IF(INDEX(RS_Transit,MATCH(B243,RS_Lane,0))="","",INDEX(RS_Transit,MATCH(B243,RS_Lane,0))))))</f>
        <v>3</v>
      </c>
      <c r="P243" s="36"/>
      <c r="Q243" s="31" t="n">
        <f aca="false">IF(P243&lt;&gt;"",P243,IF(O243="","",WORKDAY.INTL(L243,ROUNDUP(O243,0),INDEX(LR_Code,MATCH(B243,LR_Lane,0)),INDEX(DH_Table,0,MATCH(B243&amp;"*",DH_Head,0)))))</f>
        <v>46670</v>
      </c>
      <c r="R243" s="37" t="str">
        <f aca="false">IF(Q243="","",IF(Q243&lt;=N243,"Yes","No"))</f>
        <v>No</v>
      </c>
      <c r="S243" s="26" t="n">
        <f aca="false">IF(Q243="","",IF(Q243&lt;=N243,0,NETWORKDAYS.INTL(N243,Q243,INDEX(LR_Code,MATCH(B243,LR_Lane,0)),INDEX(DH_Table,0,MATCH(B243&amp;"*",DH_Head,0)))-1))</f>
        <v>1</v>
      </c>
      <c r="T243" s="4"/>
      <c r="U243" s="25" t="str">
        <f aca="false">IF(V243&lt;&gt;"",V243,IF(IFERROR(INDEX(RS_Flag,MATCH(B243,RS_Lane,0)),"")="Yes",IF(IFERROR(INDEX(RS_Loc,MATCH(B243,RS_Lane,0)),"")="","Regional stock",IFERROR(INDEX(RS_Loc,MATCH(B243,RS_Lane,0)),"")),"Helmond"))</f>
        <v>Helmond</v>
      </c>
      <c r="V243" s="17"/>
      <c r="W243" s="38"/>
      <c r="X243" s="39"/>
      <c r="Y243" s="40" t="n">
        <f aca="false">IF(X243&lt;&gt;"",X243,IF(U243="Helmond",IF(COUNTIFS(RC_Lane,B243,RC_Band,E243,RC_CostPS,"&gt;0")=0,"",SUMIFS(RC_CostPS,RC_Lane,B243,RC_Band,E243)*(1-SUMIFS(RC_Disc,RC_Lane,B243,RC_Band,E243))),IF(U243="Other","",IF(INDEX(RS_Rate,MATCH(B243,RS_Lane,0))="","",INDEX(RS_Rate,MATCH(B243,RS_Lane,0))))))</f>
        <v>1009.7531</v>
      </c>
    </row>
    <row r="244" customFormat="false" ht="15" hidden="false" customHeight="false" outlineLevel="0" collapsed="false">
      <c r="A244" s="3" t="s">
        <v>653</v>
      </c>
      <c r="B244" s="25" t="s">
        <v>108</v>
      </c>
      <c r="C244" s="8" t="s">
        <v>109</v>
      </c>
      <c r="D244" s="8" t="s">
        <v>272</v>
      </c>
      <c r="E244" s="8" t="s">
        <v>178</v>
      </c>
      <c r="F244" s="19" t="n">
        <v>18.4</v>
      </c>
      <c r="G244" s="33" t="n">
        <f aca="false">F244*0.006477</f>
        <v>0.1191768</v>
      </c>
      <c r="H244" s="19" t="n">
        <f aca="false">F244*1.079436</f>
        <v>19.8616224</v>
      </c>
      <c r="I244" s="18" t="n">
        <f aca="false">MAX(1,ROUNDUP(G244/0.096,0))</f>
        <v>2</v>
      </c>
      <c r="J244" s="31" t="n">
        <v>46665</v>
      </c>
      <c r="K244" s="34" t="n">
        <f aca="false">J244-WEEKDAY(J244,2)+1</f>
        <v>46664</v>
      </c>
      <c r="L244" s="31" t="n">
        <f aca="false">J244</f>
        <v>46665</v>
      </c>
      <c r="M244" s="26" t="n">
        <f aca="false">INDEX(LR_Target,MATCH(B244,LR_Lane,0))</f>
        <v>2</v>
      </c>
      <c r="N244" s="31" t="n">
        <f aca="false">WORKDAY.INTL(L244,M244,INDEX(LR_Code,MATCH(B244,LR_Lane,0)),INDEX(DH_Table,0,MATCH(B244&amp;"*",DH_Head,0)))</f>
        <v>46667</v>
      </c>
      <c r="O244" s="35" t="n">
        <f aca="false">IF(W244&lt;&gt;"",W244,IF(U244="Helmond",IF(COUNTIFS(RC_Lane,B244,RC_Band,E244,RC_Transit,"&lt;&gt;")=0,"",SUMIFS(RC_Transit,RC_Lane,B244,RC_Band,E244)),IF(U244="Other","",IF(INDEX(RS_Transit,MATCH(B244,RS_Lane,0))="","",INDEX(RS_Transit,MATCH(B244,RS_Lane,0))))))</f>
        <v>1</v>
      </c>
      <c r="P244" s="36"/>
      <c r="Q244" s="31" t="n">
        <f aca="false">IF(P244&lt;&gt;"",P244,IF(O244="","",WORKDAY.INTL(L244,ROUNDUP(O244,0),INDEX(LR_Code,MATCH(B244,LR_Lane,0)),INDEX(DH_Table,0,MATCH(B244&amp;"*",DH_Head,0)))))</f>
        <v>46666</v>
      </c>
      <c r="R244" s="37" t="str">
        <f aca="false">IF(Q244="","",IF(Q244&lt;=N244,"Yes","No"))</f>
        <v>Yes</v>
      </c>
      <c r="S244" s="26" t="n">
        <f aca="false">IF(Q244="","",IF(Q244&lt;=N244,0,NETWORKDAYS.INTL(N244,Q244,INDEX(LR_Code,MATCH(B244,LR_Lane,0)),INDEX(DH_Table,0,MATCH(B244&amp;"*",DH_Head,0)))-1))</f>
        <v>0</v>
      </c>
      <c r="T244" s="4"/>
      <c r="U244" s="25" t="str">
        <f aca="false">IF(V244&lt;&gt;"",V244,IF(IFERROR(INDEX(RS_Flag,MATCH(B244,RS_Lane,0)),"")="Yes",IF(IFERROR(INDEX(RS_Loc,MATCH(B244,RS_Lane,0)),"")="","Regional stock",IFERROR(INDEX(RS_Loc,MATCH(B244,RS_Lane,0)),"")),"Helmond"))</f>
        <v>Helmond</v>
      </c>
      <c r="V244" s="17"/>
      <c r="W244" s="38"/>
      <c r="X244" s="39"/>
      <c r="Y244" s="40" t="n">
        <f aca="false">IF(X244&lt;&gt;"",X244,IF(U244="Helmond",IF(COUNTIFS(RC_Lane,B244,RC_Band,E244,RC_CostPS,"&gt;0")=0,"",SUMIFS(RC_CostPS,RC_Lane,B244,RC_Band,E244)*(1-SUMIFS(RC_Disc,RC_Lane,B244,RC_Band,E244))),IF(U244="Other","",IF(INDEX(RS_Rate,MATCH(B244,RS_Lane,0))="","",INDEX(RS_Rate,MATCH(B244,RS_Lane,0))))))</f>
        <v>72.485</v>
      </c>
    </row>
    <row r="245" customFormat="false" ht="15" hidden="false" customHeight="false" outlineLevel="0" collapsed="false">
      <c r="A245" s="3" t="s">
        <v>654</v>
      </c>
      <c r="B245" s="25" t="s">
        <v>108</v>
      </c>
      <c r="C245" s="8" t="s">
        <v>109</v>
      </c>
      <c r="D245" s="8" t="s">
        <v>272</v>
      </c>
      <c r="E245" s="8" t="s">
        <v>178</v>
      </c>
      <c r="F245" s="19" t="n">
        <v>13.8</v>
      </c>
      <c r="G245" s="33" t="n">
        <f aca="false">F245*0.006477</f>
        <v>0.0893826</v>
      </c>
      <c r="H245" s="19" t="n">
        <f aca="false">F245*1.079436</f>
        <v>14.8962168</v>
      </c>
      <c r="I245" s="18" t="n">
        <f aca="false">MAX(1,ROUNDUP(G245/0.096,0))</f>
        <v>1</v>
      </c>
      <c r="J245" s="31" t="n">
        <v>46666</v>
      </c>
      <c r="K245" s="34" t="n">
        <f aca="false">J245-WEEKDAY(J245,2)+1</f>
        <v>46664</v>
      </c>
      <c r="L245" s="31" t="n">
        <f aca="false">J245</f>
        <v>46666</v>
      </c>
      <c r="M245" s="26" t="n">
        <f aca="false">INDEX(LR_Target,MATCH(B245,LR_Lane,0))</f>
        <v>2</v>
      </c>
      <c r="N245" s="31" t="n">
        <f aca="false">WORKDAY.INTL(L245,M245,INDEX(LR_Code,MATCH(B245,LR_Lane,0)),INDEX(DH_Table,0,MATCH(B245&amp;"*",DH_Head,0)))</f>
        <v>46670</v>
      </c>
      <c r="O245" s="35" t="n">
        <f aca="false">IF(W245&lt;&gt;"",W245,IF(U245="Helmond",IF(COUNTIFS(RC_Lane,B245,RC_Band,E245,RC_Transit,"&lt;&gt;")=0,"",SUMIFS(RC_Transit,RC_Lane,B245,RC_Band,E245)),IF(U245="Other","",IF(INDEX(RS_Transit,MATCH(B245,RS_Lane,0))="","",INDEX(RS_Transit,MATCH(B245,RS_Lane,0))))))</f>
        <v>1</v>
      </c>
      <c r="P245" s="36"/>
      <c r="Q245" s="31" t="n">
        <f aca="false">IF(P245&lt;&gt;"",P245,IF(O245="","",WORKDAY.INTL(L245,ROUNDUP(O245,0),INDEX(LR_Code,MATCH(B245,LR_Lane,0)),INDEX(DH_Table,0,MATCH(B245&amp;"*",DH_Head,0)))))</f>
        <v>46667</v>
      </c>
      <c r="R245" s="37" t="str">
        <f aca="false">IF(Q245="","",IF(Q245&lt;=N245,"Yes","No"))</f>
        <v>Yes</v>
      </c>
      <c r="S245" s="26" t="n">
        <f aca="false">IF(Q245="","",IF(Q245&lt;=N245,0,NETWORKDAYS.INTL(N245,Q245,INDEX(LR_Code,MATCH(B245,LR_Lane,0)),INDEX(DH_Table,0,MATCH(B245&amp;"*",DH_Head,0)))-1))</f>
        <v>0</v>
      </c>
      <c r="T245" s="4"/>
      <c r="U245" s="25" t="str">
        <f aca="false">IF(V245&lt;&gt;"",V245,IF(IFERROR(INDEX(RS_Flag,MATCH(B245,RS_Lane,0)),"")="Yes",IF(IFERROR(INDEX(RS_Loc,MATCH(B245,RS_Lane,0)),"")="","Regional stock",IFERROR(INDEX(RS_Loc,MATCH(B245,RS_Lane,0)),"")),"Helmond"))</f>
        <v>Helmond</v>
      </c>
      <c r="V245" s="17"/>
      <c r="W245" s="38"/>
      <c r="X245" s="39"/>
      <c r="Y245" s="40" t="n">
        <f aca="false">IF(X245&lt;&gt;"",X245,IF(U245="Helmond",IF(COUNTIFS(RC_Lane,B245,RC_Band,E245,RC_CostPS,"&gt;0")=0,"",SUMIFS(RC_CostPS,RC_Lane,B245,RC_Band,E245)*(1-SUMIFS(RC_Disc,RC_Lane,B245,RC_Band,E245))),IF(U245="Other","",IF(INDEX(RS_Rate,MATCH(B245,RS_Lane,0))="","",INDEX(RS_Rate,MATCH(B245,RS_Lane,0))))))</f>
        <v>72.485</v>
      </c>
    </row>
    <row r="246" customFormat="false" ht="15" hidden="false" customHeight="false" outlineLevel="0" collapsed="false">
      <c r="A246" s="3" t="s">
        <v>655</v>
      </c>
      <c r="B246" s="25" t="s">
        <v>117</v>
      </c>
      <c r="C246" s="8" t="s">
        <v>118</v>
      </c>
      <c r="D246" s="8" t="s">
        <v>154</v>
      </c>
      <c r="E246" s="8" t="s">
        <v>180</v>
      </c>
      <c r="F246" s="19" t="n">
        <v>47.8</v>
      </c>
      <c r="G246" s="33" t="n">
        <f aca="false">F246*0.006477</f>
        <v>0.3096006</v>
      </c>
      <c r="H246" s="19" t="n">
        <f aca="false">F246*1.079436</f>
        <v>51.5970408</v>
      </c>
      <c r="I246" s="18" t="n">
        <f aca="false">MAX(1,ROUNDUP(G246/0.096,0))</f>
        <v>4</v>
      </c>
      <c r="J246" s="31" t="n">
        <v>46666</v>
      </c>
      <c r="K246" s="34" t="n">
        <f aca="false">J246-WEEKDAY(J246,2)+1</f>
        <v>46664</v>
      </c>
      <c r="L246" s="31" t="n">
        <f aca="false">J246</f>
        <v>46666</v>
      </c>
      <c r="M246" s="26" t="n">
        <f aca="false">INDEX(LR_Target,MATCH(B246,LR_Lane,0))</f>
        <v>2</v>
      </c>
      <c r="N246" s="31" t="n">
        <f aca="false">WORKDAY.INTL(L246,M246,INDEX(LR_Code,MATCH(B246,LR_Lane,0)),INDEX(DH_Table,0,MATCH(B246&amp;"*",DH_Head,0)))</f>
        <v>46670</v>
      </c>
      <c r="O246" s="35" t="n">
        <f aca="false">IF(W246&lt;&gt;"",W246,IF(U246="Helmond",IF(COUNTIFS(RC_Lane,B246,RC_Band,E246,RC_Transit,"&lt;&gt;")=0,"",SUMIFS(RC_Transit,RC_Lane,B246,RC_Band,E246)),IF(U246="Other","",IF(INDEX(RS_Transit,MATCH(B246,RS_Lane,0))="","",INDEX(RS_Transit,MATCH(B246,RS_Lane,0))))))</f>
        <v>2</v>
      </c>
      <c r="P246" s="36"/>
      <c r="Q246" s="31" t="n">
        <f aca="false">IF(P246&lt;&gt;"",P246,IF(O246="","",WORKDAY.INTL(L246,ROUNDUP(O246,0),INDEX(LR_Code,MATCH(B246,LR_Lane,0)),INDEX(DH_Table,0,MATCH(B246&amp;"*",DH_Head,0)))))</f>
        <v>46670</v>
      </c>
      <c r="R246" s="37" t="str">
        <f aca="false">IF(Q246="","",IF(Q246&lt;=N246,"Yes","No"))</f>
        <v>Yes</v>
      </c>
      <c r="S246" s="26" t="n">
        <f aca="false">IF(Q246="","",IF(Q246&lt;=N246,0,NETWORKDAYS.INTL(N246,Q246,INDEX(LR_Code,MATCH(B246,LR_Lane,0)),INDEX(DH_Table,0,MATCH(B246&amp;"*",DH_Head,0)))-1))</f>
        <v>0</v>
      </c>
      <c r="T246" s="4"/>
      <c r="U246" s="25" t="str">
        <f aca="false">IF(V246&lt;&gt;"",V246,IF(IFERROR(INDEX(RS_Flag,MATCH(B246,RS_Lane,0)),"")="Yes",IF(IFERROR(INDEX(RS_Loc,MATCH(B246,RS_Lane,0)),"")="","Regional stock",IFERROR(INDEX(RS_Loc,MATCH(B246,RS_Lane,0)),"")),"Helmond"))</f>
        <v>Helmond</v>
      </c>
      <c r="V246" s="17"/>
      <c r="W246" s="38"/>
      <c r="X246" s="39"/>
      <c r="Y246" s="40" t="n">
        <f aca="false">IF(X246&lt;&gt;"",X246,IF(U246="Helmond",IF(COUNTIFS(RC_Lane,B246,RC_Band,E246,RC_CostPS,"&gt;0")=0,"",SUMIFS(RC_CostPS,RC_Lane,B246,RC_Band,E246)*(1-SUMIFS(RC_Disc,RC_Lane,B246,RC_Band,E246))),IF(U246="Other","",IF(INDEX(RS_Rate,MATCH(B246,RS_Lane,0))="","",INDEX(RS_Rate,MATCH(B246,RS_Lane,0))))))</f>
        <v>154.40768</v>
      </c>
    </row>
    <row r="247" customFormat="false" ht="15" hidden="false" customHeight="false" outlineLevel="0" collapsed="false">
      <c r="A247" s="3" t="s">
        <v>656</v>
      </c>
      <c r="B247" s="25" t="s">
        <v>124</v>
      </c>
      <c r="C247" s="8" t="s">
        <v>125</v>
      </c>
      <c r="D247" s="8" t="s">
        <v>157</v>
      </c>
      <c r="E247" s="8" t="s">
        <v>180</v>
      </c>
      <c r="F247" s="19" t="n">
        <v>52</v>
      </c>
      <c r="G247" s="33" t="n">
        <f aca="false">F247*0.006477</f>
        <v>0.336804</v>
      </c>
      <c r="H247" s="19" t="n">
        <f aca="false">F247*1.079436</f>
        <v>56.130672</v>
      </c>
      <c r="I247" s="18" t="n">
        <f aca="false">MAX(1,ROUNDUP(G247/0.096,0))</f>
        <v>4</v>
      </c>
      <c r="J247" s="31" t="n">
        <v>46668</v>
      </c>
      <c r="K247" s="34" t="n">
        <f aca="false">J247-WEEKDAY(J247,2)+1</f>
        <v>46664</v>
      </c>
      <c r="L247" s="31" t="n">
        <f aca="false">J247</f>
        <v>46668</v>
      </c>
      <c r="M247" s="26" t="n">
        <f aca="false">INDEX(LR_Target,MATCH(B247,LR_Lane,0))</f>
        <v>5</v>
      </c>
      <c r="N247" s="31" t="n">
        <f aca="false">WORKDAY.INTL(L247,M247,INDEX(LR_Code,MATCH(B247,LR_Lane,0)),INDEX(DH_Table,0,MATCH(B247&amp;"*",DH_Head,0)))</f>
        <v>46674</v>
      </c>
      <c r="O247" s="35" t="n">
        <f aca="false">IF(W247&lt;&gt;"",W247,IF(U247="Helmond",IF(COUNTIFS(RC_Lane,B247,RC_Band,E247,RC_Transit,"&lt;&gt;")=0,"",SUMIFS(RC_Transit,RC_Lane,B247,RC_Band,E247)),IF(U247="Other","",IF(INDEX(RS_Transit,MATCH(B247,RS_Lane,0))="","",INDEX(RS_Transit,MATCH(B247,RS_Lane,0))))))</f>
        <v>2</v>
      </c>
      <c r="P247" s="36"/>
      <c r="Q247" s="31" t="n">
        <f aca="false">IF(P247&lt;&gt;"",P247,IF(O247="","",WORKDAY.INTL(L247,ROUNDUP(O247,0),INDEX(LR_Code,MATCH(B247,LR_Lane,0)),INDEX(DH_Table,0,MATCH(B247&amp;"*",DH_Head,0)))))</f>
        <v>46671</v>
      </c>
      <c r="R247" s="37" t="str">
        <f aca="false">IF(Q247="","",IF(Q247&lt;=N247,"Yes","No"))</f>
        <v>Yes</v>
      </c>
      <c r="S247" s="26" t="n">
        <f aca="false">IF(Q247="","",IF(Q247&lt;=N247,0,NETWORKDAYS.INTL(N247,Q247,INDEX(LR_Code,MATCH(B247,LR_Lane,0)),INDEX(DH_Table,0,MATCH(B247&amp;"*",DH_Head,0)))-1))</f>
        <v>0</v>
      </c>
      <c r="T247" s="4"/>
      <c r="U247" s="25" t="str">
        <f aca="false">IF(V247&lt;&gt;"",V247,IF(IFERROR(INDEX(RS_Flag,MATCH(B247,RS_Lane,0)),"")="Yes",IF(IFERROR(INDEX(RS_Loc,MATCH(B247,RS_Lane,0)),"")="","Regional stock",IFERROR(INDEX(RS_Loc,MATCH(B247,RS_Lane,0)),"")),"Helmond"))</f>
        <v>Helmond</v>
      </c>
      <c r="V247" s="17"/>
      <c r="W247" s="38"/>
      <c r="X247" s="39"/>
      <c r="Y247" s="40" t="n">
        <f aca="false">IF(X247&lt;&gt;"",X247,IF(U247="Helmond",IF(COUNTIFS(RC_Lane,B247,RC_Band,E247,RC_CostPS,"&gt;0")=0,"",SUMIFS(RC_CostPS,RC_Lane,B247,RC_Band,E247)*(1-SUMIFS(RC_Disc,RC_Lane,B247,RC_Band,E247))),IF(U247="Other","",IF(INDEX(RS_Rate,MATCH(B247,RS_Lane,0))="","",INDEX(RS_Rate,MATCH(B247,RS_Lane,0))))))</f>
        <v>152.5244</v>
      </c>
    </row>
    <row r="248" customFormat="false" ht="15" hidden="false" customHeight="false" outlineLevel="0" collapsed="false">
      <c r="A248" s="3" t="s">
        <v>657</v>
      </c>
      <c r="B248" s="25" t="s">
        <v>119</v>
      </c>
      <c r="C248" s="8" t="s">
        <v>120</v>
      </c>
      <c r="D248" s="8" t="s">
        <v>155</v>
      </c>
      <c r="E248" s="8" t="s">
        <v>178</v>
      </c>
      <c r="F248" s="19" t="n">
        <v>4.5</v>
      </c>
      <c r="G248" s="33" t="n">
        <f aca="false">F248*0.006477</f>
        <v>0.0291465</v>
      </c>
      <c r="H248" s="19" t="n">
        <f aca="false">F248*1.079436</f>
        <v>4.857462</v>
      </c>
      <c r="I248" s="18" t="n">
        <f aca="false">MAX(1,ROUNDUP(G248/0.096,0))</f>
        <v>1</v>
      </c>
      <c r="J248" s="31" t="n">
        <v>46671</v>
      </c>
      <c r="K248" s="34" t="n">
        <f aca="false">J248-WEEKDAY(J248,2)+1</f>
        <v>46671</v>
      </c>
      <c r="L248" s="31" t="n">
        <f aca="false">J248</f>
        <v>46671</v>
      </c>
      <c r="M248" s="26" t="n">
        <f aca="false">INDEX(LR_Target,MATCH(B248,LR_Lane,0))</f>
        <v>3</v>
      </c>
      <c r="N248" s="31" t="n">
        <f aca="false">WORKDAY.INTL(L248,M248,INDEX(LR_Code,MATCH(B248,LR_Lane,0)),INDEX(DH_Table,0,MATCH(B248&amp;"*",DH_Head,0)))</f>
        <v>46674</v>
      </c>
      <c r="O248" s="35" t="n">
        <f aca="false">IF(W248&lt;&gt;"",W248,IF(U248="Helmond",IF(COUNTIFS(RC_Lane,B248,RC_Band,E248,RC_Transit,"&lt;&gt;")=0,"",SUMIFS(RC_Transit,RC_Lane,B248,RC_Band,E248)),IF(U248="Other","",IF(INDEX(RS_Transit,MATCH(B248,RS_Lane,0))="","",INDEX(RS_Transit,MATCH(B248,RS_Lane,0))))))</f>
        <v>1</v>
      </c>
      <c r="P248" s="36"/>
      <c r="Q248" s="31" t="n">
        <f aca="false">IF(P248&lt;&gt;"",P248,IF(O248="","",WORKDAY.INTL(L248,ROUNDUP(O248,0),INDEX(LR_Code,MATCH(B248,LR_Lane,0)),INDEX(DH_Table,0,MATCH(B248&amp;"*",DH_Head,0)))))</f>
        <v>46672</v>
      </c>
      <c r="R248" s="37" t="str">
        <f aca="false">IF(Q248="","",IF(Q248&lt;=N248,"Yes","No"))</f>
        <v>Yes</v>
      </c>
      <c r="S248" s="26" t="n">
        <f aca="false">IF(Q248="","",IF(Q248&lt;=N248,0,NETWORKDAYS.INTL(N248,Q248,INDEX(LR_Code,MATCH(B248,LR_Lane,0)),INDEX(DH_Table,0,MATCH(B248&amp;"*",DH_Head,0)))-1))</f>
        <v>0</v>
      </c>
      <c r="T248" s="4"/>
      <c r="U248" s="25" t="str">
        <f aca="false">IF(V248&lt;&gt;"",V248,IF(IFERROR(INDEX(RS_Flag,MATCH(B248,RS_Lane,0)),"")="Yes",IF(IFERROR(INDEX(RS_Loc,MATCH(B248,RS_Lane,0)),"")="","Regional stock",IFERROR(INDEX(RS_Loc,MATCH(B248,RS_Lane,0)),"")),"Helmond"))</f>
        <v>Helmond</v>
      </c>
      <c r="V248" s="17"/>
      <c r="W248" s="38"/>
      <c r="X248" s="39"/>
      <c r="Y248" s="40" t="n">
        <f aca="false">IF(X248&lt;&gt;"",X248,IF(U248="Helmond",IF(COUNTIFS(RC_Lane,B248,RC_Band,E248,RC_CostPS,"&gt;0")=0,"",SUMIFS(RC_CostPS,RC_Lane,B248,RC_Band,E248)*(1-SUMIFS(RC_Disc,RC_Lane,B248,RC_Band,E248))),IF(U248="Other","",IF(INDEX(RS_Rate,MATCH(B248,RS_Lane,0))="","",INDEX(RS_Rate,MATCH(B248,RS_Lane,0))))))</f>
        <v>72.485</v>
      </c>
    </row>
    <row r="249" customFormat="false" ht="15" hidden="false" customHeight="false" outlineLevel="0" collapsed="false">
      <c r="A249" s="3" t="s">
        <v>658</v>
      </c>
      <c r="B249" s="25" t="s">
        <v>112</v>
      </c>
      <c r="C249" s="8" t="s">
        <v>113</v>
      </c>
      <c r="D249" s="8" t="s">
        <v>152</v>
      </c>
      <c r="E249" s="8" t="s">
        <v>178</v>
      </c>
      <c r="F249" s="19" t="n">
        <v>10.7</v>
      </c>
      <c r="G249" s="33" t="n">
        <f aca="false">F249*0.006477</f>
        <v>0.0693039</v>
      </c>
      <c r="H249" s="19" t="n">
        <f aca="false">F249*1.079436</f>
        <v>11.5499652</v>
      </c>
      <c r="I249" s="18" t="n">
        <f aca="false">MAX(1,ROUNDUP(G249/0.096,0))</f>
        <v>1</v>
      </c>
      <c r="J249" s="31" t="n">
        <v>46673</v>
      </c>
      <c r="K249" s="34" t="n">
        <f aca="false">J249-WEEKDAY(J249,2)+1</f>
        <v>46671</v>
      </c>
      <c r="L249" s="31" t="n">
        <f aca="false">J249</f>
        <v>46673</v>
      </c>
      <c r="M249" s="26" t="n">
        <f aca="false">INDEX(LR_Target,MATCH(B249,LR_Lane,0))</f>
        <v>2</v>
      </c>
      <c r="N249" s="31" t="n">
        <f aca="false">WORKDAY.INTL(L249,M249,INDEX(LR_Code,MATCH(B249,LR_Lane,0)),INDEX(DH_Table,0,MATCH(B249&amp;"*",DH_Head,0)))</f>
        <v>46675</v>
      </c>
      <c r="O249" s="35" t="n">
        <f aca="false">IF(W249&lt;&gt;"",W249,IF(U249="Helmond",IF(COUNTIFS(RC_Lane,B249,RC_Band,E249,RC_Transit,"&lt;&gt;")=0,"",SUMIFS(RC_Transit,RC_Lane,B249,RC_Band,E249)),IF(U249="Other","",IF(INDEX(RS_Transit,MATCH(B249,RS_Lane,0))="","",INDEX(RS_Transit,MATCH(B249,RS_Lane,0))))))</f>
        <v>1</v>
      </c>
      <c r="P249" s="36"/>
      <c r="Q249" s="31" t="n">
        <f aca="false">IF(P249&lt;&gt;"",P249,IF(O249="","",WORKDAY.INTL(L249,ROUNDUP(O249,0),INDEX(LR_Code,MATCH(B249,LR_Lane,0)),INDEX(DH_Table,0,MATCH(B249&amp;"*",DH_Head,0)))))</f>
        <v>46674</v>
      </c>
      <c r="R249" s="37" t="str">
        <f aca="false">IF(Q249="","",IF(Q249&lt;=N249,"Yes","No"))</f>
        <v>Yes</v>
      </c>
      <c r="S249" s="26" t="n">
        <f aca="false">IF(Q249="","",IF(Q249&lt;=N249,0,NETWORKDAYS.INTL(N249,Q249,INDEX(LR_Code,MATCH(B249,LR_Lane,0)),INDEX(DH_Table,0,MATCH(B249&amp;"*",DH_Head,0)))-1))</f>
        <v>0</v>
      </c>
      <c r="T249" s="4"/>
      <c r="U249" s="25" t="str">
        <f aca="false">IF(V249&lt;&gt;"",V249,IF(IFERROR(INDEX(RS_Flag,MATCH(B249,RS_Lane,0)),"")="Yes",IF(IFERROR(INDEX(RS_Loc,MATCH(B249,RS_Lane,0)),"")="","Regional stock",IFERROR(INDEX(RS_Loc,MATCH(B249,RS_Lane,0)),"")),"Helmond"))</f>
        <v>Helmond</v>
      </c>
      <c r="V249" s="17"/>
      <c r="W249" s="38"/>
      <c r="X249" s="39"/>
      <c r="Y249" s="40" t="n">
        <f aca="false">IF(X249&lt;&gt;"",X249,IF(U249="Helmond",IF(COUNTIFS(RC_Lane,B249,RC_Band,E249,RC_CostPS,"&gt;0")=0,"",SUMIFS(RC_CostPS,RC_Lane,B249,RC_Band,E249)*(1-SUMIFS(RC_Disc,RC_Lane,B249,RC_Band,E249))),IF(U249="Other","",IF(INDEX(RS_Rate,MATCH(B249,RS_Lane,0))="","",INDEX(RS_Rate,MATCH(B249,RS_Lane,0))))))</f>
        <v>72.485</v>
      </c>
    </row>
    <row r="250" customFormat="false" ht="15" hidden="false" customHeight="false" outlineLevel="0" collapsed="false">
      <c r="A250" s="3" t="s">
        <v>659</v>
      </c>
      <c r="B250" s="25" t="s">
        <v>108</v>
      </c>
      <c r="C250" s="8" t="s">
        <v>109</v>
      </c>
      <c r="D250" s="8" t="s">
        <v>272</v>
      </c>
      <c r="E250" s="8" t="s">
        <v>178</v>
      </c>
      <c r="F250" s="19" t="n">
        <v>8.8</v>
      </c>
      <c r="G250" s="33" t="n">
        <f aca="false">F250*0.006477</f>
        <v>0.0569976</v>
      </c>
      <c r="H250" s="19" t="n">
        <f aca="false">F250*1.079436</f>
        <v>9.4990368</v>
      </c>
      <c r="I250" s="18" t="n">
        <f aca="false">MAX(1,ROUNDUP(G250/0.096,0))</f>
        <v>1</v>
      </c>
      <c r="J250" s="31" t="n">
        <v>46674</v>
      </c>
      <c r="K250" s="34" t="n">
        <f aca="false">J250-WEEKDAY(J250,2)+1</f>
        <v>46671</v>
      </c>
      <c r="L250" s="31" t="n">
        <f aca="false">J250</f>
        <v>46674</v>
      </c>
      <c r="M250" s="26" t="n">
        <f aca="false">INDEX(LR_Target,MATCH(B250,LR_Lane,0))</f>
        <v>2</v>
      </c>
      <c r="N250" s="31" t="n">
        <f aca="false">WORKDAY.INTL(L250,M250,INDEX(LR_Code,MATCH(B250,LR_Lane,0)),INDEX(DH_Table,0,MATCH(B250&amp;"*",DH_Head,0)))</f>
        <v>46678</v>
      </c>
      <c r="O250" s="35" t="n">
        <f aca="false">IF(W250&lt;&gt;"",W250,IF(U250="Helmond",IF(COUNTIFS(RC_Lane,B250,RC_Band,E250,RC_Transit,"&lt;&gt;")=0,"",SUMIFS(RC_Transit,RC_Lane,B250,RC_Band,E250)),IF(U250="Other","",IF(INDEX(RS_Transit,MATCH(B250,RS_Lane,0))="","",INDEX(RS_Transit,MATCH(B250,RS_Lane,0))))))</f>
        <v>1</v>
      </c>
      <c r="P250" s="36"/>
      <c r="Q250" s="31" t="n">
        <f aca="false">IF(P250&lt;&gt;"",P250,IF(O250="","",WORKDAY.INTL(L250,ROUNDUP(O250,0),INDEX(LR_Code,MATCH(B250,LR_Lane,0)),INDEX(DH_Table,0,MATCH(B250&amp;"*",DH_Head,0)))))</f>
        <v>46677</v>
      </c>
      <c r="R250" s="37" t="str">
        <f aca="false">IF(Q250="","",IF(Q250&lt;=N250,"Yes","No"))</f>
        <v>Yes</v>
      </c>
      <c r="S250" s="26" t="n">
        <f aca="false">IF(Q250="","",IF(Q250&lt;=N250,0,NETWORKDAYS.INTL(N250,Q250,INDEX(LR_Code,MATCH(B250,LR_Lane,0)),INDEX(DH_Table,0,MATCH(B250&amp;"*",DH_Head,0)))-1))</f>
        <v>0</v>
      </c>
      <c r="T250" s="4"/>
      <c r="U250" s="25" t="str">
        <f aca="false">IF(V250&lt;&gt;"",V250,IF(IFERROR(INDEX(RS_Flag,MATCH(B250,RS_Lane,0)),"")="Yes",IF(IFERROR(INDEX(RS_Loc,MATCH(B250,RS_Lane,0)),"")="","Regional stock",IFERROR(INDEX(RS_Loc,MATCH(B250,RS_Lane,0)),"")),"Helmond"))</f>
        <v>Helmond</v>
      </c>
      <c r="V250" s="17"/>
      <c r="W250" s="38"/>
      <c r="X250" s="39"/>
      <c r="Y250" s="40" t="n">
        <f aca="false">IF(X250&lt;&gt;"",X250,IF(U250="Helmond",IF(COUNTIFS(RC_Lane,B250,RC_Band,E250,RC_CostPS,"&gt;0")=0,"",SUMIFS(RC_CostPS,RC_Lane,B250,RC_Band,E250)*(1-SUMIFS(RC_Disc,RC_Lane,B250,RC_Band,E250))),IF(U250="Other","",IF(INDEX(RS_Rate,MATCH(B250,RS_Lane,0))="","",INDEX(RS_Rate,MATCH(B250,RS_Lane,0))))))</f>
        <v>72.485</v>
      </c>
    </row>
    <row r="251" customFormat="false" ht="15" hidden="false" customHeight="false" outlineLevel="0" collapsed="false">
      <c r="A251" s="3" t="s">
        <v>660</v>
      </c>
      <c r="B251" s="25" t="s">
        <v>112</v>
      </c>
      <c r="C251" s="8" t="s">
        <v>113</v>
      </c>
      <c r="D251" s="8" t="s">
        <v>152</v>
      </c>
      <c r="E251" s="8" t="s">
        <v>178</v>
      </c>
      <c r="F251" s="19" t="n">
        <v>3.1</v>
      </c>
      <c r="G251" s="33" t="n">
        <f aca="false">F251*0.006477</f>
        <v>0.0200787</v>
      </c>
      <c r="H251" s="19" t="n">
        <f aca="false">F251*1.079436</f>
        <v>3.3462516</v>
      </c>
      <c r="I251" s="18" t="n">
        <f aca="false">MAX(1,ROUNDUP(G251/0.096,0))</f>
        <v>1</v>
      </c>
      <c r="J251" s="31" t="n">
        <v>46674</v>
      </c>
      <c r="K251" s="34" t="n">
        <f aca="false">J251-WEEKDAY(J251,2)+1</f>
        <v>46671</v>
      </c>
      <c r="L251" s="31" t="n">
        <f aca="false">J251</f>
        <v>46674</v>
      </c>
      <c r="M251" s="26" t="n">
        <f aca="false">INDEX(LR_Target,MATCH(B251,LR_Lane,0))</f>
        <v>2</v>
      </c>
      <c r="N251" s="31" t="n">
        <f aca="false">WORKDAY.INTL(L251,M251,INDEX(LR_Code,MATCH(B251,LR_Lane,0)),INDEX(DH_Table,0,MATCH(B251&amp;"*",DH_Head,0)))</f>
        <v>46678</v>
      </c>
      <c r="O251" s="35" t="n">
        <f aca="false">IF(W251&lt;&gt;"",W251,IF(U251="Helmond",IF(COUNTIFS(RC_Lane,B251,RC_Band,E251,RC_Transit,"&lt;&gt;")=0,"",SUMIFS(RC_Transit,RC_Lane,B251,RC_Band,E251)),IF(U251="Other","",IF(INDEX(RS_Transit,MATCH(B251,RS_Lane,0))="","",INDEX(RS_Transit,MATCH(B251,RS_Lane,0))))))</f>
        <v>1</v>
      </c>
      <c r="P251" s="36"/>
      <c r="Q251" s="31" t="n">
        <f aca="false">IF(P251&lt;&gt;"",P251,IF(O251="","",WORKDAY.INTL(L251,ROUNDUP(O251,0),INDEX(LR_Code,MATCH(B251,LR_Lane,0)),INDEX(DH_Table,0,MATCH(B251&amp;"*",DH_Head,0)))))</f>
        <v>46675</v>
      </c>
      <c r="R251" s="37" t="str">
        <f aca="false">IF(Q251="","",IF(Q251&lt;=N251,"Yes","No"))</f>
        <v>Yes</v>
      </c>
      <c r="S251" s="26" t="n">
        <f aca="false">IF(Q251="","",IF(Q251&lt;=N251,0,NETWORKDAYS.INTL(N251,Q251,INDEX(LR_Code,MATCH(B251,LR_Lane,0)),INDEX(DH_Table,0,MATCH(B251&amp;"*",DH_Head,0)))-1))</f>
        <v>0</v>
      </c>
      <c r="T251" s="4"/>
      <c r="U251" s="25" t="str">
        <f aca="false">IF(V251&lt;&gt;"",V251,IF(IFERROR(INDEX(RS_Flag,MATCH(B251,RS_Lane,0)),"")="Yes",IF(IFERROR(INDEX(RS_Loc,MATCH(B251,RS_Lane,0)),"")="","Regional stock",IFERROR(INDEX(RS_Loc,MATCH(B251,RS_Lane,0)),"")),"Helmond"))</f>
        <v>Helmond</v>
      </c>
      <c r="V251" s="17"/>
      <c r="W251" s="38"/>
      <c r="X251" s="39"/>
      <c r="Y251" s="40" t="n">
        <f aca="false">IF(X251&lt;&gt;"",X251,IF(U251="Helmond",IF(COUNTIFS(RC_Lane,B251,RC_Band,E251,RC_CostPS,"&gt;0")=0,"",SUMIFS(RC_CostPS,RC_Lane,B251,RC_Band,E251)*(1-SUMIFS(RC_Disc,RC_Lane,B251,RC_Band,E251))),IF(U251="Other","",IF(INDEX(RS_Rate,MATCH(B251,RS_Lane,0))="","",INDEX(RS_Rate,MATCH(B251,RS_Lane,0))))))</f>
        <v>72.485</v>
      </c>
    </row>
    <row r="252" customFormat="false" ht="15" hidden="false" customHeight="false" outlineLevel="0" collapsed="false">
      <c r="A252" s="3" t="s">
        <v>661</v>
      </c>
      <c r="B252" s="25" t="s">
        <v>117</v>
      </c>
      <c r="C252" s="8" t="s">
        <v>118</v>
      </c>
      <c r="D252" s="8" t="s">
        <v>154</v>
      </c>
      <c r="E252" s="8" t="s">
        <v>178</v>
      </c>
      <c r="F252" s="19" t="n">
        <v>5.6</v>
      </c>
      <c r="G252" s="33" t="n">
        <f aca="false">F252*0.006477</f>
        <v>0.0362712</v>
      </c>
      <c r="H252" s="19" t="n">
        <f aca="false">F252*1.079436</f>
        <v>6.0448416</v>
      </c>
      <c r="I252" s="18" t="n">
        <f aca="false">MAX(1,ROUNDUP(G252/0.096,0))</f>
        <v>1</v>
      </c>
      <c r="J252" s="31" t="n">
        <v>46674</v>
      </c>
      <c r="K252" s="34" t="n">
        <f aca="false">J252-WEEKDAY(J252,2)+1</f>
        <v>46671</v>
      </c>
      <c r="L252" s="31" t="n">
        <f aca="false">J252</f>
        <v>46674</v>
      </c>
      <c r="M252" s="26" t="n">
        <f aca="false">INDEX(LR_Target,MATCH(B252,LR_Lane,0))</f>
        <v>2</v>
      </c>
      <c r="N252" s="31" t="n">
        <f aca="false">WORKDAY.INTL(L252,M252,INDEX(LR_Code,MATCH(B252,LR_Lane,0)),INDEX(DH_Table,0,MATCH(B252&amp;"*",DH_Head,0)))</f>
        <v>46678</v>
      </c>
      <c r="O252" s="35" t="n">
        <f aca="false">IF(W252&lt;&gt;"",W252,IF(U252="Helmond",IF(COUNTIFS(RC_Lane,B252,RC_Band,E252,RC_Transit,"&lt;&gt;")=0,"",SUMIFS(RC_Transit,RC_Lane,B252,RC_Band,E252)),IF(U252="Other","",IF(INDEX(RS_Transit,MATCH(B252,RS_Lane,0))="","",INDEX(RS_Transit,MATCH(B252,RS_Lane,0))))))</f>
        <v>1</v>
      </c>
      <c r="P252" s="36"/>
      <c r="Q252" s="31" t="n">
        <f aca="false">IF(P252&lt;&gt;"",P252,IF(O252="","",WORKDAY.INTL(L252,ROUNDUP(O252,0),INDEX(LR_Code,MATCH(B252,LR_Lane,0)),INDEX(DH_Table,0,MATCH(B252&amp;"*",DH_Head,0)))))</f>
        <v>46677</v>
      </c>
      <c r="R252" s="37" t="str">
        <f aca="false">IF(Q252="","",IF(Q252&lt;=N252,"Yes","No"))</f>
        <v>Yes</v>
      </c>
      <c r="S252" s="26" t="n">
        <f aca="false">IF(Q252="","",IF(Q252&lt;=N252,0,NETWORKDAYS.INTL(N252,Q252,INDEX(LR_Code,MATCH(B252,LR_Lane,0)),INDEX(DH_Table,0,MATCH(B252&amp;"*",DH_Head,0)))-1))</f>
        <v>0</v>
      </c>
      <c r="T252" s="4"/>
      <c r="U252" s="25" t="str">
        <f aca="false">IF(V252&lt;&gt;"",V252,IF(IFERROR(INDEX(RS_Flag,MATCH(B252,RS_Lane,0)),"")="Yes",IF(IFERROR(INDEX(RS_Loc,MATCH(B252,RS_Lane,0)),"")="","Regional stock",IFERROR(INDEX(RS_Loc,MATCH(B252,RS_Lane,0)),"")),"Helmond"))</f>
        <v>Helmond</v>
      </c>
      <c r="V252" s="17"/>
      <c r="W252" s="38"/>
      <c r="X252" s="39"/>
      <c r="Y252" s="40" t="n">
        <f aca="false">IF(X252&lt;&gt;"",X252,IF(U252="Helmond",IF(COUNTIFS(RC_Lane,B252,RC_Band,E252,RC_CostPS,"&gt;0")=0,"",SUMIFS(RC_CostPS,RC_Lane,B252,RC_Band,E252)*(1-SUMIFS(RC_Disc,RC_Lane,B252,RC_Band,E252))),IF(U252="Other","",IF(INDEX(RS_Rate,MATCH(B252,RS_Lane,0))="","",INDEX(RS_Rate,MATCH(B252,RS_Lane,0))))))</f>
        <v>72.485</v>
      </c>
    </row>
    <row r="253" customFormat="false" ht="15" hidden="false" customHeight="false" outlineLevel="0" collapsed="false">
      <c r="A253" s="3" t="s">
        <v>662</v>
      </c>
      <c r="B253" s="25" t="s">
        <v>108</v>
      </c>
      <c r="C253" s="8" t="s">
        <v>109</v>
      </c>
      <c r="D253" s="8" t="s">
        <v>272</v>
      </c>
      <c r="E253" s="8" t="s">
        <v>178</v>
      </c>
      <c r="F253" s="19" t="n">
        <v>7.3</v>
      </c>
      <c r="G253" s="33" t="n">
        <f aca="false">F253*0.006477</f>
        <v>0.0472821</v>
      </c>
      <c r="H253" s="19" t="n">
        <f aca="false">F253*1.079436</f>
        <v>7.8798828</v>
      </c>
      <c r="I253" s="18" t="n">
        <f aca="false">MAX(1,ROUNDUP(G253/0.096,0))</f>
        <v>1</v>
      </c>
      <c r="J253" s="31" t="n">
        <v>46675</v>
      </c>
      <c r="K253" s="34" t="n">
        <f aca="false">J253-WEEKDAY(J253,2)+1</f>
        <v>46671</v>
      </c>
      <c r="L253" s="31" t="n">
        <f aca="false">J253</f>
        <v>46675</v>
      </c>
      <c r="M253" s="26" t="n">
        <f aca="false">INDEX(LR_Target,MATCH(B253,LR_Lane,0))</f>
        <v>2</v>
      </c>
      <c r="N253" s="31" t="n">
        <f aca="false">WORKDAY.INTL(L253,M253,INDEX(LR_Code,MATCH(B253,LR_Lane,0)),INDEX(DH_Table,0,MATCH(B253&amp;"*",DH_Head,0)))</f>
        <v>46678</v>
      </c>
      <c r="O253" s="35" t="n">
        <f aca="false">IF(W253&lt;&gt;"",W253,IF(U253="Helmond",IF(COUNTIFS(RC_Lane,B253,RC_Band,E253,RC_Transit,"&lt;&gt;")=0,"",SUMIFS(RC_Transit,RC_Lane,B253,RC_Band,E253)),IF(U253="Other","",IF(INDEX(RS_Transit,MATCH(B253,RS_Lane,0))="","",INDEX(RS_Transit,MATCH(B253,RS_Lane,0))))))</f>
        <v>1</v>
      </c>
      <c r="P253" s="36"/>
      <c r="Q253" s="31" t="n">
        <f aca="false">IF(P253&lt;&gt;"",P253,IF(O253="","",WORKDAY.INTL(L253,ROUNDUP(O253,0),INDEX(LR_Code,MATCH(B253,LR_Lane,0)),INDEX(DH_Table,0,MATCH(B253&amp;"*",DH_Head,0)))))</f>
        <v>46677</v>
      </c>
      <c r="R253" s="37" t="str">
        <f aca="false">IF(Q253="","",IF(Q253&lt;=N253,"Yes","No"))</f>
        <v>Yes</v>
      </c>
      <c r="S253" s="26" t="n">
        <f aca="false">IF(Q253="","",IF(Q253&lt;=N253,0,NETWORKDAYS.INTL(N253,Q253,INDEX(LR_Code,MATCH(B253,LR_Lane,0)),INDEX(DH_Table,0,MATCH(B253&amp;"*",DH_Head,0)))-1))</f>
        <v>0</v>
      </c>
      <c r="T253" s="4"/>
      <c r="U253" s="25" t="str">
        <f aca="false">IF(V253&lt;&gt;"",V253,IF(IFERROR(INDEX(RS_Flag,MATCH(B253,RS_Lane,0)),"")="Yes",IF(IFERROR(INDEX(RS_Loc,MATCH(B253,RS_Lane,0)),"")="","Regional stock",IFERROR(INDEX(RS_Loc,MATCH(B253,RS_Lane,0)),"")),"Helmond"))</f>
        <v>Helmond</v>
      </c>
      <c r="V253" s="17"/>
      <c r="W253" s="38"/>
      <c r="X253" s="39"/>
      <c r="Y253" s="40" t="n">
        <f aca="false">IF(X253&lt;&gt;"",X253,IF(U253="Helmond",IF(COUNTIFS(RC_Lane,B253,RC_Band,E253,RC_CostPS,"&gt;0")=0,"",SUMIFS(RC_CostPS,RC_Lane,B253,RC_Band,E253)*(1-SUMIFS(RC_Disc,RC_Lane,B253,RC_Band,E253))),IF(U253="Other","",IF(INDEX(RS_Rate,MATCH(B253,RS_Lane,0))="","",INDEX(RS_Rate,MATCH(B253,RS_Lane,0))))))</f>
        <v>72.485</v>
      </c>
    </row>
    <row r="254" customFormat="false" ht="15" hidden="false" customHeight="false" outlineLevel="0" collapsed="false">
      <c r="A254" s="3" t="s">
        <v>663</v>
      </c>
      <c r="B254" s="25" t="s">
        <v>108</v>
      </c>
      <c r="C254" s="8" t="s">
        <v>109</v>
      </c>
      <c r="D254" s="8" t="s">
        <v>270</v>
      </c>
      <c r="E254" s="8" t="s">
        <v>183</v>
      </c>
      <c r="F254" s="19" t="n">
        <v>746.5</v>
      </c>
      <c r="G254" s="33" t="n">
        <f aca="false">F254*0.006477</f>
        <v>4.8350805</v>
      </c>
      <c r="H254" s="19" t="n">
        <f aca="false">F254*1.079436</f>
        <v>805.798974</v>
      </c>
      <c r="I254" s="18" t="n">
        <f aca="false">MAX(1,ROUNDUP(G254/0.096,0))</f>
        <v>51</v>
      </c>
      <c r="J254" s="31" t="n">
        <v>46678</v>
      </c>
      <c r="K254" s="34" t="n">
        <f aca="false">J254-WEEKDAY(J254,2)+1</f>
        <v>46678</v>
      </c>
      <c r="L254" s="31" t="n">
        <f aca="false">J254</f>
        <v>46678</v>
      </c>
      <c r="M254" s="26" t="n">
        <f aca="false">INDEX(LR_Target,MATCH(B254,LR_Lane,0))</f>
        <v>2</v>
      </c>
      <c r="N254" s="31" t="n">
        <f aca="false">WORKDAY.INTL(L254,M254,INDEX(LR_Code,MATCH(B254,LR_Lane,0)),INDEX(DH_Table,0,MATCH(B254&amp;"*",DH_Head,0)))</f>
        <v>46680</v>
      </c>
      <c r="O254" s="35" t="n">
        <f aca="false">IF(W254&lt;&gt;"",W254,IF(U254="Helmond",IF(COUNTIFS(RC_Lane,B254,RC_Band,E254,RC_Transit,"&lt;&gt;")=0,"",SUMIFS(RC_Transit,RC_Lane,B254,RC_Band,E254)),IF(U254="Other","",IF(INDEX(RS_Transit,MATCH(B254,RS_Lane,0))="","",INDEX(RS_Transit,MATCH(B254,RS_Lane,0))))))</f>
        <v>4</v>
      </c>
      <c r="P254" s="36"/>
      <c r="Q254" s="31" t="n">
        <f aca="false">IF(P254&lt;&gt;"",P254,IF(O254="","",WORKDAY.INTL(L254,ROUNDUP(O254,0),INDEX(LR_Code,MATCH(B254,LR_Lane,0)),INDEX(DH_Table,0,MATCH(B254&amp;"*",DH_Head,0)))))</f>
        <v>46684</v>
      </c>
      <c r="R254" s="37" t="str">
        <f aca="false">IF(Q254="","",IF(Q254&lt;=N254,"Yes","No"))</f>
        <v>No</v>
      </c>
      <c r="S254" s="26" t="n">
        <f aca="false">IF(Q254="","",IF(Q254&lt;=N254,0,NETWORKDAYS.INTL(N254,Q254,INDEX(LR_Code,MATCH(B254,LR_Lane,0)),INDEX(DH_Table,0,MATCH(B254&amp;"*",DH_Head,0)))-1))</f>
        <v>2</v>
      </c>
      <c r="T254" s="4"/>
      <c r="U254" s="25" t="str">
        <f aca="false">IF(V254&lt;&gt;"",V254,IF(IFERROR(INDEX(RS_Flag,MATCH(B254,RS_Lane,0)),"")="Yes",IF(IFERROR(INDEX(RS_Loc,MATCH(B254,RS_Lane,0)),"")="","Regional stock",IFERROR(INDEX(RS_Loc,MATCH(B254,RS_Lane,0)),"")),"Helmond"))</f>
        <v>Helmond</v>
      </c>
      <c r="V254" s="17"/>
      <c r="W254" s="38"/>
      <c r="X254" s="39"/>
      <c r="Y254" s="40" t="n">
        <f aca="false">IF(X254&lt;&gt;"",X254,IF(U254="Helmond",IF(COUNTIFS(RC_Lane,B254,RC_Band,E254,RC_CostPS,"&gt;0")=0,"",SUMIFS(RC_CostPS,RC_Lane,B254,RC_Band,E254)*(1-SUMIFS(RC_Disc,RC_Lane,B254,RC_Band,E254))),IF(U254="Other","",IF(INDEX(RS_Rate,MATCH(B254,RS_Lane,0))="","",INDEX(RS_Rate,MATCH(B254,RS_Lane,0))))))</f>
        <v>3051.4304</v>
      </c>
    </row>
    <row r="255" customFormat="false" ht="15" hidden="false" customHeight="false" outlineLevel="0" collapsed="false">
      <c r="A255" s="3" t="s">
        <v>664</v>
      </c>
      <c r="B255" s="25" t="s">
        <v>115</v>
      </c>
      <c r="C255" s="8" t="s">
        <v>116</v>
      </c>
      <c r="D255" s="8" t="s">
        <v>153</v>
      </c>
      <c r="E255" s="8" t="s">
        <v>182</v>
      </c>
      <c r="F255" s="19" t="n">
        <v>290</v>
      </c>
      <c r="G255" s="33" t="n">
        <f aca="false">F255*0.006477</f>
        <v>1.87833</v>
      </c>
      <c r="H255" s="19" t="n">
        <f aca="false">F255*1.079436</f>
        <v>313.03644</v>
      </c>
      <c r="I255" s="18" t="n">
        <f aca="false">MAX(1,ROUNDUP(G255/0.096,0))</f>
        <v>20</v>
      </c>
      <c r="J255" s="31" t="n">
        <v>46678</v>
      </c>
      <c r="K255" s="34" t="n">
        <f aca="false">J255-WEEKDAY(J255,2)+1</f>
        <v>46678</v>
      </c>
      <c r="L255" s="31" t="n">
        <f aca="false">J255</f>
        <v>46678</v>
      </c>
      <c r="M255" s="26" t="n">
        <f aca="false">INDEX(LR_Target,MATCH(B255,LR_Lane,0))</f>
        <v>2</v>
      </c>
      <c r="N255" s="31" t="n">
        <f aca="false">WORKDAY.INTL(L255,M255,INDEX(LR_Code,MATCH(B255,LR_Lane,0)),INDEX(DH_Table,0,MATCH(B255&amp;"*",DH_Head,0)))</f>
        <v>46680</v>
      </c>
      <c r="O255" s="35" t="n">
        <f aca="false">IF(W255&lt;&gt;"",W255,IF(U255="Helmond",IF(COUNTIFS(RC_Lane,B255,RC_Band,E255,RC_Transit,"&lt;&gt;")=0,"",SUMIFS(RC_Transit,RC_Lane,B255,RC_Band,E255)),IF(U255="Other","",IF(INDEX(RS_Transit,MATCH(B255,RS_Lane,0))="","",INDEX(RS_Transit,MATCH(B255,RS_Lane,0))))))</f>
        <v>3</v>
      </c>
      <c r="P255" s="36"/>
      <c r="Q255" s="31" t="n">
        <f aca="false">IF(P255&lt;&gt;"",P255,IF(O255="","",WORKDAY.INTL(L255,ROUNDUP(O255,0),INDEX(LR_Code,MATCH(B255,LR_Lane,0)),INDEX(DH_Table,0,MATCH(B255&amp;"*",DH_Head,0)))))</f>
        <v>46681</v>
      </c>
      <c r="R255" s="37" t="str">
        <f aca="false">IF(Q255="","",IF(Q255&lt;=N255,"Yes","No"))</f>
        <v>No</v>
      </c>
      <c r="S255" s="26" t="n">
        <f aca="false">IF(Q255="","",IF(Q255&lt;=N255,0,NETWORKDAYS.INTL(N255,Q255,INDEX(LR_Code,MATCH(B255,LR_Lane,0)),INDEX(DH_Table,0,MATCH(B255&amp;"*",DH_Head,0)))-1))</f>
        <v>1</v>
      </c>
      <c r="T255" s="4"/>
      <c r="U255" s="25" t="str">
        <f aca="false">IF(V255&lt;&gt;"",V255,IF(IFERROR(INDEX(RS_Flag,MATCH(B255,RS_Lane,0)),"")="Yes",IF(IFERROR(INDEX(RS_Loc,MATCH(B255,RS_Lane,0)),"")="","Regional stock",IFERROR(INDEX(RS_Loc,MATCH(B255,RS_Lane,0)),"")),"Helmond"))</f>
        <v>Helmond</v>
      </c>
      <c r="V255" s="17"/>
      <c r="W255" s="38"/>
      <c r="X255" s="39"/>
      <c r="Y255" s="40" t="n">
        <f aca="false">IF(X255&lt;&gt;"",X255,IF(U255="Helmond",IF(COUNTIFS(RC_Lane,B255,RC_Band,E255,RC_CostPS,"&gt;0")=0,"",SUMIFS(RC_CostPS,RC_Lane,B255,RC_Band,E255)*(1-SUMIFS(RC_Disc,RC_Lane,B255,RC_Band,E255))),IF(U255="Other","",IF(INDEX(RS_Rate,MATCH(B255,RS_Lane,0))="","",INDEX(RS_Rate,MATCH(B255,RS_Lane,0))))))</f>
        <v>1271.20393</v>
      </c>
    </row>
    <row r="256" customFormat="false" ht="15" hidden="false" customHeight="false" outlineLevel="0" collapsed="false">
      <c r="A256" s="3" t="s">
        <v>665</v>
      </c>
      <c r="B256" s="25" t="s">
        <v>126</v>
      </c>
      <c r="C256" s="8" t="s">
        <v>127</v>
      </c>
      <c r="D256" s="8" t="s">
        <v>158</v>
      </c>
      <c r="E256" s="8" t="s">
        <v>178</v>
      </c>
      <c r="F256" s="19" t="n">
        <v>8.8</v>
      </c>
      <c r="G256" s="33" t="n">
        <f aca="false">F256*0.006477</f>
        <v>0.0569976</v>
      </c>
      <c r="H256" s="19" t="n">
        <f aca="false">F256*1.079436</f>
        <v>9.4990368</v>
      </c>
      <c r="I256" s="18" t="n">
        <f aca="false">MAX(1,ROUNDUP(G256/0.096,0))</f>
        <v>1</v>
      </c>
      <c r="J256" s="31" t="n">
        <v>46678</v>
      </c>
      <c r="K256" s="34" t="n">
        <f aca="false">J256-WEEKDAY(J256,2)+1</f>
        <v>46678</v>
      </c>
      <c r="L256" s="31" t="n">
        <f aca="false">J256</f>
        <v>46678</v>
      </c>
      <c r="M256" s="26" t="n">
        <f aca="false">INDEX(LR_Target,MATCH(B256,LR_Lane,0))</f>
        <v>4</v>
      </c>
      <c r="N256" s="31" t="n">
        <f aca="false">WORKDAY.INTL(L256,M256,INDEX(LR_Code,MATCH(B256,LR_Lane,0)),INDEX(DH_Table,0,MATCH(B256&amp;"*",DH_Head,0)))</f>
        <v>46684</v>
      </c>
      <c r="O256" s="35" t="n">
        <f aca="false">IF(W256&lt;&gt;"",W256,IF(U256="Helmond",IF(COUNTIFS(RC_Lane,B256,RC_Band,E256,RC_Transit,"&lt;&gt;")=0,"",SUMIFS(RC_Transit,RC_Lane,B256,RC_Band,E256)),IF(U256="Other","",IF(INDEX(RS_Transit,MATCH(B256,RS_Lane,0))="","",INDEX(RS_Transit,MATCH(B256,RS_Lane,0))))))</f>
        <v>1</v>
      </c>
      <c r="P256" s="36"/>
      <c r="Q256" s="31" t="n">
        <f aca="false">IF(P256&lt;&gt;"",P256,IF(O256="","",WORKDAY.INTL(L256,ROUNDUP(O256,0),INDEX(LR_Code,MATCH(B256,LR_Lane,0)),INDEX(DH_Table,0,MATCH(B256&amp;"*",DH_Head,0)))))</f>
        <v>46679</v>
      </c>
      <c r="R256" s="37" t="str">
        <f aca="false">IF(Q256="","",IF(Q256&lt;=N256,"Yes","No"))</f>
        <v>Yes</v>
      </c>
      <c r="S256" s="26" t="n">
        <f aca="false">IF(Q256="","",IF(Q256&lt;=N256,0,NETWORKDAYS.INTL(N256,Q256,INDEX(LR_Code,MATCH(B256,LR_Lane,0)),INDEX(DH_Table,0,MATCH(B256&amp;"*",DH_Head,0)))-1))</f>
        <v>0</v>
      </c>
      <c r="T256" s="4"/>
      <c r="U256" s="25" t="str">
        <f aca="false">IF(V256&lt;&gt;"",V256,IF(IFERROR(INDEX(RS_Flag,MATCH(B256,RS_Lane,0)),"")="Yes",IF(IFERROR(INDEX(RS_Loc,MATCH(B256,RS_Lane,0)),"")="","Regional stock",IFERROR(INDEX(RS_Loc,MATCH(B256,RS_Lane,0)),"")),"Helmond"))</f>
        <v>Helmond</v>
      </c>
      <c r="V256" s="17"/>
      <c r="W256" s="38"/>
      <c r="X256" s="39"/>
      <c r="Y256" s="40" t="n">
        <f aca="false">IF(X256&lt;&gt;"",X256,IF(U256="Helmond",IF(COUNTIFS(RC_Lane,B256,RC_Band,E256,RC_CostPS,"&gt;0")=0,"",SUMIFS(RC_CostPS,RC_Lane,B256,RC_Band,E256)*(1-SUMIFS(RC_Disc,RC_Lane,B256,RC_Band,E256))),IF(U256="Other","",IF(INDEX(RS_Rate,MATCH(B256,RS_Lane,0))="","",INDEX(RS_Rate,MATCH(B256,RS_Lane,0))))))</f>
        <v>72.485</v>
      </c>
    </row>
    <row r="257" customFormat="false" ht="15" hidden="false" customHeight="false" outlineLevel="0" collapsed="false">
      <c r="A257" s="3" t="s">
        <v>666</v>
      </c>
      <c r="B257" s="25" t="s">
        <v>108</v>
      </c>
      <c r="C257" s="8" t="s">
        <v>109</v>
      </c>
      <c r="D257" s="8" t="s">
        <v>272</v>
      </c>
      <c r="E257" s="8" t="s">
        <v>182</v>
      </c>
      <c r="F257" s="19" t="n">
        <v>388.3</v>
      </c>
      <c r="G257" s="33" t="n">
        <f aca="false">F257*0.006477</f>
        <v>2.5150191</v>
      </c>
      <c r="H257" s="19" t="n">
        <f aca="false">F257*1.079436</f>
        <v>419.1449988</v>
      </c>
      <c r="I257" s="18" t="n">
        <f aca="false">MAX(1,ROUNDUP(G257/0.096,0))</f>
        <v>27</v>
      </c>
      <c r="J257" s="31" t="n">
        <v>46679</v>
      </c>
      <c r="K257" s="34" t="n">
        <f aca="false">J257-WEEKDAY(J257,2)+1</f>
        <v>46678</v>
      </c>
      <c r="L257" s="31" t="n">
        <f aca="false">J257</f>
        <v>46679</v>
      </c>
      <c r="M257" s="26" t="n">
        <f aca="false">INDEX(LR_Target,MATCH(B257,LR_Lane,0))</f>
        <v>2</v>
      </c>
      <c r="N257" s="31" t="n">
        <f aca="false">WORKDAY.INTL(L257,M257,INDEX(LR_Code,MATCH(B257,LR_Lane,0)),INDEX(DH_Table,0,MATCH(B257&amp;"*",DH_Head,0)))</f>
        <v>46681</v>
      </c>
      <c r="O257" s="35" t="n">
        <f aca="false">IF(W257&lt;&gt;"",W257,IF(U257="Helmond",IF(COUNTIFS(RC_Lane,B257,RC_Band,E257,RC_Transit,"&lt;&gt;")=0,"",SUMIFS(RC_Transit,RC_Lane,B257,RC_Band,E257)),IF(U257="Other","",IF(INDEX(RS_Transit,MATCH(B257,RS_Lane,0))="","",INDEX(RS_Transit,MATCH(B257,RS_Lane,0))))))</f>
        <v>3</v>
      </c>
      <c r="P257" s="36"/>
      <c r="Q257" s="31" t="n">
        <f aca="false">IF(P257&lt;&gt;"",P257,IF(O257="","",WORKDAY.INTL(L257,ROUNDUP(O257,0),INDEX(LR_Code,MATCH(B257,LR_Lane,0)),INDEX(DH_Table,0,MATCH(B257&amp;"*",DH_Head,0)))))</f>
        <v>46684</v>
      </c>
      <c r="R257" s="37" t="str">
        <f aca="false">IF(Q257="","",IF(Q257&lt;=N257,"Yes","No"))</f>
        <v>No</v>
      </c>
      <c r="S257" s="26" t="n">
        <f aca="false">IF(Q257="","",IF(Q257&lt;=N257,0,NETWORKDAYS.INTL(N257,Q257,INDEX(LR_Code,MATCH(B257,LR_Lane,0)),INDEX(DH_Table,0,MATCH(B257&amp;"*",DH_Head,0)))-1))</f>
        <v>1</v>
      </c>
      <c r="T257" s="4"/>
      <c r="U257" s="25" t="str">
        <f aca="false">IF(V257&lt;&gt;"",V257,IF(IFERROR(INDEX(RS_Flag,MATCH(B257,RS_Lane,0)),"")="Yes",IF(IFERROR(INDEX(RS_Loc,MATCH(B257,RS_Lane,0)),"")="","Regional stock",IFERROR(INDEX(RS_Loc,MATCH(B257,RS_Lane,0)),"")),"Helmond"))</f>
        <v>Helmond</v>
      </c>
      <c r="V257" s="17"/>
      <c r="W257" s="38"/>
      <c r="X257" s="39"/>
      <c r="Y257" s="40" t="n">
        <f aca="false">IF(X257&lt;&gt;"",X257,IF(U257="Helmond",IF(COUNTIFS(RC_Lane,B257,RC_Band,E257,RC_CostPS,"&gt;0")=0,"",SUMIFS(RC_CostPS,RC_Lane,B257,RC_Band,E257)*(1-SUMIFS(RC_Disc,RC_Lane,B257,RC_Band,E257))),IF(U257="Other","",IF(INDEX(RS_Rate,MATCH(B257,RS_Lane,0))="","",INDEX(RS_Rate,MATCH(B257,RS_Lane,0))))))</f>
        <v>1009.7531</v>
      </c>
    </row>
    <row r="258" customFormat="false" ht="15" hidden="false" customHeight="false" outlineLevel="0" collapsed="false">
      <c r="A258" s="3" t="s">
        <v>667</v>
      </c>
      <c r="B258" s="25" t="s">
        <v>121</v>
      </c>
      <c r="C258" s="8" t="s">
        <v>122</v>
      </c>
      <c r="D258" s="8" t="s">
        <v>278</v>
      </c>
      <c r="E258" s="8" t="s">
        <v>182</v>
      </c>
      <c r="F258" s="19" t="n">
        <v>153.7</v>
      </c>
      <c r="G258" s="33" t="n">
        <f aca="false">F258*0.006477</f>
        <v>0.9955149</v>
      </c>
      <c r="H258" s="19" t="n">
        <f aca="false">F258*1.079436</f>
        <v>165.9093132</v>
      </c>
      <c r="I258" s="18" t="n">
        <f aca="false">MAX(1,ROUNDUP(G258/0.096,0))</f>
        <v>11</v>
      </c>
      <c r="J258" s="31" t="n">
        <v>46679</v>
      </c>
      <c r="K258" s="34" t="n">
        <f aca="false">J258-WEEKDAY(J258,2)+1</f>
        <v>46678</v>
      </c>
      <c r="L258" s="31" t="n">
        <f aca="false">J258</f>
        <v>46679</v>
      </c>
      <c r="M258" s="26" t="n">
        <f aca="false">INDEX(LR_Target,MATCH(B258,LR_Lane,0))</f>
        <v>3</v>
      </c>
      <c r="N258" s="31" t="n">
        <f aca="false">WORKDAY.INTL(L258,M258,INDEX(LR_Code,MATCH(B258,LR_Lane,0)),INDEX(DH_Table,0,MATCH(B258&amp;"*",DH_Head,0)))</f>
        <v>46682</v>
      </c>
      <c r="O258" s="35" t="n">
        <f aca="false">IF(W258&lt;&gt;"",W258,IF(U258="Helmond",IF(COUNTIFS(RC_Lane,B258,RC_Band,E258,RC_Transit,"&lt;&gt;")=0,"",SUMIFS(RC_Transit,RC_Lane,B258,RC_Band,E258)),IF(U258="Other","",IF(INDEX(RS_Transit,MATCH(B258,RS_Lane,0))="","",INDEX(RS_Transit,MATCH(B258,RS_Lane,0))))))</f>
        <v>3</v>
      </c>
      <c r="P258" s="36"/>
      <c r="Q258" s="31" t="n">
        <f aca="false">IF(P258&lt;&gt;"",P258,IF(O258="","",WORKDAY.INTL(L258,ROUNDUP(O258,0),INDEX(LR_Code,MATCH(B258,LR_Lane,0)),INDEX(DH_Table,0,MATCH(B258&amp;"*",DH_Head,0)))))</f>
        <v>46682</v>
      </c>
      <c r="R258" s="37" t="str">
        <f aca="false">IF(Q258="","",IF(Q258&lt;=N258,"Yes","No"))</f>
        <v>Yes</v>
      </c>
      <c r="S258" s="26" t="n">
        <f aca="false">IF(Q258="","",IF(Q258&lt;=N258,0,NETWORKDAYS.INTL(N258,Q258,INDEX(LR_Code,MATCH(B258,LR_Lane,0)),INDEX(DH_Table,0,MATCH(B258&amp;"*",DH_Head,0)))-1))</f>
        <v>0</v>
      </c>
      <c r="T258" s="4"/>
      <c r="U258" s="25" t="str">
        <f aca="false">IF(V258&lt;&gt;"",V258,IF(IFERROR(INDEX(RS_Flag,MATCH(B258,RS_Lane,0)),"")="Yes",IF(IFERROR(INDEX(RS_Loc,MATCH(B258,RS_Lane,0)),"")="","Regional stock",IFERROR(INDEX(RS_Loc,MATCH(B258,RS_Lane,0)),"")),"Helmond"))</f>
        <v>Helmond</v>
      </c>
      <c r="V258" s="17"/>
      <c r="W258" s="38"/>
      <c r="X258" s="39"/>
      <c r="Y258" s="40" t="n">
        <f aca="false">IF(X258&lt;&gt;"",X258,IF(U258="Helmond",IF(COUNTIFS(RC_Lane,B258,RC_Band,E258,RC_CostPS,"&gt;0")=0,"",SUMIFS(RC_CostPS,RC_Lane,B258,RC_Band,E258)*(1-SUMIFS(RC_Disc,RC_Lane,B258,RC_Band,E258))),IF(U258="Other","",IF(INDEX(RS_Rate,MATCH(B258,RS_Lane,0))="","",INDEX(RS_Rate,MATCH(B258,RS_Lane,0))))))</f>
        <v>691.60209</v>
      </c>
    </row>
    <row r="259" customFormat="false" ht="15" hidden="false" customHeight="false" outlineLevel="0" collapsed="false">
      <c r="A259" s="3" t="s">
        <v>668</v>
      </c>
      <c r="B259" s="25" t="s">
        <v>112</v>
      </c>
      <c r="C259" s="8" t="s">
        <v>113</v>
      </c>
      <c r="D259" s="8" t="s">
        <v>152</v>
      </c>
      <c r="E259" s="8" t="s">
        <v>178</v>
      </c>
      <c r="F259" s="19" t="n">
        <v>9.7</v>
      </c>
      <c r="G259" s="33" t="n">
        <f aca="false">F259*0.006477</f>
        <v>0.0628269</v>
      </c>
      <c r="H259" s="19" t="n">
        <f aca="false">F259*1.079436</f>
        <v>10.4705292</v>
      </c>
      <c r="I259" s="18" t="n">
        <f aca="false">MAX(1,ROUNDUP(G259/0.096,0))</f>
        <v>1</v>
      </c>
      <c r="J259" s="31" t="n">
        <v>46680</v>
      </c>
      <c r="K259" s="34" t="n">
        <f aca="false">J259-WEEKDAY(J259,2)+1</f>
        <v>46678</v>
      </c>
      <c r="L259" s="31" t="n">
        <f aca="false">J259</f>
        <v>46680</v>
      </c>
      <c r="M259" s="26" t="n">
        <f aca="false">INDEX(LR_Target,MATCH(B259,LR_Lane,0))</f>
        <v>2</v>
      </c>
      <c r="N259" s="31" t="n">
        <f aca="false">WORKDAY.INTL(L259,M259,INDEX(LR_Code,MATCH(B259,LR_Lane,0)),INDEX(DH_Table,0,MATCH(B259&amp;"*",DH_Head,0)))</f>
        <v>46682</v>
      </c>
      <c r="O259" s="35" t="n">
        <f aca="false">IF(W259&lt;&gt;"",W259,IF(U259="Helmond",IF(COUNTIFS(RC_Lane,B259,RC_Band,E259,RC_Transit,"&lt;&gt;")=0,"",SUMIFS(RC_Transit,RC_Lane,B259,RC_Band,E259)),IF(U259="Other","",IF(INDEX(RS_Transit,MATCH(B259,RS_Lane,0))="","",INDEX(RS_Transit,MATCH(B259,RS_Lane,0))))))</f>
        <v>1</v>
      </c>
      <c r="P259" s="36"/>
      <c r="Q259" s="31" t="n">
        <f aca="false">IF(P259&lt;&gt;"",P259,IF(O259="","",WORKDAY.INTL(L259,ROUNDUP(O259,0),INDEX(LR_Code,MATCH(B259,LR_Lane,0)),INDEX(DH_Table,0,MATCH(B259&amp;"*",DH_Head,0)))))</f>
        <v>46681</v>
      </c>
      <c r="R259" s="37" t="str">
        <f aca="false">IF(Q259="","",IF(Q259&lt;=N259,"Yes","No"))</f>
        <v>Yes</v>
      </c>
      <c r="S259" s="26" t="n">
        <f aca="false">IF(Q259="","",IF(Q259&lt;=N259,0,NETWORKDAYS.INTL(N259,Q259,INDEX(LR_Code,MATCH(B259,LR_Lane,0)),INDEX(DH_Table,0,MATCH(B259&amp;"*",DH_Head,0)))-1))</f>
        <v>0</v>
      </c>
      <c r="T259" s="4"/>
      <c r="U259" s="25" t="str">
        <f aca="false">IF(V259&lt;&gt;"",V259,IF(IFERROR(INDEX(RS_Flag,MATCH(B259,RS_Lane,0)),"")="Yes",IF(IFERROR(INDEX(RS_Loc,MATCH(B259,RS_Lane,0)),"")="","Regional stock",IFERROR(INDEX(RS_Loc,MATCH(B259,RS_Lane,0)),"")),"Helmond"))</f>
        <v>Helmond</v>
      </c>
      <c r="V259" s="17"/>
      <c r="W259" s="38"/>
      <c r="X259" s="39"/>
      <c r="Y259" s="40" t="n">
        <f aca="false">IF(X259&lt;&gt;"",X259,IF(U259="Helmond",IF(COUNTIFS(RC_Lane,B259,RC_Band,E259,RC_CostPS,"&gt;0")=0,"",SUMIFS(RC_CostPS,RC_Lane,B259,RC_Band,E259)*(1-SUMIFS(RC_Disc,RC_Lane,B259,RC_Band,E259))),IF(U259="Other","",IF(INDEX(RS_Rate,MATCH(B259,RS_Lane,0))="","",INDEX(RS_Rate,MATCH(B259,RS_Lane,0))))))</f>
        <v>72.485</v>
      </c>
    </row>
    <row r="260" customFormat="false" ht="15" hidden="false" customHeight="false" outlineLevel="0" collapsed="false">
      <c r="A260" s="3" t="s">
        <v>669</v>
      </c>
      <c r="B260" s="25" t="s">
        <v>112</v>
      </c>
      <c r="C260" s="8" t="s">
        <v>113</v>
      </c>
      <c r="D260" s="8" t="s">
        <v>152</v>
      </c>
      <c r="E260" s="8" t="s">
        <v>178</v>
      </c>
      <c r="F260" s="19" t="n">
        <v>6.7</v>
      </c>
      <c r="G260" s="33" t="n">
        <f aca="false">F260*0.006477</f>
        <v>0.0433959</v>
      </c>
      <c r="H260" s="19" t="n">
        <f aca="false">F260*1.079436</f>
        <v>7.2322212</v>
      </c>
      <c r="I260" s="18" t="n">
        <f aca="false">MAX(1,ROUNDUP(G260/0.096,0))</f>
        <v>1</v>
      </c>
      <c r="J260" s="31" t="n">
        <v>46680</v>
      </c>
      <c r="K260" s="34" t="n">
        <f aca="false">J260-WEEKDAY(J260,2)+1</f>
        <v>46678</v>
      </c>
      <c r="L260" s="31" t="n">
        <f aca="false">J260</f>
        <v>46680</v>
      </c>
      <c r="M260" s="26" t="n">
        <f aca="false">INDEX(LR_Target,MATCH(B260,LR_Lane,0))</f>
        <v>2</v>
      </c>
      <c r="N260" s="31" t="n">
        <f aca="false">WORKDAY.INTL(L260,M260,INDEX(LR_Code,MATCH(B260,LR_Lane,0)),INDEX(DH_Table,0,MATCH(B260&amp;"*",DH_Head,0)))</f>
        <v>46682</v>
      </c>
      <c r="O260" s="35" t="n">
        <f aca="false">IF(W260&lt;&gt;"",W260,IF(U260="Helmond",IF(COUNTIFS(RC_Lane,B260,RC_Band,E260,RC_Transit,"&lt;&gt;")=0,"",SUMIFS(RC_Transit,RC_Lane,B260,RC_Band,E260)),IF(U260="Other","",IF(INDEX(RS_Transit,MATCH(B260,RS_Lane,0))="","",INDEX(RS_Transit,MATCH(B260,RS_Lane,0))))))</f>
        <v>1</v>
      </c>
      <c r="P260" s="36"/>
      <c r="Q260" s="31" t="n">
        <f aca="false">IF(P260&lt;&gt;"",P260,IF(O260="","",WORKDAY.INTL(L260,ROUNDUP(O260,0),INDEX(LR_Code,MATCH(B260,LR_Lane,0)),INDEX(DH_Table,0,MATCH(B260&amp;"*",DH_Head,0)))))</f>
        <v>46681</v>
      </c>
      <c r="R260" s="37" t="str">
        <f aca="false">IF(Q260="","",IF(Q260&lt;=N260,"Yes","No"))</f>
        <v>Yes</v>
      </c>
      <c r="S260" s="26" t="n">
        <f aca="false">IF(Q260="","",IF(Q260&lt;=N260,0,NETWORKDAYS.INTL(N260,Q260,INDEX(LR_Code,MATCH(B260,LR_Lane,0)),INDEX(DH_Table,0,MATCH(B260&amp;"*",DH_Head,0)))-1))</f>
        <v>0</v>
      </c>
      <c r="T260" s="4"/>
      <c r="U260" s="25" t="str">
        <f aca="false">IF(V260&lt;&gt;"",V260,IF(IFERROR(INDEX(RS_Flag,MATCH(B260,RS_Lane,0)),"")="Yes",IF(IFERROR(INDEX(RS_Loc,MATCH(B260,RS_Lane,0)),"")="","Regional stock",IFERROR(INDEX(RS_Loc,MATCH(B260,RS_Lane,0)),"")),"Helmond"))</f>
        <v>Helmond</v>
      </c>
      <c r="V260" s="17"/>
      <c r="W260" s="38"/>
      <c r="X260" s="39"/>
      <c r="Y260" s="40" t="n">
        <f aca="false">IF(X260&lt;&gt;"",X260,IF(U260="Helmond",IF(COUNTIFS(RC_Lane,B260,RC_Band,E260,RC_CostPS,"&gt;0")=0,"",SUMIFS(RC_CostPS,RC_Lane,B260,RC_Band,E260)*(1-SUMIFS(RC_Disc,RC_Lane,B260,RC_Band,E260))),IF(U260="Other","",IF(INDEX(RS_Rate,MATCH(B260,RS_Lane,0))="","",INDEX(RS_Rate,MATCH(B260,RS_Lane,0))))))</f>
        <v>72.485</v>
      </c>
    </row>
    <row r="261" customFormat="false" ht="15" hidden="false" customHeight="false" outlineLevel="0" collapsed="false">
      <c r="A261" s="3" t="s">
        <v>670</v>
      </c>
      <c r="B261" s="25" t="s">
        <v>108</v>
      </c>
      <c r="C261" s="8" t="s">
        <v>109</v>
      </c>
      <c r="D261" s="8" t="s">
        <v>272</v>
      </c>
      <c r="E261" s="8" t="s">
        <v>178</v>
      </c>
      <c r="F261" s="19" t="n">
        <v>6.8</v>
      </c>
      <c r="G261" s="33" t="n">
        <f aca="false">F261*0.006477</f>
        <v>0.0440436</v>
      </c>
      <c r="H261" s="19" t="n">
        <f aca="false">F261*1.079436</f>
        <v>7.3401648</v>
      </c>
      <c r="I261" s="18" t="n">
        <f aca="false">MAX(1,ROUNDUP(G261/0.096,0))</f>
        <v>1</v>
      </c>
      <c r="J261" s="31" t="n">
        <v>46681</v>
      </c>
      <c r="K261" s="34" t="n">
        <f aca="false">J261-WEEKDAY(J261,2)+1</f>
        <v>46678</v>
      </c>
      <c r="L261" s="31" t="n">
        <f aca="false">J261</f>
        <v>46681</v>
      </c>
      <c r="M261" s="26" t="n">
        <f aca="false">INDEX(LR_Target,MATCH(B261,LR_Lane,0))</f>
        <v>2</v>
      </c>
      <c r="N261" s="31" t="n">
        <f aca="false">WORKDAY.INTL(L261,M261,INDEX(LR_Code,MATCH(B261,LR_Lane,0)),INDEX(DH_Table,0,MATCH(B261&amp;"*",DH_Head,0)))</f>
        <v>46685</v>
      </c>
      <c r="O261" s="35" t="n">
        <f aca="false">IF(W261&lt;&gt;"",W261,IF(U261="Helmond",IF(COUNTIFS(RC_Lane,B261,RC_Band,E261,RC_Transit,"&lt;&gt;")=0,"",SUMIFS(RC_Transit,RC_Lane,B261,RC_Band,E261)),IF(U261="Other","",IF(INDEX(RS_Transit,MATCH(B261,RS_Lane,0))="","",INDEX(RS_Transit,MATCH(B261,RS_Lane,0))))))</f>
        <v>1</v>
      </c>
      <c r="P261" s="36"/>
      <c r="Q261" s="31" t="n">
        <f aca="false">IF(P261&lt;&gt;"",P261,IF(O261="","",WORKDAY.INTL(L261,ROUNDUP(O261,0),INDEX(LR_Code,MATCH(B261,LR_Lane,0)),INDEX(DH_Table,0,MATCH(B261&amp;"*",DH_Head,0)))))</f>
        <v>46684</v>
      </c>
      <c r="R261" s="37" t="str">
        <f aca="false">IF(Q261="","",IF(Q261&lt;=N261,"Yes","No"))</f>
        <v>Yes</v>
      </c>
      <c r="S261" s="26" t="n">
        <f aca="false">IF(Q261="","",IF(Q261&lt;=N261,0,NETWORKDAYS.INTL(N261,Q261,INDEX(LR_Code,MATCH(B261,LR_Lane,0)),INDEX(DH_Table,0,MATCH(B261&amp;"*",DH_Head,0)))-1))</f>
        <v>0</v>
      </c>
      <c r="T261" s="4"/>
      <c r="U261" s="25" t="str">
        <f aca="false">IF(V261&lt;&gt;"",V261,IF(IFERROR(INDEX(RS_Flag,MATCH(B261,RS_Lane,0)),"")="Yes",IF(IFERROR(INDEX(RS_Loc,MATCH(B261,RS_Lane,0)),"")="","Regional stock",IFERROR(INDEX(RS_Loc,MATCH(B261,RS_Lane,0)),"")),"Helmond"))</f>
        <v>Helmond</v>
      </c>
      <c r="V261" s="17"/>
      <c r="W261" s="38"/>
      <c r="X261" s="39"/>
      <c r="Y261" s="40" t="n">
        <f aca="false">IF(X261&lt;&gt;"",X261,IF(U261="Helmond",IF(COUNTIFS(RC_Lane,B261,RC_Band,E261,RC_CostPS,"&gt;0")=0,"",SUMIFS(RC_CostPS,RC_Lane,B261,RC_Band,E261)*(1-SUMIFS(RC_Disc,RC_Lane,B261,RC_Band,E261))),IF(U261="Other","",IF(INDEX(RS_Rate,MATCH(B261,RS_Lane,0))="","",INDEX(RS_Rate,MATCH(B261,RS_Lane,0))))))</f>
        <v>72.485</v>
      </c>
    </row>
    <row r="262" customFormat="false" ht="15" hidden="false" customHeight="false" outlineLevel="0" collapsed="false">
      <c r="A262" s="3" t="s">
        <v>671</v>
      </c>
      <c r="B262" s="25" t="s">
        <v>112</v>
      </c>
      <c r="C262" s="8" t="s">
        <v>113</v>
      </c>
      <c r="D262" s="8" t="s">
        <v>152</v>
      </c>
      <c r="E262" s="8" t="s">
        <v>178</v>
      </c>
      <c r="F262" s="19" t="n">
        <v>8.5</v>
      </c>
      <c r="G262" s="33" t="n">
        <f aca="false">F262*0.006477</f>
        <v>0.0550545</v>
      </c>
      <c r="H262" s="19" t="n">
        <f aca="false">F262*1.079436</f>
        <v>9.175206</v>
      </c>
      <c r="I262" s="18" t="n">
        <f aca="false">MAX(1,ROUNDUP(G262/0.096,0))</f>
        <v>1</v>
      </c>
      <c r="J262" s="31" t="n">
        <v>46681</v>
      </c>
      <c r="K262" s="34" t="n">
        <f aca="false">J262-WEEKDAY(J262,2)+1</f>
        <v>46678</v>
      </c>
      <c r="L262" s="31" t="n">
        <f aca="false">J262</f>
        <v>46681</v>
      </c>
      <c r="M262" s="26" t="n">
        <f aca="false">INDEX(LR_Target,MATCH(B262,LR_Lane,0))</f>
        <v>2</v>
      </c>
      <c r="N262" s="31" t="n">
        <f aca="false">WORKDAY.INTL(L262,M262,INDEX(LR_Code,MATCH(B262,LR_Lane,0)),INDEX(DH_Table,0,MATCH(B262&amp;"*",DH_Head,0)))</f>
        <v>46685</v>
      </c>
      <c r="O262" s="35" t="n">
        <f aca="false">IF(W262&lt;&gt;"",W262,IF(U262="Helmond",IF(COUNTIFS(RC_Lane,B262,RC_Band,E262,RC_Transit,"&lt;&gt;")=0,"",SUMIFS(RC_Transit,RC_Lane,B262,RC_Band,E262)),IF(U262="Other","",IF(INDEX(RS_Transit,MATCH(B262,RS_Lane,0))="","",INDEX(RS_Transit,MATCH(B262,RS_Lane,0))))))</f>
        <v>1</v>
      </c>
      <c r="P262" s="36"/>
      <c r="Q262" s="31" t="n">
        <f aca="false">IF(P262&lt;&gt;"",P262,IF(O262="","",WORKDAY.INTL(L262,ROUNDUP(O262,0),INDEX(LR_Code,MATCH(B262,LR_Lane,0)),INDEX(DH_Table,0,MATCH(B262&amp;"*",DH_Head,0)))))</f>
        <v>46682</v>
      </c>
      <c r="R262" s="37" t="str">
        <f aca="false">IF(Q262="","",IF(Q262&lt;=N262,"Yes","No"))</f>
        <v>Yes</v>
      </c>
      <c r="S262" s="26" t="n">
        <f aca="false">IF(Q262="","",IF(Q262&lt;=N262,0,NETWORKDAYS.INTL(N262,Q262,INDEX(LR_Code,MATCH(B262,LR_Lane,0)),INDEX(DH_Table,0,MATCH(B262&amp;"*",DH_Head,0)))-1))</f>
        <v>0</v>
      </c>
      <c r="T262" s="4"/>
      <c r="U262" s="25" t="str">
        <f aca="false">IF(V262&lt;&gt;"",V262,IF(IFERROR(INDEX(RS_Flag,MATCH(B262,RS_Lane,0)),"")="Yes",IF(IFERROR(INDEX(RS_Loc,MATCH(B262,RS_Lane,0)),"")="","Regional stock",IFERROR(INDEX(RS_Loc,MATCH(B262,RS_Lane,0)),"")),"Helmond"))</f>
        <v>Helmond</v>
      </c>
      <c r="V262" s="17"/>
      <c r="W262" s="38"/>
      <c r="X262" s="39"/>
      <c r="Y262" s="40" t="n">
        <f aca="false">IF(X262&lt;&gt;"",X262,IF(U262="Helmond",IF(COUNTIFS(RC_Lane,B262,RC_Band,E262,RC_CostPS,"&gt;0")=0,"",SUMIFS(RC_CostPS,RC_Lane,B262,RC_Band,E262)*(1-SUMIFS(RC_Disc,RC_Lane,B262,RC_Band,E262))),IF(U262="Other","",IF(INDEX(RS_Rate,MATCH(B262,RS_Lane,0))="","",INDEX(RS_Rate,MATCH(B262,RS_Lane,0))))))</f>
        <v>72.485</v>
      </c>
    </row>
    <row r="263" customFormat="false" ht="15" hidden="false" customHeight="false" outlineLevel="0" collapsed="false">
      <c r="A263" s="3" t="s">
        <v>672</v>
      </c>
      <c r="B263" s="25" t="s">
        <v>112</v>
      </c>
      <c r="C263" s="8" t="s">
        <v>113</v>
      </c>
      <c r="D263" s="8" t="s">
        <v>152</v>
      </c>
      <c r="E263" s="8" t="s">
        <v>178</v>
      </c>
      <c r="F263" s="19" t="n">
        <v>7</v>
      </c>
      <c r="G263" s="33" t="n">
        <f aca="false">F263*0.006477</f>
        <v>0.045339</v>
      </c>
      <c r="H263" s="19" t="n">
        <f aca="false">F263*1.079436</f>
        <v>7.556052</v>
      </c>
      <c r="I263" s="18" t="n">
        <f aca="false">MAX(1,ROUNDUP(G263/0.096,0))</f>
        <v>1</v>
      </c>
      <c r="J263" s="31" t="n">
        <v>46681</v>
      </c>
      <c r="K263" s="34" t="n">
        <f aca="false">J263-WEEKDAY(J263,2)+1</f>
        <v>46678</v>
      </c>
      <c r="L263" s="31" t="n">
        <f aca="false">J263</f>
        <v>46681</v>
      </c>
      <c r="M263" s="26" t="n">
        <f aca="false">INDEX(LR_Target,MATCH(B263,LR_Lane,0))</f>
        <v>2</v>
      </c>
      <c r="N263" s="31" t="n">
        <f aca="false">WORKDAY.INTL(L263,M263,INDEX(LR_Code,MATCH(B263,LR_Lane,0)),INDEX(DH_Table,0,MATCH(B263&amp;"*",DH_Head,0)))</f>
        <v>46685</v>
      </c>
      <c r="O263" s="35" t="n">
        <f aca="false">IF(W263&lt;&gt;"",W263,IF(U263="Helmond",IF(COUNTIFS(RC_Lane,B263,RC_Band,E263,RC_Transit,"&lt;&gt;")=0,"",SUMIFS(RC_Transit,RC_Lane,B263,RC_Band,E263)),IF(U263="Other","",IF(INDEX(RS_Transit,MATCH(B263,RS_Lane,0))="","",INDEX(RS_Transit,MATCH(B263,RS_Lane,0))))))</f>
        <v>1</v>
      </c>
      <c r="P263" s="36"/>
      <c r="Q263" s="31" t="n">
        <f aca="false">IF(P263&lt;&gt;"",P263,IF(O263="","",WORKDAY.INTL(L263,ROUNDUP(O263,0),INDEX(LR_Code,MATCH(B263,LR_Lane,0)),INDEX(DH_Table,0,MATCH(B263&amp;"*",DH_Head,0)))))</f>
        <v>46682</v>
      </c>
      <c r="R263" s="37" t="str">
        <f aca="false">IF(Q263="","",IF(Q263&lt;=N263,"Yes","No"))</f>
        <v>Yes</v>
      </c>
      <c r="S263" s="26" t="n">
        <f aca="false">IF(Q263="","",IF(Q263&lt;=N263,0,NETWORKDAYS.INTL(N263,Q263,INDEX(LR_Code,MATCH(B263,LR_Lane,0)),INDEX(DH_Table,0,MATCH(B263&amp;"*",DH_Head,0)))-1))</f>
        <v>0</v>
      </c>
      <c r="T263" s="4"/>
      <c r="U263" s="25" t="str">
        <f aca="false">IF(V263&lt;&gt;"",V263,IF(IFERROR(INDEX(RS_Flag,MATCH(B263,RS_Lane,0)),"")="Yes",IF(IFERROR(INDEX(RS_Loc,MATCH(B263,RS_Lane,0)),"")="","Regional stock",IFERROR(INDEX(RS_Loc,MATCH(B263,RS_Lane,0)),"")),"Helmond"))</f>
        <v>Helmond</v>
      </c>
      <c r="V263" s="17"/>
      <c r="W263" s="38"/>
      <c r="X263" s="39"/>
      <c r="Y263" s="40" t="n">
        <f aca="false">IF(X263&lt;&gt;"",X263,IF(U263="Helmond",IF(COUNTIFS(RC_Lane,B263,RC_Band,E263,RC_CostPS,"&gt;0")=0,"",SUMIFS(RC_CostPS,RC_Lane,B263,RC_Band,E263)*(1-SUMIFS(RC_Disc,RC_Lane,B263,RC_Band,E263))),IF(U263="Other","",IF(INDEX(RS_Rate,MATCH(B263,RS_Lane,0))="","",INDEX(RS_Rate,MATCH(B263,RS_Lane,0))))))</f>
        <v>72.485</v>
      </c>
    </row>
    <row r="264" customFormat="false" ht="15" hidden="false" customHeight="false" outlineLevel="0" collapsed="false">
      <c r="A264" s="3" t="s">
        <v>673</v>
      </c>
      <c r="B264" s="25" t="s">
        <v>115</v>
      </c>
      <c r="C264" s="8" t="s">
        <v>116</v>
      </c>
      <c r="D264" s="8" t="s">
        <v>153</v>
      </c>
      <c r="E264" s="8" t="s">
        <v>182</v>
      </c>
      <c r="F264" s="19" t="n">
        <v>250.6</v>
      </c>
      <c r="G264" s="33" t="n">
        <f aca="false">F264*0.006477</f>
        <v>1.6231362</v>
      </c>
      <c r="H264" s="19" t="n">
        <f aca="false">F264*1.079436</f>
        <v>270.5066616</v>
      </c>
      <c r="I264" s="18" t="n">
        <f aca="false">MAX(1,ROUNDUP(G264/0.096,0))</f>
        <v>17</v>
      </c>
      <c r="J264" s="31" t="n">
        <v>46682</v>
      </c>
      <c r="K264" s="34" t="n">
        <f aca="false">J264-WEEKDAY(J264,2)+1</f>
        <v>46678</v>
      </c>
      <c r="L264" s="31" t="n">
        <f aca="false">J264</f>
        <v>46682</v>
      </c>
      <c r="M264" s="26" t="n">
        <f aca="false">INDEX(LR_Target,MATCH(B264,LR_Lane,0))</f>
        <v>2</v>
      </c>
      <c r="N264" s="31" t="n">
        <f aca="false">WORKDAY.INTL(L264,M264,INDEX(LR_Code,MATCH(B264,LR_Lane,0)),INDEX(DH_Table,0,MATCH(B264&amp;"*",DH_Head,0)))</f>
        <v>46685</v>
      </c>
      <c r="O264" s="35" t="n">
        <f aca="false">IF(W264&lt;&gt;"",W264,IF(U264="Helmond",IF(COUNTIFS(RC_Lane,B264,RC_Band,E264,RC_Transit,"&lt;&gt;")=0,"",SUMIFS(RC_Transit,RC_Lane,B264,RC_Band,E264)),IF(U264="Other","",IF(INDEX(RS_Transit,MATCH(B264,RS_Lane,0))="","",INDEX(RS_Transit,MATCH(B264,RS_Lane,0))))))</f>
        <v>3</v>
      </c>
      <c r="P264" s="36"/>
      <c r="Q264" s="31" t="n">
        <f aca="false">IF(P264&lt;&gt;"",P264,IF(O264="","",WORKDAY.INTL(L264,ROUNDUP(O264,0),INDEX(LR_Code,MATCH(B264,LR_Lane,0)),INDEX(DH_Table,0,MATCH(B264&amp;"*",DH_Head,0)))))</f>
        <v>46686</v>
      </c>
      <c r="R264" s="37" t="str">
        <f aca="false">IF(Q264="","",IF(Q264&lt;=N264,"Yes","No"))</f>
        <v>No</v>
      </c>
      <c r="S264" s="26" t="n">
        <f aca="false">IF(Q264="","",IF(Q264&lt;=N264,0,NETWORKDAYS.INTL(N264,Q264,INDEX(LR_Code,MATCH(B264,LR_Lane,0)),INDEX(DH_Table,0,MATCH(B264&amp;"*",DH_Head,0)))-1))</f>
        <v>1</v>
      </c>
      <c r="T264" s="4"/>
      <c r="U264" s="25" t="str">
        <f aca="false">IF(V264&lt;&gt;"",V264,IF(IFERROR(INDEX(RS_Flag,MATCH(B264,RS_Lane,0)),"")="Yes",IF(IFERROR(INDEX(RS_Loc,MATCH(B264,RS_Lane,0)),"")="","Regional stock",IFERROR(INDEX(RS_Loc,MATCH(B264,RS_Lane,0)),"")),"Helmond"))</f>
        <v>Helmond</v>
      </c>
      <c r="V264" s="17"/>
      <c r="W264" s="38"/>
      <c r="X264" s="39"/>
      <c r="Y264" s="40" t="n">
        <f aca="false">IF(X264&lt;&gt;"",X264,IF(U264="Helmond",IF(COUNTIFS(RC_Lane,B264,RC_Band,E264,RC_CostPS,"&gt;0")=0,"",SUMIFS(RC_CostPS,RC_Lane,B264,RC_Band,E264)*(1-SUMIFS(RC_Disc,RC_Lane,B264,RC_Band,E264))),IF(U264="Other","",IF(INDEX(RS_Rate,MATCH(B264,RS_Lane,0))="","",INDEX(RS_Rate,MATCH(B264,RS_Lane,0))))))</f>
        <v>1271.20393</v>
      </c>
    </row>
    <row r="265" customFormat="false" ht="15" hidden="false" customHeight="false" outlineLevel="0" collapsed="false">
      <c r="A265" s="3" t="s">
        <v>674</v>
      </c>
      <c r="B265" s="25" t="s">
        <v>126</v>
      </c>
      <c r="C265" s="8" t="s">
        <v>127</v>
      </c>
      <c r="D265" s="8" t="s">
        <v>158</v>
      </c>
      <c r="E265" s="8" t="s">
        <v>180</v>
      </c>
      <c r="F265" s="19" t="n">
        <v>54.3</v>
      </c>
      <c r="G265" s="33" t="n">
        <f aca="false">F265*0.006477</f>
        <v>0.3517011</v>
      </c>
      <c r="H265" s="19" t="n">
        <f aca="false">F265*1.079436</f>
        <v>58.6133748</v>
      </c>
      <c r="I265" s="18" t="n">
        <f aca="false">MAX(1,ROUNDUP(G265/0.096,0))</f>
        <v>4</v>
      </c>
      <c r="J265" s="31" t="n">
        <v>46682</v>
      </c>
      <c r="K265" s="34" t="n">
        <f aca="false">J265-WEEKDAY(J265,2)+1</f>
        <v>46678</v>
      </c>
      <c r="L265" s="31" t="n">
        <f aca="false">J265</f>
        <v>46682</v>
      </c>
      <c r="M265" s="26" t="n">
        <f aca="false">INDEX(LR_Target,MATCH(B265,LR_Lane,0))</f>
        <v>4</v>
      </c>
      <c r="N265" s="31" t="n">
        <f aca="false">WORKDAY.INTL(L265,M265,INDEX(LR_Code,MATCH(B265,LR_Lane,0)),INDEX(DH_Table,0,MATCH(B265&amp;"*",DH_Head,0)))</f>
        <v>46687</v>
      </c>
      <c r="O265" s="35" t="n">
        <f aca="false">IF(W265&lt;&gt;"",W265,IF(U265="Helmond",IF(COUNTIFS(RC_Lane,B265,RC_Band,E265,RC_Transit,"&lt;&gt;")=0,"",SUMIFS(RC_Transit,RC_Lane,B265,RC_Band,E265)),IF(U265="Other","",IF(INDEX(RS_Transit,MATCH(B265,RS_Lane,0))="","",INDEX(RS_Transit,MATCH(B265,RS_Lane,0))))))</f>
        <v>2</v>
      </c>
      <c r="P265" s="36"/>
      <c r="Q265" s="31" t="n">
        <f aca="false">IF(P265&lt;&gt;"",P265,IF(O265="","",WORKDAY.INTL(L265,ROUNDUP(O265,0),INDEX(LR_Code,MATCH(B265,LR_Lane,0)),INDEX(DH_Table,0,MATCH(B265&amp;"*",DH_Head,0)))))</f>
        <v>46685</v>
      </c>
      <c r="R265" s="37" t="str">
        <f aca="false">IF(Q265="","",IF(Q265&lt;=N265,"Yes","No"))</f>
        <v>Yes</v>
      </c>
      <c r="S265" s="26" t="n">
        <f aca="false">IF(Q265="","",IF(Q265&lt;=N265,0,NETWORKDAYS.INTL(N265,Q265,INDEX(LR_Code,MATCH(B265,LR_Lane,0)),INDEX(DH_Table,0,MATCH(B265&amp;"*",DH_Head,0)))-1))</f>
        <v>0</v>
      </c>
      <c r="T265" s="4"/>
      <c r="U265" s="25" t="str">
        <f aca="false">IF(V265&lt;&gt;"",V265,IF(IFERROR(INDEX(RS_Flag,MATCH(B265,RS_Lane,0)),"")="Yes",IF(IFERROR(INDEX(RS_Loc,MATCH(B265,RS_Lane,0)),"")="","Regional stock",IFERROR(INDEX(RS_Loc,MATCH(B265,RS_Lane,0)),"")),"Helmond"))</f>
        <v>Helmond</v>
      </c>
      <c r="V265" s="17"/>
      <c r="W265" s="38"/>
      <c r="X265" s="39"/>
      <c r="Y265" s="40" t="n">
        <f aca="false">IF(X265&lt;&gt;"",X265,IF(U265="Helmond",IF(COUNTIFS(RC_Lane,B265,RC_Band,E265,RC_CostPS,"&gt;0")=0,"",SUMIFS(RC_CostPS,RC_Lane,B265,RC_Band,E265)*(1-SUMIFS(RC_Disc,RC_Lane,B265,RC_Band,E265))),IF(U265="Other","",IF(INDEX(RS_Rate,MATCH(B265,RS_Lane,0))="","",INDEX(RS_Rate,MATCH(B265,RS_Lane,0))))))</f>
        <v>301.93128</v>
      </c>
    </row>
    <row r="266" customFormat="false" ht="15" hidden="false" customHeight="false" outlineLevel="0" collapsed="false">
      <c r="A266" s="3" t="s">
        <v>675</v>
      </c>
      <c r="B266" s="25" t="s">
        <v>108</v>
      </c>
      <c r="C266" s="8" t="s">
        <v>109</v>
      </c>
      <c r="D266" s="8" t="s">
        <v>270</v>
      </c>
      <c r="E266" s="8" t="s">
        <v>178</v>
      </c>
      <c r="F266" s="19" t="n">
        <v>13.2</v>
      </c>
      <c r="G266" s="33" t="n">
        <f aca="false">F266*0.006477</f>
        <v>0.0854964</v>
      </c>
      <c r="H266" s="19" t="n">
        <f aca="false">F266*1.079436</f>
        <v>14.2485552</v>
      </c>
      <c r="I266" s="18" t="n">
        <f aca="false">MAX(1,ROUNDUP(G266/0.096,0))</f>
        <v>1</v>
      </c>
      <c r="J266" s="31" t="n">
        <v>46685</v>
      </c>
      <c r="K266" s="34" t="n">
        <f aca="false">J266-WEEKDAY(J266,2)+1</f>
        <v>46685</v>
      </c>
      <c r="L266" s="31" t="n">
        <f aca="false">J266</f>
        <v>46685</v>
      </c>
      <c r="M266" s="26" t="n">
        <f aca="false">INDEX(LR_Target,MATCH(B266,LR_Lane,0))</f>
        <v>2</v>
      </c>
      <c r="N266" s="31" t="n">
        <f aca="false">WORKDAY.INTL(L266,M266,INDEX(LR_Code,MATCH(B266,LR_Lane,0)),INDEX(DH_Table,0,MATCH(B266&amp;"*",DH_Head,0)))</f>
        <v>46687</v>
      </c>
      <c r="O266" s="35" t="n">
        <f aca="false">IF(W266&lt;&gt;"",W266,IF(U266="Helmond",IF(COUNTIFS(RC_Lane,B266,RC_Band,E266,RC_Transit,"&lt;&gt;")=0,"",SUMIFS(RC_Transit,RC_Lane,B266,RC_Band,E266)),IF(U266="Other","",IF(INDEX(RS_Transit,MATCH(B266,RS_Lane,0))="","",INDEX(RS_Transit,MATCH(B266,RS_Lane,0))))))</f>
        <v>1</v>
      </c>
      <c r="P266" s="36"/>
      <c r="Q266" s="31" t="n">
        <f aca="false">IF(P266&lt;&gt;"",P266,IF(O266="","",WORKDAY.INTL(L266,ROUNDUP(O266,0),INDEX(LR_Code,MATCH(B266,LR_Lane,0)),INDEX(DH_Table,0,MATCH(B266&amp;"*",DH_Head,0)))))</f>
        <v>46686</v>
      </c>
      <c r="R266" s="37" t="str">
        <f aca="false">IF(Q266="","",IF(Q266&lt;=N266,"Yes","No"))</f>
        <v>Yes</v>
      </c>
      <c r="S266" s="26" t="n">
        <f aca="false">IF(Q266="","",IF(Q266&lt;=N266,0,NETWORKDAYS.INTL(N266,Q266,INDEX(LR_Code,MATCH(B266,LR_Lane,0)),INDEX(DH_Table,0,MATCH(B266&amp;"*",DH_Head,0)))-1))</f>
        <v>0</v>
      </c>
      <c r="T266" s="4"/>
      <c r="U266" s="25" t="str">
        <f aca="false">IF(V266&lt;&gt;"",V266,IF(IFERROR(INDEX(RS_Flag,MATCH(B266,RS_Lane,0)),"")="Yes",IF(IFERROR(INDEX(RS_Loc,MATCH(B266,RS_Lane,0)),"")="","Regional stock",IFERROR(INDEX(RS_Loc,MATCH(B266,RS_Lane,0)),"")),"Helmond"))</f>
        <v>Helmond</v>
      </c>
      <c r="V266" s="17"/>
      <c r="W266" s="38"/>
      <c r="X266" s="39"/>
      <c r="Y266" s="40" t="n">
        <f aca="false">IF(X266&lt;&gt;"",X266,IF(U266="Helmond",IF(COUNTIFS(RC_Lane,B266,RC_Band,E266,RC_CostPS,"&gt;0")=0,"",SUMIFS(RC_CostPS,RC_Lane,B266,RC_Band,E266)*(1-SUMIFS(RC_Disc,RC_Lane,B266,RC_Band,E266))),IF(U266="Other","",IF(INDEX(RS_Rate,MATCH(B266,RS_Lane,0))="","",INDEX(RS_Rate,MATCH(B266,RS_Lane,0))))))</f>
        <v>72.485</v>
      </c>
    </row>
    <row r="267" customFormat="false" ht="15" hidden="false" customHeight="false" outlineLevel="0" collapsed="false">
      <c r="A267" s="3" t="s">
        <v>676</v>
      </c>
      <c r="B267" s="25" t="s">
        <v>112</v>
      </c>
      <c r="C267" s="8" t="s">
        <v>113</v>
      </c>
      <c r="D267" s="8" t="s">
        <v>152</v>
      </c>
      <c r="E267" s="8" t="s">
        <v>178</v>
      </c>
      <c r="F267" s="19" t="n">
        <v>11.9</v>
      </c>
      <c r="G267" s="33" t="n">
        <f aca="false">F267*0.006477</f>
        <v>0.0770763</v>
      </c>
      <c r="H267" s="19" t="n">
        <f aca="false">F267*1.079436</f>
        <v>12.8452884</v>
      </c>
      <c r="I267" s="18" t="n">
        <f aca="false">MAX(1,ROUNDUP(G267/0.096,0))</f>
        <v>1</v>
      </c>
      <c r="J267" s="31" t="n">
        <v>46685</v>
      </c>
      <c r="K267" s="34" t="n">
        <f aca="false">J267-WEEKDAY(J267,2)+1</f>
        <v>46685</v>
      </c>
      <c r="L267" s="31" t="n">
        <f aca="false">J267</f>
        <v>46685</v>
      </c>
      <c r="M267" s="26" t="n">
        <f aca="false">INDEX(LR_Target,MATCH(B267,LR_Lane,0))</f>
        <v>2</v>
      </c>
      <c r="N267" s="31" t="n">
        <f aca="false">WORKDAY.INTL(L267,M267,INDEX(LR_Code,MATCH(B267,LR_Lane,0)),INDEX(DH_Table,0,MATCH(B267&amp;"*",DH_Head,0)))</f>
        <v>46687</v>
      </c>
      <c r="O267" s="35" t="n">
        <f aca="false">IF(W267&lt;&gt;"",W267,IF(U267="Helmond",IF(COUNTIFS(RC_Lane,B267,RC_Band,E267,RC_Transit,"&lt;&gt;")=0,"",SUMIFS(RC_Transit,RC_Lane,B267,RC_Band,E267)),IF(U267="Other","",IF(INDEX(RS_Transit,MATCH(B267,RS_Lane,0))="","",INDEX(RS_Transit,MATCH(B267,RS_Lane,0))))))</f>
        <v>1</v>
      </c>
      <c r="P267" s="36"/>
      <c r="Q267" s="31" t="n">
        <f aca="false">IF(P267&lt;&gt;"",P267,IF(O267="","",WORKDAY.INTL(L267,ROUNDUP(O267,0),INDEX(LR_Code,MATCH(B267,LR_Lane,0)),INDEX(DH_Table,0,MATCH(B267&amp;"*",DH_Head,0)))))</f>
        <v>46686</v>
      </c>
      <c r="R267" s="37" t="str">
        <f aca="false">IF(Q267="","",IF(Q267&lt;=N267,"Yes","No"))</f>
        <v>Yes</v>
      </c>
      <c r="S267" s="26" t="n">
        <f aca="false">IF(Q267="","",IF(Q267&lt;=N267,0,NETWORKDAYS.INTL(N267,Q267,INDEX(LR_Code,MATCH(B267,LR_Lane,0)),INDEX(DH_Table,0,MATCH(B267&amp;"*",DH_Head,0)))-1))</f>
        <v>0</v>
      </c>
      <c r="T267" s="4"/>
      <c r="U267" s="25" t="str">
        <f aca="false">IF(V267&lt;&gt;"",V267,IF(IFERROR(INDEX(RS_Flag,MATCH(B267,RS_Lane,0)),"")="Yes",IF(IFERROR(INDEX(RS_Loc,MATCH(B267,RS_Lane,0)),"")="","Regional stock",IFERROR(INDEX(RS_Loc,MATCH(B267,RS_Lane,0)),"")),"Helmond"))</f>
        <v>Helmond</v>
      </c>
      <c r="V267" s="17"/>
      <c r="W267" s="38"/>
      <c r="X267" s="39"/>
      <c r="Y267" s="40" t="n">
        <f aca="false">IF(X267&lt;&gt;"",X267,IF(U267="Helmond",IF(COUNTIFS(RC_Lane,B267,RC_Band,E267,RC_CostPS,"&gt;0")=0,"",SUMIFS(RC_CostPS,RC_Lane,B267,RC_Band,E267)*(1-SUMIFS(RC_Disc,RC_Lane,B267,RC_Band,E267))),IF(U267="Other","",IF(INDEX(RS_Rate,MATCH(B267,RS_Lane,0))="","",INDEX(RS_Rate,MATCH(B267,RS_Lane,0))))))</f>
        <v>72.485</v>
      </c>
    </row>
    <row r="268" customFormat="false" ht="15" hidden="false" customHeight="false" outlineLevel="0" collapsed="false">
      <c r="A268" s="3" t="s">
        <v>677</v>
      </c>
      <c r="B268" s="25" t="s">
        <v>112</v>
      </c>
      <c r="C268" s="8" t="s">
        <v>113</v>
      </c>
      <c r="D268" s="8" t="s">
        <v>152</v>
      </c>
      <c r="E268" s="8" t="s">
        <v>182</v>
      </c>
      <c r="F268" s="19" t="n">
        <v>270.8</v>
      </c>
      <c r="G268" s="33" t="n">
        <f aca="false">F268*0.006477</f>
        <v>1.7539716</v>
      </c>
      <c r="H268" s="19" t="n">
        <f aca="false">F268*1.079436</f>
        <v>292.3112688</v>
      </c>
      <c r="I268" s="18" t="n">
        <f aca="false">MAX(1,ROUNDUP(G268/0.096,0))</f>
        <v>19</v>
      </c>
      <c r="J268" s="31" t="n">
        <v>46685</v>
      </c>
      <c r="K268" s="34" t="n">
        <f aca="false">J268-WEEKDAY(J268,2)+1</f>
        <v>46685</v>
      </c>
      <c r="L268" s="31" t="n">
        <f aca="false">J268</f>
        <v>46685</v>
      </c>
      <c r="M268" s="26" t="n">
        <f aca="false">INDEX(LR_Target,MATCH(B268,LR_Lane,0))</f>
        <v>2</v>
      </c>
      <c r="N268" s="31" t="n">
        <f aca="false">WORKDAY.INTL(L268,M268,INDEX(LR_Code,MATCH(B268,LR_Lane,0)),INDEX(DH_Table,0,MATCH(B268&amp;"*",DH_Head,0)))</f>
        <v>46687</v>
      </c>
      <c r="O268" s="35" t="n">
        <f aca="false">IF(W268&lt;&gt;"",W268,IF(U268="Helmond",IF(COUNTIFS(RC_Lane,B268,RC_Band,E268,RC_Transit,"&lt;&gt;")=0,"",SUMIFS(RC_Transit,RC_Lane,B268,RC_Band,E268)),IF(U268="Other","",IF(INDEX(RS_Transit,MATCH(B268,RS_Lane,0))="","",INDEX(RS_Transit,MATCH(B268,RS_Lane,0))))))</f>
        <v>3</v>
      </c>
      <c r="P268" s="36"/>
      <c r="Q268" s="31" t="n">
        <f aca="false">IF(P268&lt;&gt;"",P268,IF(O268="","",WORKDAY.INTL(L268,ROUNDUP(O268,0),INDEX(LR_Code,MATCH(B268,LR_Lane,0)),INDEX(DH_Table,0,MATCH(B268&amp;"*",DH_Head,0)))))</f>
        <v>46688</v>
      </c>
      <c r="R268" s="37" t="str">
        <f aca="false">IF(Q268="","",IF(Q268&lt;=N268,"Yes","No"))</f>
        <v>No</v>
      </c>
      <c r="S268" s="26" t="n">
        <f aca="false">IF(Q268="","",IF(Q268&lt;=N268,0,NETWORKDAYS.INTL(N268,Q268,INDEX(LR_Code,MATCH(B268,LR_Lane,0)),INDEX(DH_Table,0,MATCH(B268&amp;"*",DH_Head,0)))-1))</f>
        <v>1</v>
      </c>
      <c r="T268" s="4"/>
      <c r="U268" s="25" t="str">
        <f aca="false">IF(V268&lt;&gt;"",V268,IF(IFERROR(INDEX(RS_Flag,MATCH(B268,RS_Lane,0)),"")="Yes",IF(IFERROR(INDEX(RS_Loc,MATCH(B268,RS_Lane,0)),"")="","Regional stock",IFERROR(INDEX(RS_Loc,MATCH(B268,RS_Lane,0)),"")),"Helmond"))</f>
        <v>Helmond</v>
      </c>
      <c r="V268" s="17"/>
      <c r="W268" s="38"/>
      <c r="X268" s="39"/>
      <c r="Y268" s="40" t="n">
        <f aca="false">IF(X268&lt;&gt;"",X268,IF(U268="Helmond",IF(COUNTIFS(RC_Lane,B268,RC_Band,E268,RC_CostPS,"&gt;0")=0,"",SUMIFS(RC_CostPS,RC_Lane,B268,RC_Band,E268)*(1-SUMIFS(RC_Disc,RC_Lane,B268,RC_Band,E268))),IF(U268="Other","",IF(INDEX(RS_Rate,MATCH(B268,RS_Lane,0))="","",INDEX(RS_Rate,MATCH(B268,RS_Lane,0))))))</f>
        <v>1428.70443</v>
      </c>
    </row>
    <row r="269" customFormat="false" ht="15" hidden="false" customHeight="false" outlineLevel="0" collapsed="false">
      <c r="A269" s="3" t="s">
        <v>678</v>
      </c>
      <c r="B269" s="25" t="s">
        <v>112</v>
      </c>
      <c r="C269" s="8" t="s">
        <v>113</v>
      </c>
      <c r="D269" s="8" t="s">
        <v>152</v>
      </c>
      <c r="E269" s="8" t="s">
        <v>178</v>
      </c>
      <c r="F269" s="19" t="n">
        <v>10.7</v>
      </c>
      <c r="G269" s="33" t="n">
        <f aca="false">F269*0.006477</f>
        <v>0.0693039</v>
      </c>
      <c r="H269" s="19" t="n">
        <f aca="false">F269*1.079436</f>
        <v>11.5499652</v>
      </c>
      <c r="I269" s="18" t="n">
        <f aca="false">MAX(1,ROUNDUP(G269/0.096,0))</f>
        <v>1</v>
      </c>
      <c r="J269" s="31" t="n">
        <v>46685</v>
      </c>
      <c r="K269" s="34" t="n">
        <f aca="false">J269-WEEKDAY(J269,2)+1</f>
        <v>46685</v>
      </c>
      <c r="L269" s="31" t="n">
        <f aca="false">J269</f>
        <v>46685</v>
      </c>
      <c r="M269" s="26" t="n">
        <f aca="false">INDEX(LR_Target,MATCH(B269,LR_Lane,0))</f>
        <v>2</v>
      </c>
      <c r="N269" s="31" t="n">
        <f aca="false">WORKDAY.INTL(L269,M269,INDEX(LR_Code,MATCH(B269,LR_Lane,0)),INDEX(DH_Table,0,MATCH(B269&amp;"*",DH_Head,0)))</f>
        <v>46687</v>
      </c>
      <c r="O269" s="35" t="n">
        <f aca="false">IF(W269&lt;&gt;"",W269,IF(U269="Helmond",IF(COUNTIFS(RC_Lane,B269,RC_Band,E269,RC_Transit,"&lt;&gt;")=0,"",SUMIFS(RC_Transit,RC_Lane,B269,RC_Band,E269)),IF(U269="Other","",IF(INDEX(RS_Transit,MATCH(B269,RS_Lane,0))="","",INDEX(RS_Transit,MATCH(B269,RS_Lane,0))))))</f>
        <v>1</v>
      </c>
      <c r="P269" s="36"/>
      <c r="Q269" s="31" t="n">
        <f aca="false">IF(P269&lt;&gt;"",P269,IF(O269="","",WORKDAY.INTL(L269,ROUNDUP(O269,0),INDEX(LR_Code,MATCH(B269,LR_Lane,0)),INDEX(DH_Table,0,MATCH(B269&amp;"*",DH_Head,0)))))</f>
        <v>46686</v>
      </c>
      <c r="R269" s="37" t="str">
        <f aca="false">IF(Q269="","",IF(Q269&lt;=N269,"Yes","No"))</f>
        <v>Yes</v>
      </c>
      <c r="S269" s="26" t="n">
        <f aca="false">IF(Q269="","",IF(Q269&lt;=N269,0,NETWORKDAYS.INTL(N269,Q269,INDEX(LR_Code,MATCH(B269,LR_Lane,0)),INDEX(DH_Table,0,MATCH(B269&amp;"*",DH_Head,0)))-1))</f>
        <v>0</v>
      </c>
      <c r="T269" s="4"/>
      <c r="U269" s="25" t="str">
        <f aca="false">IF(V269&lt;&gt;"",V269,IF(IFERROR(INDEX(RS_Flag,MATCH(B269,RS_Lane,0)),"")="Yes",IF(IFERROR(INDEX(RS_Loc,MATCH(B269,RS_Lane,0)),"")="","Regional stock",IFERROR(INDEX(RS_Loc,MATCH(B269,RS_Lane,0)),"")),"Helmond"))</f>
        <v>Helmond</v>
      </c>
      <c r="V269" s="17"/>
      <c r="W269" s="38"/>
      <c r="X269" s="39"/>
      <c r="Y269" s="40" t="n">
        <f aca="false">IF(X269&lt;&gt;"",X269,IF(U269="Helmond",IF(COUNTIFS(RC_Lane,B269,RC_Band,E269,RC_CostPS,"&gt;0")=0,"",SUMIFS(RC_CostPS,RC_Lane,B269,RC_Band,E269)*(1-SUMIFS(RC_Disc,RC_Lane,B269,RC_Band,E269))),IF(U269="Other","",IF(INDEX(RS_Rate,MATCH(B269,RS_Lane,0))="","",INDEX(RS_Rate,MATCH(B269,RS_Lane,0))))))</f>
        <v>72.485</v>
      </c>
    </row>
    <row r="270" customFormat="false" ht="15" hidden="false" customHeight="false" outlineLevel="0" collapsed="false">
      <c r="A270" s="3" t="s">
        <v>679</v>
      </c>
      <c r="B270" s="25" t="s">
        <v>119</v>
      </c>
      <c r="C270" s="8" t="s">
        <v>120</v>
      </c>
      <c r="D270" s="8" t="s">
        <v>155</v>
      </c>
      <c r="E270" s="8" t="s">
        <v>180</v>
      </c>
      <c r="F270" s="19" t="n">
        <v>58.3</v>
      </c>
      <c r="G270" s="33" t="n">
        <f aca="false">F270*0.006477</f>
        <v>0.3776091</v>
      </c>
      <c r="H270" s="19" t="n">
        <f aca="false">F270*1.079436</f>
        <v>62.9311188</v>
      </c>
      <c r="I270" s="18" t="n">
        <f aca="false">MAX(1,ROUNDUP(G270/0.096,0))</f>
        <v>4</v>
      </c>
      <c r="J270" s="31" t="n">
        <v>46685</v>
      </c>
      <c r="K270" s="34" t="n">
        <f aca="false">J270-WEEKDAY(J270,2)+1</f>
        <v>46685</v>
      </c>
      <c r="L270" s="31" t="n">
        <f aca="false">J270</f>
        <v>46685</v>
      </c>
      <c r="M270" s="26" t="n">
        <f aca="false">INDEX(LR_Target,MATCH(B270,LR_Lane,0))</f>
        <v>3</v>
      </c>
      <c r="N270" s="31" t="n">
        <f aca="false">WORKDAY.INTL(L270,M270,INDEX(LR_Code,MATCH(B270,LR_Lane,0)),INDEX(DH_Table,0,MATCH(B270&amp;"*",DH_Head,0)))</f>
        <v>46688</v>
      </c>
      <c r="O270" s="35" t="n">
        <f aca="false">IF(W270&lt;&gt;"",W270,IF(U270="Helmond",IF(COUNTIFS(RC_Lane,B270,RC_Band,E270,RC_Transit,"&lt;&gt;")=0,"",SUMIFS(RC_Transit,RC_Lane,B270,RC_Band,E270)),IF(U270="Other","",IF(INDEX(RS_Transit,MATCH(B270,RS_Lane,0))="","",INDEX(RS_Transit,MATCH(B270,RS_Lane,0))))))</f>
        <v>2</v>
      </c>
      <c r="P270" s="36"/>
      <c r="Q270" s="31" t="n">
        <f aca="false">IF(P270&lt;&gt;"",P270,IF(O270="","",WORKDAY.INTL(L270,ROUNDUP(O270,0),INDEX(LR_Code,MATCH(B270,LR_Lane,0)),INDEX(DH_Table,0,MATCH(B270&amp;"*",DH_Head,0)))))</f>
        <v>46687</v>
      </c>
      <c r="R270" s="37" t="str">
        <f aca="false">IF(Q270="","",IF(Q270&lt;=N270,"Yes","No"))</f>
        <v>Yes</v>
      </c>
      <c r="S270" s="26" t="n">
        <f aca="false">IF(Q270="","",IF(Q270&lt;=N270,0,NETWORKDAYS.INTL(N270,Q270,INDEX(LR_Code,MATCH(B270,LR_Lane,0)),INDEX(DH_Table,0,MATCH(B270&amp;"*",DH_Head,0)))-1))</f>
        <v>0</v>
      </c>
      <c r="T270" s="4"/>
      <c r="U270" s="25" t="str">
        <f aca="false">IF(V270&lt;&gt;"",V270,IF(IFERROR(INDEX(RS_Flag,MATCH(B270,RS_Lane,0)),"")="Yes",IF(IFERROR(INDEX(RS_Loc,MATCH(B270,RS_Lane,0)),"")="","Regional stock",IFERROR(INDEX(RS_Loc,MATCH(B270,RS_Lane,0)),"")),"Helmond"))</f>
        <v>Helmond</v>
      </c>
      <c r="V270" s="17"/>
      <c r="W270" s="38"/>
      <c r="X270" s="39"/>
      <c r="Y270" s="40" t="n">
        <f aca="false">IF(X270&lt;&gt;"",X270,IF(U270="Helmond",IF(COUNTIFS(RC_Lane,B270,RC_Band,E270,RC_CostPS,"&gt;0")=0,"",SUMIFS(RC_CostPS,RC_Lane,B270,RC_Band,E270)*(1-SUMIFS(RC_Disc,RC_Lane,B270,RC_Band,E270))),IF(U270="Other","",IF(INDEX(RS_Rate,MATCH(B270,RS_Lane,0))="","",INDEX(RS_Rate,MATCH(B270,RS_Lane,0))))))</f>
        <v>303.81456</v>
      </c>
    </row>
    <row r="271" customFormat="false" ht="15" hidden="false" customHeight="false" outlineLevel="0" collapsed="false">
      <c r="A271" s="3" t="s">
        <v>680</v>
      </c>
      <c r="B271" s="25" t="s">
        <v>119</v>
      </c>
      <c r="C271" s="8" t="s">
        <v>120</v>
      </c>
      <c r="D271" s="8" t="s">
        <v>155</v>
      </c>
      <c r="E271" s="8" t="s">
        <v>178</v>
      </c>
      <c r="F271" s="19" t="n">
        <v>9</v>
      </c>
      <c r="G271" s="33" t="n">
        <f aca="false">F271*0.006477</f>
        <v>0.058293</v>
      </c>
      <c r="H271" s="19" t="n">
        <f aca="false">F271*1.079436</f>
        <v>9.714924</v>
      </c>
      <c r="I271" s="18" t="n">
        <f aca="false">MAX(1,ROUNDUP(G271/0.096,0))</f>
        <v>1</v>
      </c>
      <c r="J271" s="31" t="n">
        <v>46685</v>
      </c>
      <c r="K271" s="34" t="n">
        <f aca="false">J271-WEEKDAY(J271,2)+1</f>
        <v>46685</v>
      </c>
      <c r="L271" s="31" t="n">
        <f aca="false">J271</f>
        <v>46685</v>
      </c>
      <c r="M271" s="26" t="n">
        <f aca="false">INDEX(LR_Target,MATCH(B271,LR_Lane,0))</f>
        <v>3</v>
      </c>
      <c r="N271" s="31" t="n">
        <f aca="false">WORKDAY.INTL(L271,M271,INDEX(LR_Code,MATCH(B271,LR_Lane,0)),INDEX(DH_Table,0,MATCH(B271&amp;"*",DH_Head,0)))</f>
        <v>46688</v>
      </c>
      <c r="O271" s="35" t="n">
        <f aca="false">IF(W271&lt;&gt;"",W271,IF(U271="Helmond",IF(COUNTIFS(RC_Lane,B271,RC_Band,E271,RC_Transit,"&lt;&gt;")=0,"",SUMIFS(RC_Transit,RC_Lane,B271,RC_Band,E271)),IF(U271="Other","",IF(INDEX(RS_Transit,MATCH(B271,RS_Lane,0))="","",INDEX(RS_Transit,MATCH(B271,RS_Lane,0))))))</f>
        <v>1</v>
      </c>
      <c r="P271" s="36"/>
      <c r="Q271" s="31" t="n">
        <f aca="false">IF(P271&lt;&gt;"",P271,IF(O271="","",WORKDAY.INTL(L271,ROUNDUP(O271,0),INDEX(LR_Code,MATCH(B271,LR_Lane,0)),INDEX(DH_Table,0,MATCH(B271&amp;"*",DH_Head,0)))))</f>
        <v>46686</v>
      </c>
      <c r="R271" s="37" t="str">
        <f aca="false">IF(Q271="","",IF(Q271&lt;=N271,"Yes","No"))</f>
        <v>Yes</v>
      </c>
      <c r="S271" s="26" t="n">
        <f aca="false">IF(Q271="","",IF(Q271&lt;=N271,0,NETWORKDAYS.INTL(N271,Q271,INDEX(LR_Code,MATCH(B271,LR_Lane,0)),INDEX(DH_Table,0,MATCH(B271&amp;"*",DH_Head,0)))-1))</f>
        <v>0</v>
      </c>
      <c r="T271" s="4"/>
      <c r="U271" s="25" t="str">
        <f aca="false">IF(V271&lt;&gt;"",V271,IF(IFERROR(INDEX(RS_Flag,MATCH(B271,RS_Lane,0)),"")="Yes",IF(IFERROR(INDEX(RS_Loc,MATCH(B271,RS_Lane,0)),"")="","Regional stock",IFERROR(INDEX(RS_Loc,MATCH(B271,RS_Lane,0)),"")),"Helmond"))</f>
        <v>Helmond</v>
      </c>
      <c r="V271" s="17"/>
      <c r="W271" s="38"/>
      <c r="X271" s="39"/>
      <c r="Y271" s="40" t="n">
        <f aca="false">IF(X271&lt;&gt;"",X271,IF(U271="Helmond",IF(COUNTIFS(RC_Lane,B271,RC_Band,E271,RC_CostPS,"&gt;0")=0,"",SUMIFS(RC_CostPS,RC_Lane,B271,RC_Band,E271)*(1-SUMIFS(RC_Disc,RC_Lane,B271,RC_Band,E271))),IF(U271="Other","",IF(INDEX(RS_Rate,MATCH(B271,RS_Lane,0))="","",INDEX(RS_Rate,MATCH(B271,RS_Lane,0))))))</f>
        <v>72.485</v>
      </c>
    </row>
    <row r="272" customFormat="false" ht="15" hidden="false" customHeight="false" outlineLevel="0" collapsed="false">
      <c r="A272" s="3" t="s">
        <v>681</v>
      </c>
      <c r="B272" s="25" t="s">
        <v>112</v>
      </c>
      <c r="C272" s="8" t="s">
        <v>113</v>
      </c>
      <c r="D272" s="8" t="s">
        <v>152</v>
      </c>
      <c r="E272" s="8" t="s">
        <v>178</v>
      </c>
      <c r="F272" s="19" t="n">
        <v>3.8</v>
      </c>
      <c r="G272" s="33" t="n">
        <f aca="false">F272*0.006477</f>
        <v>0.0246126</v>
      </c>
      <c r="H272" s="19" t="n">
        <f aca="false">F272*1.079436</f>
        <v>4.1018568</v>
      </c>
      <c r="I272" s="18" t="n">
        <f aca="false">MAX(1,ROUNDUP(G272/0.096,0))</f>
        <v>1</v>
      </c>
      <c r="J272" s="31" t="n">
        <v>46686</v>
      </c>
      <c r="K272" s="34" t="n">
        <f aca="false">J272-WEEKDAY(J272,2)+1</f>
        <v>46685</v>
      </c>
      <c r="L272" s="31" t="n">
        <f aca="false">J272</f>
        <v>46686</v>
      </c>
      <c r="M272" s="26" t="n">
        <f aca="false">INDEX(LR_Target,MATCH(B272,LR_Lane,0))</f>
        <v>2</v>
      </c>
      <c r="N272" s="31" t="n">
        <f aca="false">WORKDAY.INTL(L272,M272,INDEX(LR_Code,MATCH(B272,LR_Lane,0)),INDEX(DH_Table,0,MATCH(B272&amp;"*",DH_Head,0)))</f>
        <v>46688</v>
      </c>
      <c r="O272" s="35" t="n">
        <f aca="false">IF(W272&lt;&gt;"",W272,IF(U272="Helmond",IF(COUNTIFS(RC_Lane,B272,RC_Band,E272,RC_Transit,"&lt;&gt;")=0,"",SUMIFS(RC_Transit,RC_Lane,B272,RC_Band,E272)),IF(U272="Other","",IF(INDEX(RS_Transit,MATCH(B272,RS_Lane,0))="","",INDEX(RS_Transit,MATCH(B272,RS_Lane,0))))))</f>
        <v>1</v>
      </c>
      <c r="P272" s="36"/>
      <c r="Q272" s="31" t="n">
        <f aca="false">IF(P272&lt;&gt;"",P272,IF(O272="","",WORKDAY.INTL(L272,ROUNDUP(O272,0),INDEX(LR_Code,MATCH(B272,LR_Lane,0)),INDEX(DH_Table,0,MATCH(B272&amp;"*",DH_Head,0)))))</f>
        <v>46687</v>
      </c>
      <c r="R272" s="37" t="str">
        <f aca="false">IF(Q272="","",IF(Q272&lt;=N272,"Yes","No"))</f>
        <v>Yes</v>
      </c>
      <c r="S272" s="26" t="n">
        <f aca="false">IF(Q272="","",IF(Q272&lt;=N272,0,NETWORKDAYS.INTL(N272,Q272,INDEX(LR_Code,MATCH(B272,LR_Lane,0)),INDEX(DH_Table,0,MATCH(B272&amp;"*",DH_Head,0)))-1))</f>
        <v>0</v>
      </c>
      <c r="T272" s="4"/>
      <c r="U272" s="25" t="str">
        <f aca="false">IF(V272&lt;&gt;"",V272,IF(IFERROR(INDEX(RS_Flag,MATCH(B272,RS_Lane,0)),"")="Yes",IF(IFERROR(INDEX(RS_Loc,MATCH(B272,RS_Lane,0)),"")="","Regional stock",IFERROR(INDEX(RS_Loc,MATCH(B272,RS_Lane,0)),"")),"Helmond"))</f>
        <v>Helmond</v>
      </c>
      <c r="V272" s="17"/>
      <c r="W272" s="38"/>
      <c r="X272" s="39"/>
      <c r="Y272" s="40" t="n">
        <f aca="false">IF(X272&lt;&gt;"",X272,IF(U272="Helmond",IF(COUNTIFS(RC_Lane,B272,RC_Band,E272,RC_CostPS,"&gt;0")=0,"",SUMIFS(RC_CostPS,RC_Lane,B272,RC_Band,E272)*(1-SUMIFS(RC_Disc,RC_Lane,B272,RC_Band,E272))),IF(U272="Other","",IF(INDEX(RS_Rate,MATCH(B272,RS_Lane,0))="","",INDEX(RS_Rate,MATCH(B272,RS_Lane,0))))))</f>
        <v>72.485</v>
      </c>
    </row>
    <row r="273" customFormat="false" ht="15" hidden="false" customHeight="false" outlineLevel="0" collapsed="false">
      <c r="A273" s="3" t="s">
        <v>682</v>
      </c>
      <c r="B273" s="25" t="s">
        <v>112</v>
      </c>
      <c r="C273" s="8" t="s">
        <v>113</v>
      </c>
      <c r="D273" s="8" t="s">
        <v>152</v>
      </c>
      <c r="E273" s="8" t="s">
        <v>178</v>
      </c>
      <c r="F273" s="19" t="n">
        <v>4.5</v>
      </c>
      <c r="G273" s="33" t="n">
        <f aca="false">F273*0.006477</f>
        <v>0.0291465</v>
      </c>
      <c r="H273" s="19" t="n">
        <f aca="false">F273*1.079436</f>
        <v>4.857462</v>
      </c>
      <c r="I273" s="18" t="n">
        <f aca="false">MAX(1,ROUNDUP(G273/0.096,0))</f>
        <v>1</v>
      </c>
      <c r="J273" s="31" t="n">
        <v>46687</v>
      </c>
      <c r="K273" s="34" t="n">
        <f aca="false">J273-WEEKDAY(J273,2)+1</f>
        <v>46685</v>
      </c>
      <c r="L273" s="31" t="n">
        <f aca="false">J273</f>
        <v>46687</v>
      </c>
      <c r="M273" s="26" t="n">
        <f aca="false">INDEX(LR_Target,MATCH(B273,LR_Lane,0))</f>
        <v>2</v>
      </c>
      <c r="N273" s="31" t="n">
        <f aca="false">WORKDAY.INTL(L273,M273,INDEX(LR_Code,MATCH(B273,LR_Lane,0)),INDEX(DH_Table,0,MATCH(B273&amp;"*",DH_Head,0)))</f>
        <v>46689</v>
      </c>
      <c r="O273" s="35" t="n">
        <f aca="false">IF(W273&lt;&gt;"",W273,IF(U273="Helmond",IF(COUNTIFS(RC_Lane,B273,RC_Band,E273,RC_Transit,"&lt;&gt;")=0,"",SUMIFS(RC_Transit,RC_Lane,B273,RC_Band,E273)),IF(U273="Other","",IF(INDEX(RS_Transit,MATCH(B273,RS_Lane,0))="","",INDEX(RS_Transit,MATCH(B273,RS_Lane,0))))))</f>
        <v>1</v>
      </c>
      <c r="P273" s="36"/>
      <c r="Q273" s="31" t="n">
        <f aca="false">IF(P273&lt;&gt;"",P273,IF(O273="","",WORKDAY.INTL(L273,ROUNDUP(O273,0),INDEX(LR_Code,MATCH(B273,LR_Lane,0)),INDEX(DH_Table,0,MATCH(B273&amp;"*",DH_Head,0)))))</f>
        <v>46688</v>
      </c>
      <c r="R273" s="37" t="str">
        <f aca="false">IF(Q273="","",IF(Q273&lt;=N273,"Yes","No"))</f>
        <v>Yes</v>
      </c>
      <c r="S273" s="26" t="n">
        <f aca="false">IF(Q273="","",IF(Q273&lt;=N273,0,NETWORKDAYS.INTL(N273,Q273,INDEX(LR_Code,MATCH(B273,LR_Lane,0)),INDEX(DH_Table,0,MATCH(B273&amp;"*",DH_Head,0)))-1))</f>
        <v>0</v>
      </c>
      <c r="T273" s="4"/>
      <c r="U273" s="25" t="str">
        <f aca="false">IF(V273&lt;&gt;"",V273,IF(IFERROR(INDEX(RS_Flag,MATCH(B273,RS_Lane,0)),"")="Yes",IF(IFERROR(INDEX(RS_Loc,MATCH(B273,RS_Lane,0)),"")="","Regional stock",IFERROR(INDEX(RS_Loc,MATCH(B273,RS_Lane,0)),"")),"Helmond"))</f>
        <v>Helmond</v>
      </c>
      <c r="V273" s="17"/>
      <c r="W273" s="38"/>
      <c r="X273" s="39"/>
      <c r="Y273" s="40" t="n">
        <f aca="false">IF(X273&lt;&gt;"",X273,IF(U273="Helmond",IF(COUNTIFS(RC_Lane,B273,RC_Band,E273,RC_CostPS,"&gt;0")=0,"",SUMIFS(RC_CostPS,RC_Lane,B273,RC_Band,E273)*(1-SUMIFS(RC_Disc,RC_Lane,B273,RC_Band,E273))),IF(U273="Other","",IF(INDEX(RS_Rate,MATCH(B273,RS_Lane,0))="","",INDEX(RS_Rate,MATCH(B273,RS_Lane,0))))))</f>
        <v>72.485</v>
      </c>
    </row>
    <row r="274" customFormat="false" ht="15" hidden="false" customHeight="false" outlineLevel="0" collapsed="false">
      <c r="A274" s="3" t="s">
        <v>683</v>
      </c>
      <c r="B274" s="25" t="s">
        <v>115</v>
      </c>
      <c r="C274" s="8" t="s">
        <v>116</v>
      </c>
      <c r="D274" s="8" t="s">
        <v>153</v>
      </c>
      <c r="E274" s="8" t="s">
        <v>182</v>
      </c>
      <c r="F274" s="19" t="n">
        <v>126.7</v>
      </c>
      <c r="G274" s="33" t="n">
        <f aca="false">F274*0.006477</f>
        <v>0.8206359</v>
      </c>
      <c r="H274" s="19" t="n">
        <f aca="false">F274*1.079436</f>
        <v>136.7645412</v>
      </c>
      <c r="I274" s="18" t="n">
        <f aca="false">MAX(1,ROUNDUP(G274/0.096,0))</f>
        <v>9</v>
      </c>
      <c r="J274" s="31" t="n">
        <v>46687</v>
      </c>
      <c r="K274" s="34" t="n">
        <f aca="false">J274-WEEKDAY(J274,2)+1</f>
        <v>46685</v>
      </c>
      <c r="L274" s="31" t="n">
        <f aca="false">J274</f>
        <v>46687</v>
      </c>
      <c r="M274" s="26" t="n">
        <f aca="false">INDEX(LR_Target,MATCH(B274,LR_Lane,0))</f>
        <v>2</v>
      </c>
      <c r="N274" s="31" t="n">
        <f aca="false">WORKDAY.INTL(L274,M274,INDEX(LR_Code,MATCH(B274,LR_Lane,0)),INDEX(DH_Table,0,MATCH(B274&amp;"*",DH_Head,0)))</f>
        <v>46691</v>
      </c>
      <c r="O274" s="35" t="n">
        <f aca="false">IF(W274&lt;&gt;"",W274,IF(U274="Helmond",IF(COUNTIFS(RC_Lane,B274,RC_Band,E274,RC_Transit,"&lt;&gt;")=0,"",SUMIFS(RC_Transit,RC_Lane,B274,RC_Band,E274)),IF(U274="Other","",IF(INDEX(RS_Transit,MATCH(B274,RS_Lane,0))="","",INDEX(RS_Transit,MATCH(B274,RS_Lane,0))))))</f>
        <v>3</v>
      </c>
      <c r="P274" s="36"/>
      <c r="Q274" s="31" t="n">
        <f aca="false">IF(P274&lt;&gt;"",P274,IF(O274="","",WORKDAY.INTL(L274,ROUNDUP(O274,0),INDEX(LR_Code,MATCH(B274,LR_Lane,0)),INDEX(DH_Table,0,MATCH(B274&amp;"*",DH_Head,0)))))</f>
        <v>46692</v>
      </c>
      <c r="R274" s="37" t="str">
        <f aca="false">IF(Q274="","",IF(Q274&lt;=N274,"Yes","No"))</f>
        <v>No</v>
      </c>
      <c r="S274" s="26" t="n">
        <f aca="false">IF(Q274="","",IF(Q274&lt;=N274,0,NETWORKDAYS.INTL(N274,Q274,INDEX(LR_Code,MATCH(B274,LR_Lane,0)),INDEX(DH_Table,0,MATCH(B274&amp;"*",DH_Head,0)))-1))</f>
        <v>1</v>
      </c>
      <c r="T274" s="4"/>
      <c r="U274" s="25" t="str">
        <f aca="false">IF(V274&lt;&gt;"",V274,IF(IFERROR(INDEX(RS_Flag,MATCH(B274,RS_Lane,0)),"")="Yes",IF(IFERROR(INDEX(RS_Loc,MATCH(B274,RS_Lane,0)),"")="","Regional stock",IFERROR(INDEX(RS_Loc,MATCH(B274,RS_Lane,0)),"")),"Helmond"))</f>
        <v>Helmond</v>
      </c>
      <c r="V274" s="17"/>
      <c r="W274" s="38"/>
      <c r="X274" s="39"/>
      <c r="Y274" s="40" t="n">
        <f aca="false">IF(X274&lt;&gt;"",X274,IF(U274="Helmond",IF(COUNTIFS(RC_Lane,B274,RC_Band,E274,RC_CostPS,"&gt;0")=0,"",SUMIFS(RC_CostPS,RC_Lane,B274,RC_Band,E274)*(1-SUMIFS(RC_Disc,RC_Lane,B274,RC_Band,E274))),IF(U274="Other","",IF(INDEX(RS_Rate,MATCH(B274,RS_Lane,0))="","",INDEX(RS_Rate,MATCH(B274,RS_Lane,0))))))</f>
        <v>1271.20393</v>
      </c>
    </row>
    <row r="275" customFormat="false" ht="15" hidden="false" customHeight="false" outlineLevel="0" collapsed="false">
      <c r="A275" s="3" t="s">
        <v>684</v>
      </c>
      <c r="B275" s="25" t="s">
        <v>129</v>
      </c>
      <c r="C275" s="8" t="s">
        <v>130</v>
      </c>
      <c r="D275" s="8" t="s">
        <v>159</v>
      </c>
      <c r="E275" s="8" t="s">
        <v>180</v>
      </c>
      <c r="F275" s="19" t="n">
        <v>52</v>
      </c>
      <c r="G275" s="33" t="n">
        <f aca="false">F275*0.006477</f>
        <v>0.336804</v>
      </c>
      <c r="H275" s="19" t="n">
        <f aca="false">F275*1.079436</f>
        <v>56.130672</v>
      </c>
      <c r="I275" s="18" t="n">
        <f aca="false">MAX(1,ROUNDUP(G275/0.096,0))</f>
        <v>4</v>
      </c>
      <c r="J275" s="31" t="n">
        <v>46687</v>
      </c>
      <c r="K275" s="34" t="n">
        <f aca="false">J275-WEEKDAY(J275,2)+1</f>
        <v>46685</v>
      </c>
      <c r="L275" s="31" t="n">
        <f aca="false">J275</f>
        <v>46687</v>
      </c>
      <c r="M275" s="26" t="n">
        <f aca="false">INDEX(LR_Target,MATCH(B275,LR_Lane,0))</f>
        <v>4</v>
      </c>
      <c r="N275" s="31" t="n">
        <f aca="false">WORKDAY.INTL(L275,M275,INDEX(LR_Code,MATCH(B275,LR_Lane,0)),INDEX(DH_Table,0,MATCH(B275&amp;"*",DH_Head,0)))</f>
        <v>46693</v>
      </c>
      <c r="O275" s="35" t="n">
        <f aca="false">IF(W275&lt;&gt;"",W275,IF(U275="Helmond",IF(COUNTIFS(RC_Lane,B275,RC_Band,E275,RC_Transit,"&lt;&gt;")=0,"",SUMIFS(RC_Transit,RC_Lane,B275,RC_Band,E275)),IF(U275="Other","",IF(INDEX(RS_Transit,MATCH(B275,RS_Lane,0))="","",INDEX(RS_Transit,MATCH(B275,RS_Lane,0))))))</f>
        <v>2</v>
      </c>
      <c r="P275" s="36"/>
      <c r="Q275" s="31" t="n">
        <f aca="false">IF(P275&lt;&gt;"",P275,IF(O275="","",WORKDAY.INTL(L275,ROUNDUP(O275,0),INDEX(LR_Code,MATCH(B275,LR_Lane,0)),INDEX(DH_Table,0,MATCH(B275&amp;"*",DH_Head,0)))))</f>
        <v>46689</v>
      </c>
      <c r="R275" s="37" t="str">
        <f aca="false">IF(Q275="","",IF(Q275&lt;=N275,"Yes","No"))</f>
        <v>Yes</v>
      </c>
      <c r="S275" s="26" t="n">
        <f aca="false">IF(Q275="","",IF(Q275&lt;=N275,0,NETWORKDAYS.INTL(N275,Q275,INDEX(LR_Code,MATCH(B275,LR_Lane,0)),INDEX(DH_Table,0,MATCH(B275&amp;"*",DH_Head,0)))-1))</f>
        <v>0</v>
      </c>
      <c r="T275" s="4"/>
      <c r="U275" s="25" t="str">
        <f aca="false">IF(V275&lt;&gt;"",V275,IF(IFERROR(INDEX(RS_Flag,MATCH(B275,RS_Lane,0)),"")="Yes",IF(IFERROR(INDEX(RS_Loc,MATCH(B275,RS_Lane,0)),"")="","Regional stock",IFERROR(INDEX(RS_Loc,MATCH(B275,RS_Lane,0)),"")),"Helmond"))</f>
        <v>Helmond</v>
      </c>
      <c r="V275" s="17"/>
      <c r="W275" s="38"/>
      <c r="X275" s="39"/>
      <c r="Y275" s="40" t="n">
        <f aca="false">IF(X275&lt;&gt;"",X275,IF(U275="Helmond",IF(COUNTIFS(RC_Lane,B275,RC_Band,E275,RC_CostPS,"&gt;0")=0,"",SUMIFS(RC_CostPS,RC_Lane,B275,RC_Band,E275)*(1-SUMIFS(RC_Disc,RC_Lane,B275,RC_Band,E275))),IF(U275="Other","",IF(INDEX(RS_Rate,MATCH(B275,RS_Lane,0))="","",INDEX(RS_Rate,MATCH(B275,RS_Lane,0))))))</f>
        <v>200.23416</v>
      </c>
    </row>
    <row r="276" customFormat="false" ht="15" hidden="false" customHeight="false" outlineLevel="0" collapsed="false">
      <c r="A276" s="3" t="s">
        <v>685</v>
      </c>
      <c r="B276" s="25" t="s">
        <v>108</v>
      </c>
      <c r="C276" s="8" t="s">
        <v>109</v>
      </c>
      <c r="D276" s="8" t="s">
        <v>270</v>
      </c>
      <c r="E276" s="8" t="s">
        <v>178</v>
      </c>
      <c r="F276" s="19" t="n">
        <v>3.1</v>
      </c>
      <c r="G276" s="33" t="n">
        <f aca="false">F276*0.006477</f>
        <v>0.0200787</v>
      </c>
      <c r="H276" s="19" t="n">
        <f aca="false">F276*1.079436</f>
        <v>3.3462516</v>
      </c>
      <c r="I276" s="18" t="n">
        <f aca="false">MAX(1,ROUNDUP(G276/0.096,0))</f>
        <v>1</v>
      </c>
      <c r="J276" s="31" t="n">
        <v>46688</v>
      </c>
      <c r="K276" s="34" t="n">
        <f aca="false">J276-WEEKDAY(J276,2)+1</f>
        <v>46685</v>
      </c>
      <c r="L276" s="31" t="n">
        <f aca="false">J276</f>
        <v>46688</v>
      </c>
      <c r="M276" s="26" t="n">
        <f aca="false">INDEX(LR_Target,MATCH(B276,LR_Lane,0))</f>
        <v>2</v>
      </c>
      <c r="N276" s="31" t="n">
        <f aca="false">WORKDAY.INTL(L276,M276,INDEX(LR_Code,MATCH(B276,LR_Lane,0)),INDEX(DH_Table,0,MATCH(B276&amp;"*",DH_Head,0)))</f>
        <v>46692</v>
      </c>
      <c r="O276" s="35" t="n">
        <f aca="false">IF(W276&lt;&gt;"",W276,IF(U276="Helmond",IF(COUNTIFS(RC_Lane,B276,RC_Band,E276,RC_Transit,"&lt;&gt;")=0,"",SUMIFS(RC_Transit,RC_Lane,B276,RC_Band,E276)),IF(U276="Other","",IF(INDEX(RS_Transit,MATCH(B276,RS_Lane,0))="","",INDEX(RS_Transit,MATCH(B276,RS_Lane,0))))))</f>
        <v>1</v>
      </c>
      <c r="P276" s="36"/>
      <c r="Q276" s="31" t="n">
        <f aca="false">IF(P276&lt;&gt;"",P276,IF(O276="","",WORKDAY.INTL(L276,ROUNDUP(O276,0),INDEX(LR_Code,MATCH(B276,LR_Lane,0)),INDEX(DH_Table,0,MATCH(B276&amp;"*",DH_Head,0)))))</f>
        <v>46691</v>
      </c>
      <c r="R276" s="37" t="str">
        <f aca="false">IF(Q276="","",IF(Q276&lt;=N276,"Yes","No"))</f>
        <v>Yes</v>
      </c>
      <c r="S276" s="26" t="n">
        <f aca="false">IF(Q276="","",IF(Q276&lt;=N276,0,NETWORKDAYS.INTL(N276,Q276,INDEX(LR_Code,MATCH(B276,LR_Lane,0)),INDEX(DH_Table,0,MATCH(B276&amp;"*",DH_Head,0)))-1))</f>
        <v>0</v>
      </c>
      <c r="T276" s="4"/>
      <c r="U276" s="25" t="str">
        <f aca="false">IF(V276&lt;&gt;"",V276,IF(IFERROR(INDEX(RS_Flag,MATCH(B276,RS_Lane,0)),"")="Yes",IF(IFERROR(INDEX(RS_Loc,MATCH(B276,RS_Lane,0)),"")="","Regional stock",IFERROR(INDEX(RS_Loc,MATCH(B276,RS_Lane,0)),"")),"Helmond"))</f>
        <v>Helmond</v>
      </c>
      <c r="V276" s="17"/>
      <c r="W276" s="38"/>
      <c r="X276" s="39"/>
      <c r="Y276" s="40" t="n">
        <f aca="false">IF(X276&lt;&gt;"",X276,IF(U276="Helmond",IF(COUNTIFS(RC_Lane,B276,RC_Band,E276,RC_CostPS,"&gt;0")=0,"",SUMIFS(RC_CostPS,RC_Lane,B276,RC_Band,E276)*(1-SUMIFS(RC_Disc,RC_Lane,B276,RC_Band,E276))),IF(U276="Other","",IF(INDEX(RS_Rate,MATCH(B276,RS_Lane,0))="","",INDEX(RS_Rate,MATCH(B276,RS_Lane,0))))))</f>
        <v>72.485</v>
      </c>
    </row>
    <row r="277" customFormat="false" ht="15" hidden="false" customHeight="false" outlineLevel="0" collapsed="false">
      <c r="A277" s="3" t="s">
        <v>686</v>
      </c>
      <c r="B277" s="25" t="s">
        <v>108</v>
      </c>
      <c r="C277" s="8" t="s">
        <v>109</v>
      </c>
      <c r="D277" s="8" t="s">
        <v>270</v>
      </c>
      <c r="E277" s="8" t="s">
        <v>182</v>
      </c>
      <c r="F277" s="19" t="n">
        <v>292.1</v>
      </c>
      <c r="G277" s="33" t="n">
        <f aca="false">F277*0.006477</f>
        <v>1.8919317</v>
      </c>
      <c r="H277" s="19" t="n">
        <f aca="false">F277*1.079436</f>
        <v>315.3032556</v>
      </c>
      <c r="I277" s="18" t="n">
        <f aca="false">MAX(1,ROUNDUP(G277/0.096,0))</f>
        <v>20</v>
      </c>
      <c r="J277" s="31" t="n">
        <v>46688</v>
      </c>
      <c r="K277" s="34" t="n">
        <f aca="false">J277-WEEKDAY(J277,2)+1</f>
        <v>46685</v>
      </c>
      <c r="L277" s="31" t="n">
        <f aca="false">J277</f>
        <v>46688</v>
      </c>
      <c r="M277" s="26" t="n">
        <f aca="false">INDEX(LR_Target,MATCH(B277,LR_Lane,0))</f>
        <v>2</v>
      </c>
      <c r="N277" s="31" t="n">
        <f aca="false">WORKDAY.INTL(L277,M277,INDEX(LR_Code,MATCH(B277,LR_Lane,0)),INDEX(DH_Table,0,MATCH(B277&amp;"*",DH_Head,0)))</f>
        <v>46692</v>
      </c>
      <c r="O277" s="35" t="n">
        <f aca="false">IF(W277&lt;&gt;"",W277,IF(U277="Helmond",IF(COUNTIFS(RC_Lane,B277,RC_Band,E277,RC_Transit,"&lt;&gt;")=0,"",SUMIFS(RC_Transit,RC_Lane,B277,RC_Band,E277)),IF(U277="Other","",IF(INDEX(RS_Transit,MATCH(B277,RS_Lane,0))="","",INDEX(RS_Transit,MATCH(B277,RS_Lane,0))))))</f>
        <v>3</v>
      </c>
      <c r="P277" s="36"/>
      <c r="Q277" s="31" t="n">
        <f aca="false">IF(P277&lt;&gt;"",P277,IF(O277="","",WORKDAY.INTL(L277,ROUNDUP(O277,0),INDEX(LR_Code,MATCH(B277,LR_Lane,0)),INDEX(DH_Table,0,MATCH(B277&amp;"*",DH_Head,0)))))</f>
        <v>46693</v>
      </c>
      <c r="R277" s="37" t="str">
        <f aca="false">IF(Q277="","",IF(Q277&lt;=N277,"Yes","No"))</f>
        <v>No</v>
      </c>
      <c r="S277" s="26" t="n">
        <f aca="false">IF(Q277="","",IF(Q277&lt;=N277,0,NETWORKDAYS.INTL(N277,Q277,INDEX(LR_Code,MATCH(B277,LR_Lane,0)),INDEX(DH_Table,0,MATCH(B277&amp;"*",DH_Head,0)))-1))</f>
        <v>1</v>
      </c>
      <c r="T277" s="4"/>
      <c r="U277" s="25" t="str">
        <f aca="false">IF(V277&lt;&gt;"",V277,IF(IFERROR(INDEX(RS_Flag,MATCH(B277,RS_Lane,0)),"")="Yes",IF(IFERROR(INDEX(RS_Loc,MATCH(B277,RS_Lane,0)),"")="","Regional stock",IFERROR(INDEX(RS_Loc,MATCH(B277,RS_Lane,0)),"")),"Helmond"))</f>
        <v>Helmond</v>
      </c>
      <c r="V277" s="17"/>
      <c r="W277" s="38"/>
      <c r="X277" s="39"/>
      <c r="Y277" s="40" t="n">
        <f aca="false">IF(X277&lt;&gt;"",X277,IF(U277="Helmond",IF(COUNTIFS(RC_Lane,B277,RC_Band,E277,RC_CostPS,"&gt;0")=0,"",SUMIFS(RC_CostPS,RC_Lane,B277,RC_Band,E277)*(1-SUMIFS(RC_Disc,RC_Lane,B277,RC_Band,E277))),IF(U277="Other","",IF(INDEX(RS_Rate,MATCH(B277,RS_Lane,0))="","",INDEX(RS_Rate,MATCH(B277,RS_Lane,0))))))</f>
        <v>1009.7531</v>
      </c>
    </row>
    <row r="278" customFormat="false" ht="15" hidden="false" customHeight="false" outlineLevel="0" collapsed="false">
      <c r="A278" s="3" t="s">
        <v>687</v>
      </c>
      <c r="B278" s="25" t="s">
        <v>108</v>
      </c>
      <c r="C278" s="8" t="s">
        <v>109</v>
      </c>
      <c r="D278" s="8" t="s">
        <v>272</v>
      </c>
      <c r="E278" s="8" t="s">
        <v>180</v>
      </c>
      <c r="F278" s="19" t="n">
        <v>63.3</v>
      </c>
      <c r="G278" s="33" t="n">
        <f aca="false">F278*0.006477</f>
        <v>0.4099941</v>
      </c>
      <c r="H278" s="19" t="n">
        <f aca="false">F278*1.079436</f>
        <v>68.3282988</v>
      </c>
      <c r="I278" s="18" t="n">
        <f aca="false">MAX(1,ROUNDUP(G278/0.096,0))</f>
        <v>5</v>
      </c>
      <c r="J278" s="31" t="n">
        <v>46688</v>
      </c>
      <c r="K278" s="34" t="n">
        <f aca="false">J278-WEEKDAY(J278,2)+1</f>
        <v>46685</v>
      </c>
      <c r="L278" s="31" t="n">
        <f aca="false">J278</f>
        <v>46688</v>
      </c>
      <c r="M278" s="26" t="n">
        <f aca="false">INDEX(LR_Target,MATCH(B278,LR_Lane,0))</f>
        <v>2</v>
      </c>
      <c r="N278" s="31" t="n">
        <f aca="false">WORKDAY.INTL(L278,M278,INDEX(LR_Code,MATCH(B278,LR_Lane,0)),INDEX(DH_Table,0,MATCH(B278&amp;"*",DH_Head,0)))</f>
        <v>46692</v>
      </c>
      <c r="O278" s="35" t="n">
        <f aca="false">IF(W278&lt;&gt;"",W278,IF(U278="Helmond",IF(COUNTIFS(RC_Lane,B278,RC_Band,E278,RC_Transit,"&lt;&gt;")=0,"",SUMIFS(RC_Transit,RC_Lane,B278,RC_Band,E278)),IF(U278="Other","",IF(INDEX(RS_Transit,MATCH(B278,RS_Lane,0))="","",INDEX(RS_Transit,MATCH(B278,RS_Lane,0))))))</f>
        <v>2</v>
      </c>
      <c r="P278" s="36"/>
      <c r="Q278" s="31" t="n">
        <f aca="false">IF(P278&lt;&gt;"",P278,IF(O278="","",WORKDAY.INTL(L278,ROUNDUP(O278,0),INDEX(LR_Code,MATCH(B278,LR_Lane,0)),INDEX(DH_Table,0,MATCH(B278&amp;"*",DH_Head,0)))))</f>
        <v>46692</v>
      </c>
      <c r="R278" s="37" t="str">
        <f aca="false">IF(Q278="","",IF(Q278&lt;=N278,"Yes","No"))</f>
        <v>Yes</v>
      </c>
      <c r="S278" s="26" t="n">
        <f aca="false">IF(Q278="","",IF(Q278&lt;=N278,0,NETWORKDAYS.INTL(N278,Q278,INDEX(LR_Code,MATCH(B278,LR_Lane,0)),INDEX(DH_Table,0,MATCH(B278&amp;"*",DH_Head,0)))-1))</f>
        <v>0</v>
      </c>
      <c r="T278" s="4"/>
      <c r="U278" s="25" t="str">
        <f aca="false">IF(V278&lt;&gt;"",V278,IF(IFERROR(INDEX(RS_Flag,MATCH(B278,RS_Lane,0)),"")="Yes",IF(IFERROR(INDEX(RS_Loc,MATCH(B278,RS_Lane,0)),"")="","Regional stock",IFERROR(INDEX(RS_Loc,MATCH(B278,RS_Lane,0)),"")),"Helmond"))</f>
        <v>Helmond</v>
      </c>
      <c r="V278" s="17"/>
      <c r="W278" s="38"/>
      <c r="X278" s="39"/>
      <c r="Y278" s="40" t="n">
        <f aca="false">IF(X278&lt;&gt;"",X278,IF(U278="Helmond",IF(COUNTIFS(RC_Lane,B278,RC_Band,E278,RC_CostPS,"&gt;0")=0,"",SUMIFS(RC_CostPS,RC_Lane,B278,RC_Band,E278)*(1-SUMIFS(RC_Disc,RC_Lane,B278,RC_Band,E278))),IF(U278="Other","",IF(INDEX(RS_Rate,MATCH(B278,RS_Lane,0))="","",INDEX(RS_Rate,MATCH(B278,RS_Lane,0))))))</f>
        <v>284.98176</v>
      </c>
    </row>
    <row r="279" customFormat="false" ht="15" hidden="false" customHeight="false" outlineLevel="0" collapsed="false">
      <c r="A279" s="3" t="s">
        <v>688</v>
      </c>
      <c r="B279" s="25" t="s">
        <v>119</v>
      </c>
      <c r="C279" s="8" t="s">
        <v>120</v>
      </c>
      <c r="D279" s="8" t="s">
        <v>155</v>
      </c>
      <c r="E279" s="8" t="s">
        <v>182</v>
      </c>
      <c r="F279" s="19" t="n">
        <v>410.1</v>
      </c>
      <c r="G279" s="33" t="n">
        <f aca="false">F279*0.006477</f>
        <v>2.6562177</v>
      </c>
      <c r="H279" s="19" t="n">
        <f aca="false">F279*1.079436</f>
        <v>442.6767036</v>
      </c>
      <c r="I279" s="18" t="n">
        <f aca="false">MAX(1,ROUNDUP(G279/0.096,0))</f>
        <v>28</v>
      </c>
      <c r="J279" s="31" t="n">
        <v>46688</v>
      </c>
      <c r="K279" s="34" t="n">
        <f aca="false">J279-WEEKDAY(J279,2)+1</f>
        <v>46685</v>
      </c>
      <c r="L279" s="31" t="n">
        <f aca="false">J279</f>
        <v>46688</v>
      </c>
      <c r="M279" s="26" t="n">
        <f aca="false">INDEX(LR_Target,MATCH(B279,LR_Lane,0))</f>
        <v>3</v>
      </c>
      <c r="N279" s="31" t="n">
        <f aca="false">WORKDAY.INTL(L279,M279,INDEX(LR_Code,MATCH(B279,LR_Lane,0)),INDEX(DH_Table,0,MATCH(B279&amp;"*",DH_Head,0)))</f>
        <v>46694</v>
      </c>
      <c r="O279" s="35" t="n">
        <f aca="false">IF(W279&lt;&gt;"",W279,IF(U279="Helmond",IF(COUNTIFS(RC_Lane,B279,RC_Band,E279,RC_Transit,"&lt;&gt;")=0,"",SUMIFS(RC_Transit,RC_Lane,B279,RC_Band,E279)),IF(U279="Other","",IF(INDEX(RS_Transit,MATCH(B279,RS_Lane,0))="","",INDEX(RS_Transit,MATCH(B279,RS_Lane,0))))))</f>
        <v>3</v>
      </c>
      <c r="P279" s="36"/>
      <c r="Q279" s="31" t="n">
        <f aca="false">IF(P279&lt;&gt;"",P279,IF(O279="","",WORKDAY.INTL(L279,ROUNDUP(O279,0),INDEX(LR_Code,MATCH(B279,LR_Lane,0)),INDEX(DH_Table,0,MATCH(B279&amp;"*",DH_Head,0)))))</f>
        <v>46694</v>
      </c>
      <c r="R279" s="37" t="str">
        <f aca="false">IF(Q279="","",IF(Q279&lt;=N279,"Yes","No"))</f>
        <v>Yes</v>
      </c>
      <c r="S279" s="26" t="n">
        <f aca="false">IF(Q279="","",IF(Q279&lt;=N279,0,NETWORKDAYS.INTL(N279,Q279,INDEX(LR_Code,MATCH(B279,LR_Lane,0)),INDEX(DH_Table,0,MATCH(B279&amp;"*",DH_Head,0)))-1))</f>
        <v>0</v>
      </c>
      <c r="T279" s="4"/>
      <c r="U279" s="25" t="str">
        <f aca="false">IF(V279&lt;&gt;"",V279,IF(IFERROR(INDEX(RS_Flag,MATCH(B279,RS_Lane,0)),"")="Yes",IF(IFERROR(INDEX(RS_Loc,MATCH(B279,RS_Lane,0)),"")="","Regional stock",IFERROR(INDEX(RS_Loc,MATCH(B279,RS_Lane,0)),"")),"Helmond"))</f>
        <v>Helmond</v>
      </c>
      <c r="V279" s="17"/>
      <c r="W279" s="38"/>
      <c r="X279" s="39"/>
      <c r="Y279" s="40" t="n">
        <f aca="false">IF(X279&lt;&gt;"",X279,IF(U279="Helmond",IF(COUNTIFS(RC_Lane,B279,RC_Band,E279,RC_CostPS,"&gt;0")=0,"",SUMIFS(RC_CostPS,RC_Lane,B279,RC_Band,E279)*(1-SUMIFS(RC_Disc,RC_Lane,B279,RC_Band,E279))),IF(U279="Other","",IF(INDEX(RS_Rate,MATCH(B279,RS_Lane,0))="","",INDEX(RS_Rate,MATCH(B279,RS_Lane,0))))))</f>
        <v>1400.35434</v>
      </c>
    </row>
    <row r="280" customFormat="false" ht="15" hidden="false" customHeight="false" outlineLevel="0" collapsed="false">
      <c r="A280" s="3" t="s">
        <v>689</v>
      </c>
      <c r="B280" s="25" t="s">
        <v>117</v>
      </c>
      <c r="C280" s="8" t="s">
        <v>118</v>
      </c>
      <c r="D280" s="8" t="s">
        <v>154</v>
      </c>
      <c r="E280" s="8" t="s">
        <v>180</v>
      </c>
      <c r="F280" s="19" t="n">
        <v>78.8</v>
      </c>
      <c r="G280" s="33" t="n">
        <f aca="false">F280*0.006477</f>
        <v>0.5103876</v>
      </c>
      <c r="H280" s="19" t="n">
        <f aca="false">F280*1.079436</f>
        <v>85.0595568</v>
      </c>
      <c r="I280" s="18" t="n">
        <f aca="false">MAX(1,ROUNDUP(G280/0.096,0))</f>
        <v>6</v>
      </c>
      <c r="J280" s="31" t="n">
        <v>46689</v>
      </c>
      <c r="K280" s="34" t="n">
        <f aca="false">J280-WEEKDAY(J280,2)+1</f>
        <v>46685</v>
      </c>
      <c r="L280" s="31" t="n">
        <f aca="false">J280</f>
        <v>46689</v>
      </c>
      <c r="M280" s="26" t="n">
        <f aca="false">INDEX(LR_Target,MATCH(B280,LR_Lane,0))</f>
        <v>2</v>
      </c>
      <c r="N280" s="31" t="n">
        <f aca="false">WORKDAY.INTL(L280,M280,INDEX(LR_Code,MATCH(B280,LR_Lane,0)),INDEX(DH_Table,0,MATCH(B280&amp;"*",DH_Head,0)))</f>
        <v>46692</v>
      </c>
      <c r="O280" s="35" t="n">
        <f aca="false">IF(W280&lt;&gt;"",W280,IF(U280="Helmond",IF(COUNTIFS(RC_Lane,B280,RC_Band,E280,RC_Transit,"&lt;&gt;")=0,"",SUMIFS(RC_Transit,RC_Lane,B280,RC_Band,E280)),IF(U280="Other","",IF(INDEX(RS_Transit,MATCH(B280,RS_Lane,0))="","",INDEX(RS_Transit,MATCH(B280,RS_Lane,0))))))</f>
        <v>2</v>
      </c>
      <c r="P280" s="36"/>
      <c r="Q280" s="31" t="n">
        <f aca="false">IF(P280&lt;&gt;"",P280,IF(O280="","",WORKDAY.INTL(L280,ROUNDUP(O280,0),INDEX(LR_Code,MATCH(B280,LR_Lane,0)),INDEX(DH_Table,0,MATCH(B280&amp;"*",DH_Head,0)))))</f>
        <v>46692</v>
      </c>
      <c r="R280" s="37" t="str">
        <f aca="false">IF(Q280="","",IF(Q280&lt;=N280,"Yes","No"))</f>
        <v>Yes</v>
      </c>
      <c r="S280" s="26" t="n">
        <f aca="false">IF(Q280="","",IF(Q280&lt;=N280,0,NETWORKDAYS.INTL(N280,Q280,INDEX(LR_Code,MATCH(B280,LR_Lane,0)),INDEX(DH_Table,0,MATCH(B280&amp;"*",DH_Head,0)))-1))</f>
        <v>0</v>
      </c>
      <c r="T280" s="4"/>
      <c r="U280" s="25" t="str">
        <f aca="false">IF(V280&lt;&gt;"",V280,IF(IFERROR(INDEX(RS_Flag,MATCH(B280,RS_Lane,0)),"")="Yes",IF(IFERROR(INDEX(RS_Loc,MATCH(B280,RS_Lane,0)),"")="","Regional stock",IFERROR(INDEX(RS_Loc,MATCH(B280,RS_Lane,0)),"")),"Helmond"))</f>
        <v>Helmond</v>
      </c>
      <c r="V280" s="17"/>
      <c r="W280" s="38"/>
      <c r="X280" s="39"/>
      <c r="Y280" s="40" t="n">
        <f aca="false">IF(X280&lt;&gt;"",X280,IF(U280="Helmond",IF(COUNTIFS(RC_Lane,B280,RC_Band,E280,RC_CostPS,"&gt;0")=0,"",SUMIFS(RC_CostPS,RC_Lane,B280,RC_Band,E280)*(1-SUMIFS(RC_Disc,RC_Lane,B280,RC_Band,E280))),IF(U280="Other","",IF(INDEX(RS_Rate,MATCH(B280,RS_Lane,0))="","",INDEX(RS_Rate,MATCH(B280,RS_Lane,0))))))</f>
        <v>154.40768</v>
      </c>
    </row>
    <row r="281" customFormat="false" ht="15" hidden="false" customHeight="false" outlineLevel="0" collapsed="false">
      <c r="A281" s="3" t="s">
        <v>690</v>
      </c>
      <c r="B281" s="25" t="s">
        <v>115</v>
      </c>
      <c r="C281" s="8" t="s">
        <v>116</v>
      </c>
      <c r="D281" s="8" t="s">
        <v>153</v>
      </c>
      <c r="E281" s="8" t="s">
        <v>182</v>
      </c>
      <c r="F281" s="19" t="n">
        <v>276.8</v>
      </c>
      <c r="G281" s="33" t="n">
        <f aca="false">F281*0.006477</f>
        <v>1.7928336</v>
      </c>
      <c r="H281" s="19" t="n">
        <f aca="false">F281*1.079436</f>
        <v>298.7878848</v>
      </c>
      <c r="I281" s="18" t="n">
        <f aca="false">MAX(1,ROUNDUP(G281/0.096,0))</f>
        <v>19</v>
      </c>
      <c r="J281" s="31" t="n">
        <v>46693</v>
      </c>
      <c r="K281" s="34" t="n">
        <f aca="false">J281-WEEKDAY(J281,2)+1</f>
        <v>46692</v>
      </c>
      <c r="L281" s="31" t="n">
        <f aca="false">J281</f>
        <v>46693</v>
      </c>
      <c r="M281" s="26" t="n">
        <f aca="false">INDEX(LR_Target,MATCH(B281,LR_Lane,0))</f>
        <v>2</v>
      </c>
      <c r="N281" s="31" t="n">
        <f aca="false">WORKDAY.INTL(L281,M281,INDEX(LR_Code,MATCH(B281,LR_Lane,0)),INDEX(DH_Table,0,MATCH(B281&amp;"*",DH_Head,0)))</f>
        <v>46695</v>
      </c>
      <c r="O281" s="35" t="n">
        <f aca="false">IF(W281&lt;&gt;"",W281,IF(U281="Helmond",IF(COUNTIFS(RC_Lane,B281,RC_Band,E281,RC_Transit,"&lt;&gt;")=0,"",SUMIFS(RC_Transit,RC_Lane,B281,RC_Band,E281)),IF(U281="Other","",IF(INDEX(RS_Transit,MATCH(B281,RS_Lane,0))="","",INDEX(RS_Transit,MATCH(B281,RS_Lane,0))))))</f>
        <v>3</v>
      </c>
      <c r="P281" s="36"/>
      <c r="Q281" s="31" t="n">
        <f aca="false">IF(P281&lt;&gt;"",P281,IF(O281="","",WORKDAY.INTL(L281,ROUNDUP(O281,0),INDEX(LR_Code,MATCH(B281,LR_Lane,0)),INDEX(DH_Table,0,MATCH(B281&amp;"*",DH_Head,0)))))</f>
        <v>46698</v>
      </c>
      <c r="R281" s="37" t="str">
        <f aca="false">IF(Q281="","",IF(Q281&lt;=N281,"Yes","No"))</f>
        <v>No</v>
      </c>
      <c r="S281" s="26" t="n">
        <f aca="false">IF(Q281="","",IF(Q281&lt;=N281,0,NETWORKDAYS.INTL(N281,Q281,INDEX(LR_Code,MATCH(B281,LR_Lane,0)),INDEX(DH_Table,0,MATCH(B281&amp;"*",DH_Head,0)))-1))</f>
        <v>1</v>
      </c>
      <c r="T281" s="4"/>
      <c r="U281" s="25" t="str">
        <f aca="false">IF(V281&lt;&gt;"",V281,IF(IFERROR(INDEX(RS_Flag,MATCH(B281,RS_Lane,0)),"")="Yes",IF(IFERROR(INDEX(RS_Loc,MATCH(B281,RS_Lane,0)),"")="","Regional stock",IFERROR(INDEX(RS_Loc,MATCH(B281,RS_Lane,0)),"")),"Helmond"))</f>
        <v>Helmond</v>
      </c>
      <c r="V281" s="17"/>
      <c r="W281" s="38"/>
      <c r="X281" s="39"/>
      <c r="Y281" s="40" t="n">
        <f aca="false">IF(X281&lt;&gt;"",X281,IF(U281="Helmond",IF(COUNTIFS(RC_Lane,B281,RC_Band,E281,RC_CostPS,"&gt;0")=0,"",SUMIFS(RC_CostPS,RC_Lane,B281,RC_Band,E281)*(1-SUMIFS(RC_Disc,RC_Lane,B281,RC_Band,E281))),IF(U281="Other","",IF(INDEX(RS_Rate,MATCH(B281,RS_Lane,0))="","",INDEX(RS_Rate,MATCH(B281,RS_Lane,0))))))</f>
        <v>1271.20393</v>
      </c>
    </row>
    <row r="282" customFormat="false" ht="15" hidden="false" customHeight="false" outlineLevel="0" collapsed="false">
      <c r="A282" s="3" t="s">
        <v>691</v>
      </c>
      <c r="B282" s="25" t="s">
        <v>108</v>
      </c>
      <c r="C282" s="8" t="s">
        <v>109</v>
      </c>
      <c r="D282" s="8" t="s">
        <v>272</v>
      </c>
      <c r="E282" s="8" t="s">
        <v>182</v>
      </c>
      <c r="F282" s="19" t="n">
        <v>233.4</v>
      </c>
      <c r="G282" s="33" t="n">
        <f aca="false">F282*0.006477</f>
        <v>1.5117318</v>
      </c>
      <c r="H282" s="19" t="n">
        <f aca="false">F282*1.079436</f>
        <v>251.9403624</v>
      </c>
      <c r="I282" s="18" t="n">
        <f aca="false">MAX(1,ROUNDUP(G282/0.096,0))</f>
        <v>16</v>
      </c>
      <c r="J282" s="31" t="n">
        <v>46694</v>
      </c>
      <c r="K282" s="34" t="n">
        <f aca="false">J282-WEEKDAY(J282,2)+1</f>
        <v>46692</v>
      </c>
      <c r="L282" s="31" t="n">
        <f aca="false">J282</f>
        <v>46694</v>
      </c>
      <c r="M282" s="26" t="n">
        <f aca="false">INDEX(LR_Target,MATCH(B282,LR_Lane,0))</f>
        <v>2</v>
      </c>
      <c r="N282" s="31" t="n">
        <f aca="false">WORKDAY.INTL(L282,M282,INDEX(LR_Code,MATCH(B282,LR_Lane,0)),INDEX(DH_Table,0,MATCH(B282&amp;"*",DH_Head,0)))</f>
        <v>46698</v>
      </c>
      <c r="O282" s="35" t="n">
        <f aca="false">IF(W282&lt;&gt;"",W282,IF(U282="Helmond",IF(COUNTIFS(RC_Lane,B282,RC_Band,E282,RC_Transit,"&lt;&gt;")=0,"",SUMIFS(RC_Transit,RC_Lane,B282,RC_Band,E282)),IF(U282="Other","",IF(INDEX(RS_Transit,MATCH(B282,RS_Lane,0))="","",INDEX(RS_Transit,MATCH(B282,RS_Lane,0))))))</f>
        <v>3</v>
      </c>
      <c r="P282" s="36"/>
      <c r="Q282" s="31" t="n">
        <f aca="false">IF(P282&lt;&gt;"",P282,IF(O282="","",WORKDAY.INTL(L282,ROUNDUP(O282,0),INDEX(LR_Code,MATCH(B282,LR_Lane,0)),INDEX(DH_Table,0,MATCH(B282&amp;"*",DH_Head,0)))))</f>
        <v>46699</v>
      </c>
      <c r="R282" s="37" t="str">
        <f aca="false">IF(Q282="","",IF(Q282&lt;=N282,"Yes","No"))</f>
        <v>No</v>
      </c>
      <c r="S282" s="26" t="n">
        <f aca="false">IF(Q282="","",IF(Q282&lt;=N282,0,NETWORKDAYS.INTL(N282,Q282,INDEX(LR_Code,MATCH(B282,LR_Lane,0)),INDEX(DH_Table,0,MATCH(B282&amp;"*",DH_Head,0)))-1))</f>
        <v>1</v>
      </c>
      <c r="T282" s="4"/>
      <c r="U282" s="25" t="str">
        <f aca="false">IF(V282&lt;&gt;"",V282,IF(IFERROR(INDEX(RS_Flag,MATCH(B282,RS_Lane,0)),"")="Yes",IF(IFERROR(INDEX(RS_Loc,MATCH(B282,RS_Lane,0)),"")="","Regional stock",IFERROR(INDEX(RS_Loc,MATCH(B282,RS_Lane,0)),"")),"Helmond"))</f>
        <v>Helmond</v>
      </c>
      <c r="V282" s="17"/>
      <c r="W282" s="38"/>
      <c r="X282" s="39"/>
      <c r="Y282" s="40" t="n">
        <f aca="false">IF(X282&lt;&gt;"",X282,IF(U282="Helmond",IF(COUNTIFS(RC_Lane,B282,RC_Band,E282,RC_CostPS,"&gt;0")=0,"",SUMIFS(RC_CostPS,RC_Lane,B282,RC_Band,E282)*(1-SUMIFS(RC_Disc,RC_Lane,B282,RC_Band,E282))),IF(U282="Other","",IF(INDEX(RS_Rate,MATCH(B282,RS_Lane,0))="","",INDEX(RS_Rate,MATCH(B282,RS_Lane,0))))))</f>
        <v>1009.7531</v>
      </c>
    </row>
    <row r="283" customFormat="false" ht="15" hidden="false" customHeight="false" outlineLevel="0" collapsed="false">
      <c r="A283" s="3" t="s">
        <v>692</v>
      </c>
      <c r="B283" s="25" t="s">
        <v>112</v>
      </c>
      <c r="C283" s="8" t="s">
        <v>113</v>
      </c>
      <c r="D283" s="8" t="s">
        <v>152</v>
      </c>
      <c r="E283" s="8" t="s">
        <v>178</v>
      </c>
      <c r="F283" s="19" t="n">
        <v>8.3</v>
      </c>
      <c r="G283" s="33" t="n">
        <f aca="false">F283*0.006477</f>
        <v>0.0537591</v>
      </c>
      <c r="H283" s="19" t="n">
        <f aca="false">F283*1.079436</f>
        <v>8.9593188</v>
      </c>
      <c r="I283" s="18" t="n">
        <f aca="false">MAX(1,ROUNDUP(G283/0.096,0))</f>
        <v>1</v>
      </c>
      <c r="J283" s="31" t="n">
        <v>46696</v>
      </c>
      <c r="K283" s="34" t="n">
        <f aca="false">J283-WEEKDAY(J283,2)+1</f>
        <v>46692</v>
      </c>
      <c r="L283" s="31" t="n">
        <f aca="false">J283</f>
        <v>46696</v>
      </c>
      <c r="M283" s="26" t="n">
        <f aca="false">INDEX(LR_Target,MATCH(B283,LR_Lane,0))</f>
        <v>2</v>
      </c>
      <c r="N283" s="31" t="n">
        <f aca="false">WORKDAY.INTL(L283,M283,INDEX(LR_Code,MATCH(B283,LR_Lane,0)),INDEX(DH_Table,0,MATCH(B283&amp;"*",DH_Head,0)))</f>
        <v>46700</v>
      </c>
      <c r="O283" s="35" t="n">
        <f aca="false">IF(W283&lt;&gt;"",W283,IF(U283="Helmond",IF(COUNTIFS(RC_Lane,B283,RC_Band,E283,RC_Transit,"&lt;&gt;")=0,"",SUMIFS(RC_Transit,RC_Lane,B283,RC_Band,E283)),IF(U283="Other","",IF(INDEX(RS_Transit,MATCH(B283,RS_Lane,0))="","",INDEX(RS_Transit,MATCH(B283,RS_Lane,0))))))</f>
        <v>1</v>
      </c>
      <c r="P283" s="36"/>
      <c r="Q283" s="31" t="n">
        <f aca="false">IF(P283&lt;&gt;"",P283,IF(O283="","",WORKDAY.INTL(L283,ROUNDUP(O283,0),INDEX(LR_Code,MATCH(B283,LR_Lane,0)),INDEX(DH_Table,0,MATCH(B283&amp;"*",DH_Head,0)))))</f>
        <v>46699</v>
      </c>
      <c r="R283" s="37" t="str">
        <f aca="false">IF(Q283="","",IF(Q283&lt;=N283,"Yes","No"))</f>
        <v>Yes</v>
      </c>
      <c r="S283" s="26" t="n">
        <f aca="false">IF(Q283="","",IF(Q283&lt;=N283,0,NETWORKDAYS.INTL(N283,Q283,INDEX(LR_Code,MATCH(B283,LR_Lane,0)),INDEX(DH_Table,0,MATCH(B283&amp;"*",DH_Head,0)))-1))</f>
        <v>0</v>
      </c>
      <c r="T283" s="4"/>
      <c r="U283" s="25" t="str">
        <f aca="false">IF(V283&lt;&gt;"",V283,IF(IFERROR(INDEX(RS_Flag,MATCH(B283,RS_Lane,0)),"")="Yes",IF(IFERROR(INDEX(RS_Loc,MATCH(B283,RS_Lane,0)),"")="","Regional stock",IFERROR(INDEX(RS_Loc,MATCH(B283,RS_Lane,0)),"")),"Helmond"))</f>
        <v>Helmond</v>
      </c>
      <c r="V283" s="17"/>
      <c r="W283" s="38"/>
      <c r="X283" s="39"/>
      <c r="Y283" s="40" t="n">
        <f aca="false">IF(X283&lt;&gt;"",X283,IF(U283="Helmond",IF(COUNTIFS(RC_Lane,B283,RC_Band,E283,RC_CostPS,"&gt;0")=0,"",SUMIFS(RC_CostPS,RC_Lane,B283,RC_Band,E283)*(1-SUMIFS(RC_Disc,RC_Lane,B283,RC_Band,E283))),IF(U283="Other","",IF(INDEX(RS_Rate,MATCH(B283,RS_Lane,0))="","",INDEX(RS_Rate,MATCH(B283,RS_Lane,0))))))</f>
        <v>72.485</v>
      </c>
    </row>
    <row r="284" customFormat="false" ht="15" hidden="false" customHeight="false" outlineLevel="0" collapsed="false">
      <c r="A284" s="3" t="s">
        <v>693</v>
      </c>
      <c r="B284" s="25" t="s">
        <v>112</v>
      </c>
      <c r="C284" s="8" t="s">
        <v>113</v>
      </c>
      <c r="D284" s="8" t="s">
        <v>152</v>
      </c>
      <c r="E284" s="8" t="s">
        <v>182</v>
      </c>
      <c r="F284" s="19" t="n">
        <v>259.3</v>
      </c>
      <c r="G284" s="33" t="n">
        <f aca="false">F284*0.006477</f>
        <v>1.6794861</v>
      </c>
      <c r="H284" s="19" t="n">
        <f aca="false">F284*1.079436</f>
        <v>279.8977548</v>
      </c>
      <c r="I284" s="18" t="n">
        <f aca="false">MAX(1,ROUNDUP(G284/0.096,0))</f>
        <v>18</v>
      </c>
      <c r="J284" s="31" t="n">
        <v>46699</v>
      </c>
      <c r="K284" s="34" t="n">
        <f aca="false">J284-WEEKDAY(J284,2)+1</f>
        <v>46699</v>
      </c>
      <c r="L284" s="31" t="n">
        <f aca="false">J284</f>
        <v>46699</v>
      </c>
      <c r="M284" s="26" t="n">
        <f aca="false">INDEX(LR_Target,MATCH(B284,LR_Lane,0))</f>
        <v>2</v>
      </c>
      <c r="N284" s="31" t="n">
        <f aca="false">WORKDAY.INTL(L284,M284,INDEX(LR_Code,MATCH(B284,LR_Lane,0)),INDEX(DH_Table,0,MATCH(B284&amp;"*",DH_Head,0)))</f>
        <v>46701</v>
      </c>
      <c r="O284" s="35" t="n">
        <f aca="false">IF(W284&lt;&gt;"",W284,IF(U284="Helmond",IF(COUNTIFS(RC_Lane,B284,RC_Band,E284,RC_Transit,"&lt;&gt;")=0,"",SUMIFS(RC_Transit,RC_Lane,B284,RC_Band,E284)),IF(U284="Other","",IF(INDEX(RS_Transit,MATCH(B284,RS_Lane,0))="","",INDEX(RS_Transit,MATCH(B284,RS_Lane,0))))))</f>
        <v>3</v>
      </c>
      <c r="P284" s="36"/>
      <c r="Q284" s="31" t="n">
        <f aca="false">IF(P284&lt;&gt;"",P284,IF(O284="","",WORKDAY.INTL(L284,ROUNDUP(O284,0),INDEX(LR_Code,MATCH(B284,LR_Lane,0)),INDEX(DH_Table,0,MATCH(B284&amp;"*",DH_Head,0)))))</f>
        <v>46702</v>
      </c>
      <c r="R284" s="37" t="str">
        <f aca="false">IF(Q284="","",IF(Q284&lt;=N284,"Yes","No"))</f>
        <v>No</v>
      </c>
      <c r="S284" s="26" t="n">
        <f aca="false">IF(Q284="","",IF(Q284&lt;=N284,0,NETWORKDAYS.INTL(N284,Q284,INDEX(LR_Code,MATCH(B284,LR_Lane,0)),INDEX(DH_Table,0,MATCH(B284&amp;"*",DH_Head,0)))-1))</f>
        <v>1</v>
      </c>
      <c r="T284" s="4"/>
      <c r="U284" s="25" t="str">
        <f aca="false">IF(V284&lt;&gt;"",V284,IF(IFERROR(INDEX(RS_Flag,MATCH(B284,RS_Lane,0)),"")="Yes",IF(IFERROR(INDEX(RS_Loc,MATCH(B284,RS_Lane,0)),"")="","Regional stock",IFERROR(INDEX(RS_Loc,MATCH(B284,RS_Lane,0)),"")),"Helmond"))</f>
        <v>Helmond</v>
      </c>
      <c r="V284" s="17"/>
      <c r="W284" s="38"/>
      <c r="X284" s="39"/>
      <c r="Y284" s="40" t="n">
        <f aca="false">IF(X284&lt;&gt;"",X284,IF(U284="Helmond",IF(COUNTIFS(RC_Lane,B284,RC_Band,E284,RC_CostPS,"&gt;0")=0,"",SUMIFS(RC_CostPS,RC_Lane,B284,RC_Band,E284)*(1-SUMIFS(RC_Disc,RC_Lane,B284,RC_Band,E284))),IF(U284="Other","",IF(INDEX(RS_Rate,MATCH(B284,RS_Lane,0))="","",INDEX(RS_Rate,MATCH(B284,RS_Lane,0))))))</f>
        <v>1428.70443</v>
      </c>
    </row>
    <row r="285" customFormat="false" ht="15" hidden="false" customHeight="false" outlineLevel="0" collapsed="false">
      <c r="A285" s="3" t="s">
        <v>694</v>
      </c>
      <c r="B285" s="25" t="s">
        <v>108</v>
      </c>
      <c r="C285" s="8" t="s">
        <v>109</v>
      </c>
      <c r="D285" s="8" t="s">
        <v>270</v>
      </c>
      <c r="E285" s="8" t="s">
        <v>180</v>
      </c>
      <c r="F285" s="19" t="n">
        <v>54</v>
      </c>
      <c r="G285" s="33" t="n">
        <f aca="false">F285*0.006477</f>
        <v>0.349758</v>
      </c>
      <c r="H285" s="19" t="n">
        <f aca="false">F285*1.079436</f>
        <v>58.289544</v>
      </c>
      <c r="I285" s="18" t="n">
        <f aca="false">MAX(1,ROUNDUP(G285/0.096,0))</f>
        <v>4</v>
      </c>
      <c r="J285" s="31" t="n">
        <v>46700</v>
      </c>
      <c r="K285" s="34" t="n">
        <f aca="false">J285-WEEKDAY(J285,2)+1</f>
        <v>46699</v>
      </c>
      <c r="L285" s="31" t="n">
        <f aca="false">J285</f>
        <v>46700</v>
      </c>
      <c r="M285" s="26" t="n">
        <f aca="false">INDEX(LR_Target,MATCH(B285,LR_Lane,0))</f>
        <v>2</v>
      </c>
      <c r="N285" s="31" t="n">
        <f aca="false">WORKDAY.INTL(L285,M285,INDEX(LR_Code,MATCH(B285,LR_Lane,0)),INDEX(DH_Table,0,MATCH(B285&amp;"*",DH_Head,0)))</f>
        <v>46702</v>
      </c>
      <c r="O285" s="35" t="n">
        <f aca="false">IF(W285&lt;&gt;"",W285,IF(U285="Helmond",IF(COUNTIFS(RC_Lane,B285,RC_Band,E285,RC_Transit,"&lt;&gt;")=0,"",SUMIFS(RC_Transit,RC_Lane,B285,RC_Band,E285)),IF(U285="Other","",IF(INDEX(RS_Transit,MATCH(B285,RS_Lane,0))="","",INDEX(RS_Transit,MATCH(B285,RS_Lane,0))))))</f>
        <v>2</v>
      </c>
      <c r="P285" s="36"/>
      <c r="Q285" s="31" t="n">
        <f aca="false">IF(P285&lt;&gt;"",P285,IF(O285="","",WORKDAY.INTL(L285,ROUNDUP(O285,0),INDEX(LR_Code,MATCH(B285,LR_Lane,0)),INDEX(DH_Table,0,MATCH(B285&amp;"*",DH_Head,0)))))</f>
        <v>46702</v>
      </c>
      <c r="R285" s="37" t="str">
        <f aca="false">IF(Q285="","",IF(Q285&lt;=N285,"Yes","No"))</f>
        <v>Yes</v>
      </c>
      <c r="S285" s="26" t="n">
        <f aca="false">IF(Q285="","",IF(Q285&lt;=N285,0,NETWORKDAYS.INTL(N285,Q285,INDEX(LR_Code,MATCH(B285,LR_Lane,0)),INDEX(DH_Table,0,MATCH(B285&amp;"*",DH_Head,0)))-1))</f>
        <v>0</v>
      </c>
      <c r="T285" s="4"/>
      <c r="U285" s="25" t="str">
        <f aca="false">IF(V285&lt;&gt;"",V285,IF(IFERROR(INDEX(RS_Flag,MATCH(B285,RS_Lane,0)),"")="Yes",IF(IFERROR(INDEX(RS_Loc,MATCH(B285,RS_Lane,0)),"")="","Regional stock",IFERROR(INDEX(RS_Loc,MATCH(B285,RS_Lane,0)),"")),"Helmond"))</f>
        <v>Helmond</v>
      </c>
      <c r="V285" s="17"/>
      <c r="W285" s="38"/>
      <c r="X285" s="39"/>
      <c r="Y285" s="40" t="n">
        <f aca="false">IF(X285&lt;&gt;"",X285,IF(U285="Helmond",IF(COUNTIFS(RC_Lane,B285,RC_Band,E285,RC_CostPS,"&gt;0")=0,"",SUMIFS(RC_CostPS,RC_Lane,B285,RC_Band,E285)*(1-SUMIFS(RC_Disc,RC_Lane,B285,RC_Band,E285))),IF(U285="Other","",IF(INDEX(RS_Rate,MATCH(B285,RS_Lane,0))="","",INDEX(RS_Rate,MATCH(B285,RS_Lane,0))))))</f>
        <v>284.98176</v>
      </c>
    </row>
    <row r="286" customFormat="false" ht="15" hidden="false" customHeight="false" outlineLevel="0" collapsed="false">
      <c r="A286" s="3" t="s">
        <v>695</v>
      </c>
      <c r="B286" s="25" t="s">
        <v>117</v>
      </c>
      <c r="C286" s="8" t="s">
        <v>118</v>
      </c>
      <c r="D286" s="8" t="s">
        <v>154</v>
      </c>
      <c r="E286" s="8" t="s">
        <v>178</v>
      </c>
      <c r="F286" s="19" t="n">
        <v>12.9</v>
      </c>
      <c r="G286" s="33" t="n">
        <f aca="false">F286*0.006477</f>
        <v>0.0835533</v>
      </c>
      <c r="H286" s="19" t="n">
        <f aca="false">F286*1.079436</f>
        <v>13.9247244</v>
      </c>
      <c r="I286" s="18" t="n">
        <f aca="false">MAX(1,ROUNDUP(G286/0.096,0))</f>
        <v>1</v>
      </c>
      <c r="J286" s="31" t="n">
        <v>46700</v>
      </c>
      <c r="K286" s="34" t="n">
        <f aca="false">J286-WEEKDAY(J286,2)+1</f>
        <v>46699</v>
      </c>
      <c r="L286" s="31" t="n">
        <f aca="false">J286</f>
        <v>46700</v>
      </c>
      <c r="M286" s="26" t="n">
        <f aca="false">INDEX(LR_Target,MATCH(B286,LR_Lane,0))</f>
        <v>2</v>
      </c>
      <c r="N286" s="31" t="n">
        <f aca="false">WORKDAY.INTL(L286,M286,INDEX(LR_Code,MATCH(B286,LR_Lane,0)),INDEX(DH_Table,0,MATCH(B286&amp;"*",DH_Head,0)))</f>
        <v>46702</v>
      </c>
      <c r="O286" s="35" t="n">
        <f aca="false">IF(W286&lt;&gt;"",W286,IF(U286="Helmond",IF(COUNTIFS(RC_Lane,B286,RC_Band,E286,RC_Transit,"&lt;&gt;")=0,"",SUMIFS(RC_Transit,RC_Lane,B286,RC_Band,E286)),IF(U286="Other","",IF(INDEX(RS_Transit,MATCH(B286,RS_Lane,0))="","",INDEX(RS_Transit,MATCH(B286,RS_Lane,0))))))</f>
        <v>1</v>
      </c>
      <c r="P286" s="36"/>
      <c r="Q286" s="31" t="n">
        <f aca="false">IF(P286&lt;&gt;"",P286,IF(O286="","",WORKDAY.INTL(L286,ROUNDUP(O286,0),INDEX(LR_Code,MATCH(B286,LR_Lane,0)),INDEX(DH_Table,0,MATCH(B286&amp;"*",DH_Head,0)))))</f>
        <v>46701</v>
      </c>
      <c r="R286" s="37" t="str">
        <f aca="false">IF(Q286="","",IF(Q286&lt;=N286,"Yes","No"))</f>
        <v>Yes</v>
      </c>
      <c r="S286" s="26" t="n">
        <f aca="false">IF(Q286="","",IF(Q286&lt;=N286,0,NETWORKDAYS.INTL(N286,Q286,INDEX(LR_Code,MATCH(B286,LR_Lane,0)),INDEX(DH_Table,0,MATCH(B286&amp;"*",DH_Head,0)))-1))</f>
        <v>0</v>
      </c>
      <c r="T286" s="4"/>
      <c r="U286" s="25" t="str">
        <f aca="false">IF(V286&lt;&gt;"",V286,IF(IFERROR(INDEX(RS_Flag,MATCH(B286,RS_Lane,0)),"")="Yes",IF(IFERROR(INDEX(RS_Loc,MATCH(B286,RS_Lane,0)),"")="","Regional stock",IFERROR(INDEX(RS_Loc,MATCH(B286,RS_Lane,0)),"")),"Helmond"))</f>
        <v>Helmond</v>
      </c>
      <c r="V286" s="17"/>
      <c r="W286" s="38"/>
      <c r="X286" s="39"/>
      <c r="Y286" s="40" t="n">
        <f aca="false">IF(X286&lt;&gt;"",X286,IF(U286="Helmond",IF(COUNTIFS(RC_Lane,B286,RC_Band,E286,RC_CostPS,"&gt;0")=0,"",SUMIFS(RC_CostPS,RC_Lane,B286,RC_Band,E286)*(1-SUMIFS(RC_Disc,RC_Lane,B286,RC_Band,E286))),IF(U286="Other","",IF(INDEX(RS_Rate,MATCH(B286,RS_Lane,0))="","",INDEX(RS_Rate,MATCH(B286,RS_Lane,0))))))</f>
        <v>72.485</v>
      </c>
    </row>
    <row r="287" customFormat="false" ht="15" hidden="false" customHeight="false" outlineLevel="0" collapsed="false">
      <c r="A287" s="3" t="s">
        <v>696</v>
      </c>
      <c r="B287" s="25" t="s">
        <v>112</v>
      </c>
      <c r="C287" s="8" t="s">
        <v>113</v>
      </c>
      <c r="D287" s="8" t="s">
        <v>152</v>
      </c>
      <c r="E287" s="8" t="s">
        <v>178</v>
      </c>
      <c r="F287" s="19" t="n">
        <v>3.3</v>
      </c>
      <c r="G287" s="33" t="n">
        <f aca="false">F287*0.006477</f>
        <v>0.0213741</v>
      </c>
      <c r="H287" s="19" t="n">
        <f aca="false">F287*1.079436</f>
        <v>3.5621388</v>
      </c>
      <c r="I287" s="18" t="n">
        <f aca="false">MAX(1,ROUNDUP(G287/0.096,0))</f>
        <v>1</v>
      </c>
      <c r="J287" s="31" t="n">
        <v>46701</v>
      </c>
      <c r="K287" s="34" t="n">
        <f aca="false">J287-WEEKDAY(J287,2)+1</f>
        <v>46699</v>
      </c>
      <c r="L287" s="31" t="n">
        <f aca="false">J287</f>
        <v>46701</v>
      </c>
      <c r="M287" s="26" t="n">
        <f aca="false">INDEX(LR_Target,MATCH(B287,LR_Lane,0))</f>
        <v>2</v>
      </c>
      <c r="N287" s="31" t="n">
        <f aca="false">WORKDAY.INTL(L287,M287,INDEX(LR_Code,MATCH(B287,LR_Lane,0)),INDEX(DH_Table,0,MATCH(B287&amp;"*",DH_Head,0)))</f>
        <v>46703</v>
      </c>
      <c r="O287" s="35" t="n">
        <f aca="false">IF(W287&lt;&gt;"",W287,IF(U287="Helmond",IF(COUNTIFS(RC_Lane,B287,RC_Band,E287,RC_Transit,"&lt;&gt;")=0,"",SUMIFS(RC_Transit,RC_Lane,B287,RC_Band,E287)),IF(U287="Other","",IF(INDEX(RS_Transit,MATCH(B287,RS_Lane,0))="","",INDEX(RS_Transit,MATCH(B287,RS_Lane,0))))))</f>
        <v>1</v>
      </c>
      <c r="P287" s="36"/>
      <c r="Q287" s="31" t="n">
        <f aca="false">IF(P287&lt;&gt;"",P287,IF(O287="","",WORKDAY.INTL(L287,ROUNDUP(O287,0),INDEX(LR_Code,MATCH(B287,LR_Lane,0)),INDEX(DH_Table,0,MATCH(B287&amp;"*",DH_Head,0)))))</f>
        <v>46702</v>
      </c>
      <c r="R287" s="37" t="str">
        <f aca="false">IF(Q287="","",IF(Q287&lt;=N287,"Yes","No"))</f>
        <v>Yes</v>
      </c>
      <c r="S287" s="26" t="n">
        <f aca="false">IF(Q287="","",IF(Q287&lt;=N287,0,NETWORKDAYS.INTL(N287,Q287,INDEX(LR_Code,MATCH(B287,LR_Lane,0)),INDEX(DH_Table,0,MATCH(B287&amp;"*",DH_Head,0)))-1))</f>
        <v>0</v>
      </c>
      <c r="T287" s="4"/>
      <c r="U287" s="25" t="str">
        <f aca="false">IF(V287&lt;&gt;"",V287,IF(IFERROR(INDEX(RS_Flag,MATCH(B287,RS_Lane,0)),"")="Yes",IF(IFERROR(INDEX(RS_Loc,MATCH(B287,RS_Lane,0)),"")="","Regional stock",IFERROR(INDEX(RS_Loc,MATCH(B287,RS_Lane,0)),"")),"Helmond"))</f>
        <v>Helmond</v>
      </c>
      <c r="V287" s="17"/>
      <c r="W287" s="38"/>
      <c r="X287" s="39"/>
      <c r="Y287" s="40" t="n">
        <f aca="false">IF(X287&lt;&gt;"",X287,IF(U287="Helmond",IF(COUNTIFS(RC_Lane,B287,RC_Band,E287,RC_CostPS,"&gt;0")=0,"",SUMIFS(RC_CostPS,RC_Lane,B287,RC_Band,E287)*(1-SUMIFS(RC_Disc,RC_Lane,B287,RC_Band,E287))),IF(U287="Other","",IF(INDEX(RS_Rate,MATCH(B287,RS_Lane,0))="","",INDEX(RS_Rate,MATCH(B287,RS_Lane,0))))))</f>
        <v>72.485</v>
      </c>
    </row>
    <row r="288" customFormat="false" ht="15" hidden="false" customHeight="false" outlineLevel="0" collapsed="false">
      <c r="A288" s="3" t="s">
        <v>697</v>
      </c>
      <c r="B288" s="25" t="s">
        <v>119</v>
      </c>
      <c r="C288" s="8" t="s">
        <v>120</v>
      </c>
      <c r="D288" s="8" t="s">
        <v>155</v>
      </c>
      <c r="E288" s="8" t="s">
        <v>182</v>
      </c>
      <c r="F288" s="19" t="n">
        <v>343.1</v>
      </c>
      <c r="G288" s="33" t="n">
        <f aca="false">F288*0.006477</f>
        <v>2.2222587</v>
      </c>
      <c r="H288" s="19" t="n">
        <f aca="false">F288*1.079436</f>
        <v>370.3544916</v>
      </c>
      <c r="I288" s="18" t="n">
        <f aca="false">MAX(1,ROUNDUP(G288/0.096,0))</f>
        <v>24</v>
      </c>
      <c r="J288" s="31" t="n">
        <v>46701</v>
      </c>
      <c r="K288" s="34" t="n">
        <f aca="false">J288-WEEKDAY(J288,2)+1</f>
        <v>46699</v>
      </c>
      <c r="L288" s="31" t="n">
        <f aca="false">J288</f>
        <v>46701</v>
      </c>
      <c r="M288" s="26" t="n">
        <f aca="false">INDEX(LR_Target,MATCH(B288,LR_Lane,0))</f>
        <v>3</v>
      </c>
      <c r="N288" s="31" t="n">
        <f aca="false">WORKDAY.INTL(L288,M288,INDEX(LR_Code,MATCH(B288,LR_Lane,0)),INDEX(DH_Table,0,MATCH(B288&amp;"*",DH_Head,0)))</f>
        <v>46706</v>
      </c>
      <c r="O288" s="35" t="n">
        <f aca="false">IF(W288&lt;&gt;"",W288,IF(U288="Helmond",IF(COUNTIFS(RC_Lane,B288,RC_Band,E288,RC_Transit,"&lt;&gt;")=0,"",SUMIFS(RC_Transit,RC_Lane,B288,RC_Band,E288)),IF(U288="Other","",IF(INDEX(RS_Transit,MATCH(B288,RS_Lane,0))="","",INDEX(RS_Transit,MATCH(B288,RS_Lane,0))))))</f>
        <v>3</v>
      </c>
      <c r="P288" s="36"/>
      <c r="Q288" s="31" t="n">
        <f aca="false">IF(P288&lt;&gt;"",P288,IF(O288="","",WORKDAY.INTL(L288,ROUNDUP(O288,0),INDEX(LR_Code,MATCH(B288,LR_Lane,0)),INDEX(DH_Table,0,MATCH(B288&amp;"*",DH_Head,0)))))</f>
        <v>46706</v>
      </c>
      <c r="R288" s="37" t="str">
        <f aca="false">IF(Q288="","",IF(Q288&lt;=N288,"Yes","No"))</f>
        <v>Yes</v>
      </c>
      <c r="S288" s="26" t="n">
        <f aca="false">IF(Q288="","",IF(Q288&lt;=N288,0,NETWORKDAYS.INTL(N288,Q288,INDEX(LR_Code,MATCH(B288,LR_Lane,0)),INDEX(DH_Table,0,MATCH(B288&amp;"*",DH_Head,0)))-1))</f>
        <v>0</v>
      </c>
      <c r="T288" s="4"/>
      <c r="U288" s="25" t="str">
        <f aca="false">IF(V288&lt;&gt;"",V288,IF(IFERROR(INDEX(RS_Flag,MATCH(B288,RS_Lane,0)),"")="Yes",IF(IFERROR(INDEX(RS_Loc,MATCH(B288,RS_Lane,0)),"")="","Regional stock",IFERROR(INDEX(RS_Loc,MATCH(B288,RS_Lane,0)),"")),"Helmond"))</f>
        <v>Helmond</v>
      </c>
      <c r="V288" s="17"/>
      <c r="W288" s="38"/>
      <c r="X288" s="39"/>
      <c r="Y288" s="40" t="n">
        <f aca="false">IF(X288&lt;&gt;"",X288,IF(U288="Helmond",IF(COUNTIFS(RC_Lane,B288,RC_Band,E288,RC_CostPS,"&gt;0")=0,"",SUMIFS(RC_CostPS,RC_Lane,B288,RC_Band,E288)*(1-SUMIFS(RC_Disc,RC_Lane,B288,RC_Band,E288))),IF(U288="Other","",IF(INDEX(RS_Rate,MATCH(B288,RS_Lane,0))="","",INDEX(RS_Rate,MATCH(B288,RS_Lane,0))))))</f>
        <v>1400.35434</v>
      </c>
    </row>
    <row r="289" customFormat="false" ht="15" hidden="false" customHeight="false" outlineLevel="0" collapsed="false">
      <c r="A289" s="3" t="s">
        <v>698</v>
      </c>
      <c r="B289" s="25" t="s">
        <v>126</v>
      </c>
      <c r="C289" s="8" t="s">
        <v>127</v>
      </c>
      <c r="D289" s="8" t="s">
        <v>158</v>
      </c>
      <c r="E289" s="8" t="s">
        <v>183</v>
      </c>
      <c r="F289" s="19" t="n">
        <v>941.5</v>
      </c>
      <c r="G289" s="33" t="n">
        <f aca="false">F289*0.006477</f>
        <v>6.0980955</v>
      </c>
      <c r="H289" s="19" t="n">
        <f aca="false">F289*1.079436</f>
        <v>1016.288994</v>
      </c>
      <c r="I289" s="18" t="n">
        <f aca="false">MAX(1,ROUNDUP(G289/0.096,0))</f>
        <v>64</v>
      </c>
      <c r="J289" s="31" t="n">
        <v>46701</v>
      </c>
      <c r="K289" s="34" t="n">
        <f aca="false">J289-WEEKDAY(J289,2)+1</f>
        <v>46699</v>
      </c>
      <c r="L289" s="31" t="n">
        <f aca="false">J289</f>
        <v>46701</v>
      </c>
      <c r="M289" s="26" t="n">
        <f aca="false">INDEX(LR_Target,MATCH(B289,LR_Lane,0))</f>
        <v>4</v>
      </c>
      <c r="N289" s="31" t="n">
        <f aca="false">WORKDAY.INTL(L289,M289,INDEX(LR_Code,MATCH(B289,LR_Lane,0)),INDEX(DH_Table,0,MATCH(B289&amp;"*",DH_Head,0)))</f>
        <v>46707</v>
      </c>
      <c r="O289" s="35" t="n">
        <f aca="false">IF(W289&lt;&gt;"",W289,IF(U289="Helmond",IF(COUNTIFS(RC_Lane,B289,RC_Band,E289,RC_Transit,"&lt;&gt;")=0,"",SUMIFS(RC_Transit,RC_Lane,B289,RC_Band,E289)),IF(U289="Other","",IF(INDEX(RS_Transit,MATCH(B289,RS_Lane,0))="","",INDEX(RS_Transit,MATCH(B289,RS_Lane,0))))))</f>
        <v>4</v>
      </c>
      <c r="P289" s="36"/>
      <c r="Q289" s="31" t="n">
        <f aca="false">IF(P289&lt;&gt;"",P289,IF(O289="","",WORKDAY.INTL(L289,ROUNDUP(O289,0),INDEX(LR_Code,MATCH(B289,LR_Lane,0)),INDEX(DH_Table,0,MATCH(B289&amp;"*",DH_Head,0)))))</f>
        <v>46707</v>
      </c>
      <c r="R289" s="37" t="str">
        <f aca="false">IF(Q289="","",IF(Q289&lt;=N289,"Yes","No"))</f>
        <v>Yes</v>
      </c>
      <c r="S289" s="26" t="n">
        <f aca="false">IF(Q289="","",IF(Q289&lt;=N289,0,NETWORKDAYS.INTL(N289,Q289,INDEX(LR_Code,MATCH(B289,LR_Lane,0)),INDEX(DH_Table,0,MATCH(B289&amp;"*",DH_Head,0)))-1))</f>
        <v>0</v>
      </c>
      <c r="T289" s="4"/>
      <c r="U289" s="25" t="str">
        <f aca="false">IF(V289&lt;&gt;"",V289,IF(IFERROR(INDEX(RS_Flag,MATCH(B289,RS_Lane,0)),"")="Yes",IF(IFERROR(INDEX(RS_Loc,MATCH(B289,RS_Lane,0)),"")="","Regional stock",IFERROR(INDEX(RS_Loc,MATCH(B289,RS_Lane,0)),"")),"Helmond"))</f>
        <v>Helmond</v>
      </c>
      <c r="V289" s="17"/>
      <c r="W289" s="38"/>
      <c r="X289" s="39"/>
      <c r="Y289" s="40" t="n">
        <f aca="false">IF(X289&lt;&gt;"",X289,IF(U289="Helmond",IF(COUNTIFS(RC_Lane,B289,RC_Band,E289,RC_CostPS,"&gt;0")=0,"",SUMIFS(RC_CostPS,RC_Lane,B289,RC_Band,E289)*(1-SUMIFS(RC_Disc,RC_Lane,B289,RC_Band,E289))),IF(U289="Other","",IF(INDEX(RS_Rate,MATCH(B289,RS_Lane,0))="","",INDEX(RS_Rate,MATCH(B289,RS_Lane,0))))))</f>
        <v>4930.6748</v>
      </c>
    </row>
    <row r="290" customFormat="false" ht="15" hidden="false" customHeight="false" outlineLevel="0" collapsed="false">
      <c r="A290" s="3" t="s">
        <v>699</v>
      </c>
      <c r="B290" s="25" t="s">
        <v>119</v>
      </c>
      <c r="C290" s="8" t="s">
        <v>120</v>
      </c>
      <c r="D290" s="8" t="s">
        <v>155</v>
      </c>
      <c r="E290" s="8" t="s">
        <v>180</v>
      </c>
      <c r="F290" s="19" t="n">
        <v>73.5</v>
      </c>
      <c r="G290" s="33" t="n">
        <f aca="false">F290*0.006477</f>
        <v>0.4760595</v>
      </c>
      <c r="H290" s="19" t="n">
        <f aca="false">F290*1.079436</f>
        <v>79.338546</v>
      </c>
      <c r="I290" s="18" t="n">
        <f aca="false">MAX(1,ROUNDUP(G290/0.096,0))</f>
        <v>5</v>
      </c>
      <c r="J290" s="31" t="n">
        <v>46702</v>
      </c>
      <c r="K290" s="34" t="n">
        <f aca="false">J290-WEEKDAY(J290,2)+1</f>
        <v>46699</v>
      </c>
      <c r="L290" s="31" t="n">
        <f aca="false">J290</f>
        <v>46702</v>
      </c>
      <c r="M290" s="26" t="n">
        <f aca="false">INDEX(LR_Target,MATCH(B290,LR_Lane,0))</f>
        <v>3</v>
      </c>
      <c r="N290" s="31" t="n">
        <f aca="false">WORKDAY.INTL(L290,M290,INDEX(LR_Code,MATCH(B290,LR_Lane,0)),INDEX(DH_Table,0,MATCH(B290&amp;"*",DH_Head,0)))</f>
        <v>46707</v>
      </c>
      <c r="O290" s="35" t="n">
        <f aca="false">IF(W290&lt;&gt;"",W290,IF(U290="Helmond",IF(COUNTIFS(RC_Lane,B290,RC_Band,E290,RC_Transit,"&lt;&gt;")=0,"",SUMIFS(RC_Transit,RC_Lane,B290,RC_Band,E290)),IF(U290="Other","",IF(INDEX(RS_Transit,MATCH(B290,RS_Lane,0))="","",INDEX(RS_Transit,MATCH(B290,RS_Lane,0))))))</f>
        <v>2</v>
      </c>
      <c r="P290" s="36"/>
      <c r="Q290" s="31" t="n">
        <f aca="false">IF(P290&lt;&gt;"",P290,IF(O290="","",WORKDAY.INTL(L290,ROUNDUP(O290,0),INDEX(LR_Code,MATCH(B290,LR_Lane,0)),INDEX(DH_Table,0,MATCH(B290&amp;"*",DH_Head,0)))))</f>
        <v>46706</v>
      </c>
      <c r="R290" s="37" t="str">
        <f aca="false">IF(Q290="","",IF(Q290&lt;=N290,"Yes","No"))</f>
        <v>Yes</v>
      </c>
      <c r="S290" s="26" t="n">
        <f aca="false">IF(Q290="","",IF(Q290&lt;=N290,0,NETWORKDAYS.INTL(N290,Q290,INDEX(LR_Code,MATCH(B290,LR_Lane,0)),INDEX(DH_Table,0,MATCH(B290&amp;"*",DH_Head,0)))-1))</f>
        <v>0</v>
      </c>
      <c r="T290" s="4"/>
      <c r="U290" s="25" t="str">
        <f aca="false">IF(V290&lt;&gt;"",V290,IF(IFERROR(INDEX(RS_Flag,MATCH(B290,RS_Lane,0)),"")="Yes",IF(IFERROR(INDEX(RS_Loc,MATCH(B290,RS_Lane,0)),"")="","Regional stock",IFERROR(INDEX(RS_Loc,MATCH(B290,RS_Lane,0)),"")),"Helmond"))</f>
        <v>Helmond</v>
      </c>
      <c r="V290" s="17"/>
      <c r="W290" s="38"/>
      <c r="X290" s="39"/>
      <c r="Y290" s="40" t="n">
        <f aca="false">IF(X290&lt;&gt;"",X290,IF(U290="Helmond",IF(COUNTIFS(RC_Lane,B290,RC_Band,E290,RC_CostPS,"&gt;0")=0,"",SUMIFS(RC_CostPS,RC_Lane,B290,RC_Band,E290)*(1-SUMIFS(RC_Disc,RC_Lane,B290,RC_Band,E290))),IF(U290="Other","",IF(INDEX(RS_Rate,MATCH(B290,RS_Lane,0))="","",INDEX(RS_Rate,MATCH(B290,RS_Lane,0))))))</f>
        <v>303.81456</v>
      </c>
    </row>
    <row r="291" customFormat="false" ht="15" hidden="false" customHeight="false" outlineLevel="0" collapsed="false">
      <c r="A291" s="3" t="s">
        <v>700</v>
      </c>
      <c r="B291" s="25" t="s">
        <v>108</v>
      </c>
      <c r="C291" s="8" t="s">
        <v>109</v>
      </c>
      <c r="D291" s="8" t="s">
        <v>270</v>
      </c>
      <c r="E291" s="8" t="s">
        <v>178</v>
      </c>
      <c r="F291" s="19" t="n">
        <v>3.8</v>
      </c>
      <c r="G291" s="33" t="n">
        <f aca="false">F291*0.006477</f>
        <v>0.0246126</v>
      </c>
      <c r="H291" s="19" t="n">
        <f aca="false">F291*1.079436</f>
        <v>4.1018568</v>
      </c>
      <c r="I291" s="18" t="n">
        <f aca="false">MAX(1,ROUNDUP(G291/0.096,0))</f>
        <v>1</v>
      </c>
      <c r="J291" s="31" t="n">
        <v>46703</v>
      </c>
      <c r="K291" s="34" t="n">
        <f aca="false">J291-WEEKDAY(J291,2)+1</f>
        <v>46699</v>
      </c>
      <c r="L291" s="31" t="n">
        <f aca="false">J291</f>
        <v>46703</v>
      </c>
      <c r="M291" s="26" t="n">
        <f aca="false">INDEX(LR_Target,MATCH(B291,LR_Lane,0))</f>
        <v>2</v>
      </c>
      <c r="N291" s="31" t="n">
        <f aca="false">WORKDAY.INTL(L291,M291,INDEX(LR_Code,MATCH(B291,LR_Lane,0)),INDEX(DH_Table,0,MATCH(B291&amp;"*",DH_Head,0)))</f>
        <v>46706</v>
      </c>
      <c r="O291" s="35" t="n">
        <f aca="false">IF(W291&lt;&gt;"",W291,IF(U291="Helmond",IF(COUNTIFS(RC_Lane,B291,RC_Band,E291,RC_Transit,"&lt;&gt;")=0,"",SUMIFS(RC_Transit,RC_Lane,B291,RC_Band,E291)),IF(U291="Other","",IF(INDEX(RS_Transit,MATCH(B291,RS_Lane,0))="","",INDEX(RS_Transit,MATCH(B291,RS_Lane,0))))))</f>
        <v>1</v>
      </c>
      <c r="P291" s="36"/>
      <c r="Q291" s="31" t="n">
        <f aca="false">IF(P291&lt;&gt;"",P291,IF(O291="","",WORKDAY.INTL(L291,ROUNDUP(O291,0),INDEX(LR_Code,MATCH(B291,LR_Lane,0)),INDEX(DH_Table,0,MATCH(B291&amp;"*",DH_Head,0)))))</f>
        <v>46705</v>
      </c>
      <c r="R291" s="37" t="str">
        <f aca="false">IF(Q291="","",IF(Q291&lt;=N291,"Yes","No"))</f>
        <v>Yes</v>
      </c>
      <c r="S291" s="26" t="n">
        <f aca="false">IF(Q291="","",IF(Q291&lt;=N291,0,NETWORKDAYS.INTL(N291,Q291,INDEX(LR_Code,MATCH(B291,LR_Lane,0)),INDEX(DH_Table,0,MATCH(B291&amp;"*",DH_Head,0)))-1))</f>
        <v>0</v>
      </c>
      <c r="T291" s="4"/>
      <c r="U291" s="25" t="str">
        <f aca="false">IF(V291&lt;&gt;"",V291,IF(IFERROR(INDEX(RS_Flag,MATCH(B291,RS_Lane,0)),"")="Yes",IF(IFERROR(INDEX(RS_Loc,MATCH(B291,RS_Lane,0)),"")="","Regional stock",IFERROR(INDEX(RS_Loc,MATCH(B291,RS_Lane,0)),"")),"Helmond"))</f>
        <v>Helmond</v>
      </c>
      <c r="V291" s="17"/>
      <c r="W291" s="38"/>
      <c r="X291" s="39"/>
      <c r="Y291" s="40" t="n">
        <f aca="false">IF(X291&lt;&gt;"",X291,IF(U291="Helmond",IF(COUNTIFS(RC_Lane,B291,RC_Band,E291,RC_CostPS,"&gt;0")=0,"",SUMIFS(RC_CostPS,RC_Lane,B291,RC_Band,E291)*(1-SUMIFS(RC_Disc,RC_Lane,B291,RC_Band,E291))),IF(U291="Other","",IF(INDEX(RS_Rate,MATCH(B291,RS_Lane,0))="","",INDEX(RS_Rate,MATCH(B291,RS_Lane,0))))))</f>
        <v>72.485</v>
      </c>
    </row>
    <row r="292" customFormat="false" ht="15" hidden="false" customHeight="false" outlineLevel="0" collapsed="false">
      <c r="A292" s="3" t="s">
        <v>701</v>
      </c>
      <c r="B292" s="25" t="s">
        <v>108</v>
      </c>
      <c r="C292" s="8" t="s">
        <v>109</v>
      </c>
      <c r="D292" s="8" t="s">
        <v>270</v>
      </c>
      <c r="E292" s="8" t="s">
        <v>178</v>
      </c>
      <c r="F292" s="19" t="n">
        <v>9.6</v>
      </c>
      <c r="G292" s="33" t="n">
        <f aca="false">F292*0.006477</f>
        <v>0.0621792</v>
      </c>
      <c r="H292" s="19" t="n">
        <f aca="false">F292*1.079436</f>
        <v>10.3625856</v>
      </c>
      <c r="I292" s="18" t="n">
        <f aca="false">MAX(1,ROUNDUP(G292/0.096,0))</f>
        <v>1</v>
      </c>
      <c r="J292" s="31" t="n">
        <v>46706</v>
      </c>
      <c r="K292" s="34" t="n">
        <f aca="false">J292-WEEKDAY(J292,2)+1</f>
        <v>46706</v>
      </c>
      <c r="L292" s="31" t="n">
        <f aca="false">J292</f>
        <v>46706</v>
      </c>
      <c r="M292" s="26" t="n">
        <f aca="false">INDEX(LR_Target,MATCH(B292,LR_Lane,0))</f>
        <v>2</v>
      </c>
      <c r="N292" s="31" t="n">
        <f aca="false">WORKDAY.INTL(L292,M292,INDEX(LR_Code,MATCH(B292,LR_Lane,0)),INDEX(DH_Table,0,MATCH(B292&amp;"*",DH_Head,0)))</f>
        <v>46708</v>
      </c>
      <c r="O292" s="35" t="n">
        <f aca="false">IF(W292&lt;&gt;"",W292,IF(U292="Helmond",IF(COUNTIFS(RC_Lane,B292,RC_Band,E292,RC_Transit,"&lt;&gt;")=0,"",SUMIFS(RC_Transit,RC_Lane,B292,RC_Band,E292)),IF(U292="Other","",IF(INDEX(RS_Transit,MATCH(B292,RS_Lane,0))="","",INDEX(RS_Transit,MATCH(B292,RS_Lane,0))))))</f>
        <v>1</v>
      </c>
      <c r="P292" s="36"/>
      <c r="Q292" s="31" t="n">
        <f aca="false">IF(P292&lt;&gt;"",P292,IF(O292="","",WORKDAY.INTL(L292,ROUNDUP(O292,0),INDEX(LR_Code,MATCH(B292,LR_Lane,0)),INDEX(DH_Table,0,MATCH(B292&amp;"*",DH_Head,0)))))</f>
        <v>46707</v>
      </c>
      <c r="R292" s="37" t="str">
        <f aca="false">IF(Q292="","",IF(Q292&lt;=N292,"Yes","No"))</f>
        <v>Yes</v>
      </c>
      <c r="S292" s="26" t="n">
        <f aca="false">IF(Q292="","",IF(Q292&lt;=N292,0,NETWORKDAYS.INTL(N292,Q292,INDEX(LR_Code,MATCH(B292,LR_Lane,0)),INDEX(DH_Table,0,MATCH(B292&amp;"*",DH_Head,0)))-1))</f>
        <v>0</v>
      </c>
      <c r="T292" s="4"/>
      <c r="U292" s="25" t="str">
        <f aca="false">IF(V292&lt;&gt;"",V292,IF(IFERROR(INDEX(RS_Flag,MATCH(B292,RS_Lane,0)),"")="Yes",IF(IFERROR(INDEX(RS_Loc,MATCH(B292,RS_Lane,0)),"")="","Regional stock",IFERROR(INDEX(RS_Loc,MATCH(B292,RS_Lane,0)),"")),"Helmond"))</f>
        <v>Helmond</v>
      </c>
      <c r="V292" s="17"/>
      <c r="W292" s="38"/>
      <c r="X292" s="39"/>
      <c r="Y292" s="40" t="n">
        <f aca="false">IF(X292&lt;&gt;"",X292,IF(U292="Helmond",IF(COUNTIFS(RC_Lane,B292,RC_Band,E292,RC_CostPS,"&gt;0")=0,"",SUMIFS(RC_CostPS,RC_Lane,B292,RC_Band,E292)*(1-SUMIFS(RC_Disc,RC_Lane,B292,RC_Band,E292))),IF(U292="Other","",IF(INDEX(RS_Rate,MATCH(B292,RS_Lane,0))="","",INDEX(RS_Rate,MATCH(B292,RS_Lane,0))))))</f>
        <v>72.485</v>
      </c>
    </row>
    <row r="293" customFormat="false" ht="15" hidden="false" customHeight="false" outlineLevel="0" collapsed="false">
      <c r="A293" s="3" t="s">
        <v>702</v>
      </c>
      <c r="B293" s="25" t="s">
        <v>108</v>
      </c>
      <c r="C293" s="8" t="s">
        <v>109</v>
      </c>
      <c r="D293" s="8" t="s">
        <v>270</v>
      </c>
      <c r="E293" s="8" t="s">
        <v>182</v>
      </c>
      <c r="F293" s="19" t="n">
        <v>207.6</v>
      </c>
      <c r="G293" s="33" t="n">
        <f aca="false">F293*0.006477</f>
        <v>1.3446252</v>
      </c>
      <c r="H293" s="19" t="n">
        <f aca="false">F293*1.079436</f>
        <v>224.0909136</v>
      </c>
      <c r="I293" s="18" t="n">
        <f aca="false">MAX(1,ROUNDUP(G293/0.096,0))</f>
        <v>15</v>
      </c>
      <c r="J293" s="31" t="n">
        <v>46706</v>
      </c>
      <c r="K293" s="34" t="n">
        <f aca="false">J293-WEEKDAY(J293,2)+1</f>
        <v>46706</v>
      </c>
      <c r="L293" s="31" t="n">
        <f aca="false">J293</f>
        <v>46706</v>
      </c>
      <c r="M293" s="26" t="n">
        <f aca="false">INDEX(LR_Target,MATCH(B293,LR_Lane,0))</f>
        <v>2</v>
      </c>
      <c r="N293" s="31" t="n">
        <f aca="false">WORKDAY.INTL(L293,M293,INDEX(LR_Code,MATCH(B293,LR_Lane,0)),INDEX(DH_Table,0,MATCH(B293&amp;"*",DH_Head,0)))</f>
        <v>46708</v>
      </c>
      <c r="O293" s="35" t="n">
        <f aca="false">IF(W293&lt;&gt;"",W293,IF(U293="Helmond",IF(COUNTIFS(RC_Lane,B293,RC_Band,E293,RC_Transit,"&lt;&gt;")=0,"",SUMIFS(RC_Transit,RC_Lane,B293,RC_Band,E293)),IF(U293="Other","",IF(INDEX(RS_Transit,MATCH(B293,RS_Lane,0))="","",INDEX(RS_Transit,MATCH(B293,RS_Lane,0))))))</f>
        <v>3</v>
      </c>
      <c r="P293" s="36"/>
      <c r="Q293" s="31" t="n">
        <f aca="false">IF(P293&lt;&gt;"",P293,IF(O293="","",WORKDAY.INTL(L293,ROUNDUP(O293,0),INDEX(LR_Code,MATCH(B293,LR_Lane,0)),INDEX(DH_Table,0,MATCH(B293&amp;"*",DH_Head,0)))))</f>
        <v>46709</v>
      </c>
      <c r="R293" s="37" t="str">
        <f aca="false">IF(Q293="","",IF(Q293&lt;=N293,"Yes","No"))</f>
        <v>No</v>
      </c>
      <c r="S293" s="26" t="n">
        <f aca="false">IF(Q293="","",IF(Q293&lt;=N293,0,NETWORKDAYS.INTL(N293,Q293,INDEX(LR_Code,MATCH(B293,LR_Lane,0)),INDEX(DH_Table,0,MATCH(B293&amp;"*",DH_Head,0)))-1))</f>
        <v>1</v>
      </c>
      <c r="T293" s="4"/>
      <c r="U293" s="25" t="str">
        <f aca="false">IF(V293&lt;&gt;"",V293,IF(IFERROR(INDEX(RS_Flag,MATCH(B293,RS_Lane,0)),"")="Yes",IF(IFERROR(INDEX(RS_Loc,MATCH(B293,RS_Lane,0)),"")="","Regional stock",IFERROR(INDEX(RS_Loc,MATCH(B293,RS_Lane,0)),"")),"Helmond"))</f>
        <v>Helmond</v>
      </c>
      <c r="V293" s="17"/>
      <c r="W293" s="38"/>
      <c r="X293" s="39"/>
      <c r="Y293" s="40" t="n">
        <f aca="false">IF(X293&lt;&gt;"",X293,IF(U293="Helmond",IF(COUNTIFS(RC_Lane,B293,RC_Band,E293,RC_CostPS,"&gt;0")=0,"",SUMIFS(RC_CostPS,RC_Lane,B293,RC_Band,E293)*(1-SUMIFS(RC_Disc,RC_Lane,B293,RC_Band,E293))),IF(U293="Other","",IF(INDEX(RS_Rate,MATCH(B293,RS_Lane,0))="","",INDEX(RS_Rate,MATCH(B293,RS_Lane,0))))))</f>
        <v>1009.7531</v>
      </c>
    </row>
    <row r="294" customFormat="false" ht="15" hidden="false" customHeight="false" outlineLevel="0" collapsed="false">
      <c r="A294" s="3" t="s">
        <v>703</v>
      </c>
      <c r="B294" s="25" t="s">
        <v>108</v>
      </c>
      <c r="C294" s="8" t="s">
        <v>109</v>
      </c>
      <c r="D294" s="8" t="s">
        <v>272</v>
      </c>
      <c r="E294" s="8" t="s">
        <v>183</v>
      </c>
      <c r="F294" s="19" t="n">
        <v>734.5</v>
      </c>
      <c r="G294" s="33" t="n">
        <f aca="false">F294*0.006477</f>
        <v>4.7573565</v>
      </c>
      <c r="H294" s="19" t="n">
        <f aca="false">F294*1.079436</f>
        <v>792.845742</v>
      </c>
      <c r="I294" s="18" t="n">
        <f aca="false">MAX(1,ROUNDUP(G294/0.096,0))</f>
        <v>50</v>
      </c>
      <c r="J294" s="31" t="n">
        <v>46708</v>
      </c>
      <c r="K294" s="34" t="n">
        <f aca="false">J294-WEEKDAY(J294,2)+1</f>
        <v>46706</v>
      </c>
      <c r="L294" s="31" t="n">
        <f aca="false">J294</f>
        <v>46708</v>
      </c>
      <c r="M294" s="26" t="n">
        <f aca="false">INDEX(LR_Target,MATCH(B294,LR_Lane,0))</f>
        <v>2</v>
      </c>
      <c r="N294" s="31" t="n">
        <f aca="false">WORKDAY.INTL(L294,M294,INDEX(LR_Code,MATCH(B294,LR_Lane,0)),INDEX(DH_Table,0,MATCH(B294&amp;"*",DH_Head,0)))</f>
        <v>46712</v>
      </c>
      <c r="O294" s="35" t="n">
        <f aca="false">IF(W294&lt;&gt;"",W294,IF(U294="Helmond",IF(COUNTIFS(RC_Lane,B294,RC_Band,E294,RC_Transit,"&lt;&gt;")=0,"",SUMIFS(RC_Transit,RC_Lane,B294,RC_Band,E294)),IF(U294="Other","",IF(INDEX(RS_Transit,MATCH(B294,RS_Lane,0))="","",INDEX(RS_Transit,MATCH(B294,RS_Lane,0))))))</f>
        <v>4</v>
      </c>
      <c r="P294" s="36"/>
      <c r="Q294" s="31" t="n">
        <f aca="false">IF(P294&lt;&gt;"",P294,IF(O294="","",WORKDAY.INTL(L294,ROUNDUP(O294,0),INDEX(LR_Code,MATCH(B294,LR_Lane,0)),INDEX(DH_Table,0,MATCH(B294&amp;"*",DH_Head,0)))))</f>
        <v>46714</v>
      </c>
      <c r="R294" s="37" t="str">
        <f aca="false">IF(Q294="","",IF(Q294&lt;=N294,"Yes","No"))</f>
        <v>No</v>
      </c>
      <c r="S294" s="26" t="n">
        <f aca="false">IF(Q294="","",IF(Q294&lt;=N294,0,NETWORKDAYS.INTL(N294,Q294,INDEX(LR_Code,MATCH(B294,LR_Lane,0)),INDEX(DH_Table,0,MATCH(B294&amp;"*",DH_Head,0)))-1))</f>
        <v>2</v>
      </c>
      <c r="T294" s="4"/>
      <c r="U294" s="25" t="str">
        <f aca="false">IF(V294&lt;&gt;"",V294,IF(IFERROR(INDEX(RS_Flag,MATCH(B294,RS_Lane,0)),"")="Yes",IF(IFERROR(INDEX(RS_Loc,MATCH(B294,RS_Lane,0)),"")="","Regional stock",IFERROR(INDEX(RS_Loc,MATCH(B294,RS_Lane,0)),"")),"Helmond"))</f>
        <v>Helmond</v>
      </c>
      <c r="V294" s="17"/>
      <c r="W294" s="38"/>
      <c r="X294" s="39"/>
      <c r="Y294" s="40" t="n">
        <f aca="false">IF(X294&lt;&gt;"",X294,IF(U294="Helmond",IF(COUNTIFS(RC_Lane,B294,RC_Band,E294,RC_CostPS,"&gt;0")=0,"",SUMIFS(RC_CostPS,RC_Lane,B294,RC_Band,E294)*(1-SUMIFS(RC_Disc,RC_Lane,B294,RC_Band,E294))),IF(U294="Other","",IF(INDEX(RS_Rate,MATCH(B294,RS_Lane,0))="","",INDEX(RS_Rate,MATCH(B294,RS_Lane,0))))))</f>
        <v>3051.4304</v>
      </c>
    </row>
    <row r="295" customFormat="false" ht="15" hidden="false" customHeight="false" outlineLevel="0" collapsed="false">
      <c r="A295" s="3" t="s">
        <v>704</v>
      </c>
      <c r="B295" s="25" t="s">
        <v>108</v>
      </c>
      <c r="C295" s="8" t="s">
        <v>109</v>
      </c>
      <c r="D295" s="8" t="s">
        <v>272</v>
      </c>
      <c r="E295" s="8" t="s">
        <v>178</v>
      </c>
      <c r="F295" s="19" t="n">
        <v>6.3</v>
      </c>
      <c r="G295" s="33" t="n">
        <f aca="false">F295*0.006477</f>
        <v>0.0408051</v>
      </c>
      <c r="H295" s="19" t="n">
        <f aca="false">F295*1.079436</f>
        <v>6.8004468</v>
      </c>
      <c r="I295" s="18" t="n">
        <f aca="false">MAX(1,ROUNDUP(G295/0.096,0))</f>
        <v>1</v>
      </c>
      <c r="J295" s="31" t="n">
        <v>46708</v>
      </c>
      <c r="K295" s="34" t="n">
        <f aca="false">J295-WEEKDAY(J295,2)+1</f>
        <v>46706</v>
      </c>
      <c r="L295" s="31" t="n">
        <f aca="false">J295</f>
        <v>46708</v>
      </c>
      <c r="M295" s="26" t="n">
        <f aca="false">INDEX(LR_Target,MATCH(B295,LR_Lane,0))</f>
        <v>2</v>
      </c>
      <c r="N295" s="31" t="n">
        <f aca="false">WORKDAY.INTL(L295,M295,INDEX(LR_Code,MATCH(B295,LR_Lane,0)),INDEX(DH_Table,0,MATCH(B295&amp;"*",DH_Head,0)))</f>
        <v>46712</v>
      </c>
      <c r="O295" s="35" t="n">
        <f aca="false">IF(W295&lt;&gt;"",W295,IF(U295="Helmond",IF(COUNTIFS(RC_Lane,B295,RC_Band,E295,RC_Transit,"&lt;&gt;")=0,"",SUMIFS(RC_Transit,RC_Lane,B295,RC_Band,E295)),IF(U295="Other","",IF(INDEX(RS_Transit,MATCH(B295,RS_Lane,0))="","",INDEX(RS_Transit,MATCH(B295,RS_Lane,0))))))</f>
        <v>1</v>
      </c>
      <c r="P295" s="36"/>
      <c r="Q295" s="31" t="n">
        <f aca="false">IF(P295&lt;&gt;"",P295,IF(O295="","",WORKDAY.INTL(L295,ROUNDUP(O295,0),INDEX(LR_Code,MATCH(B295,LR_Lane,0)),INDEX(DH_Table,0,MATCH(B295&amp;"*",DH_Head,0)))))</f>
        <v>46709</v>
      </c>
      <c r="R295" s="37" t="str">
        <f aca="false">IF(Q295="","",IF(Q295&lt;=N295,"Yes","No"))</f>
        <v>Yes</v>
      </c>
      <c r="S295" s="26" t="n">
        <f aca="false">IF(Q295="","",IF(Q295&lt;=N295,0,NETWORKDAYS.INTL(N295,Q295,INDEX(LR_Code,MATCH(B295,LR_Lane,0)),INDEX(DH_Table,0,MATCH(B295&amp;"*",DH_Head,0)))-1))</f>
        <v>0</v>
      </c>
      <c r="T295" s="4"/>
      <c r="U295" s="25" t="str">
        <f aca="false">IF(V295&lt;&gt;"",V295,IF(IFERROR(INDEX(RS_Flag,MATCH(B295,RS_Lane,0)),"")="Yes",IF(IFERROR(INDEX(RS_Loc,MATCH(B295,RS_Lane,0)),"")="","Regional stock",IFERROR(INDEX(RS_Loc,MATCH(B295,RS_Lane,0)),"")),"Helmond"))</f>
        <v>Helmond</v>
      </c>
      <c r="V295" s="17"/>
      <c r="W295" s="38"/>
      <c r="X295" s="39"/>
      <c r="Y295" s="40" t="n">
        <f aca="false">IF(X295&lt;&gt;"",X295,IF(U295="Helmond",IF(COUNTIFS(RC_Lane,B295,RC_Band,E295,RC_CostPS,"&gt;0")=0,"",SUMIFS(RC_CostPS,RC_Lane,B295,RC_Band,E295)*(1-SUMIFS(RC_Disc,RC_Lane,B295,RC_Band,E295))),IF(U295="Other","",IF(INDEX(RS_Rate,MATCH(B295,RS_Lane,0))="","",INDEX(RS_Rate,MATCH(B295,RS_Lane,0))))))</f>
        <v>72.485</v>
      </c>
    </row>
    <row r="296" customFormat="false" ht="15" hidden="false" customHeight="false" outlineLevel="0" collapsed="false">
      <c r="A296" s="3" t="s">
        <v>705</v>
      </c>
      <c r="B296" s="25" t="s">
        <v>121</v>
      </c>
      <c r="C296" s="8" t="s">
        <v>122</v>
      </c>
      <c r="D296" s="8" t="s">
        <v>278</v>
      </c>
      <c r="E296" s="8" t="s">
        <v>178</v>
      </c>
      <c r="F296" s="19" t="n">
        <v>1.5</v>
      </c>
      <c r="G296" s="33" t="n">
        <f aca="false">F296*0.006477</f>
        <v>0.0097155</v>
      </c>
      <c r="H296" s="19" t="n">
        <f aca="false">F296*1.079436</f>
        <v>1.619154</v>
      </c>
      <c r="I296" s="18" t="n">
        <f aca="false">MAX(1,ROUNDUP(G296/0.096,0))</f>
        <v>1</v>
      </c>
      <c r="J296" s="31" t="n">
        <v>46708</v>
      </c>
      <c r="K296" s="34" t="n">
        <f aca="false">J296-WEEKDAY(J296,2)+1</f>
        <v>46706</v>
      </c>
      <c r="L296" s="31" t="n">
        <f aca="false">J296</f>
        <v>46708</v>
      </c>
      <c r="M296" s="26" t="n">
        <f aca="false">INDEX(LR_Target,MATCH(B296,LR_Lane,0))</f>
        <v>3</v>
      </c>
      <c r="N296" s="31" t="n">
        <f aca="false">WORKDAY.INTL(L296,M296,INDEX(LR_Code,MATCH(B296,LR_Lane,0)),INDEX(DH_Table,0,MATCH(B296&amp;"*",DH_Head,0)))</f>
        <v>46714</v>
      </c>
      <c r="O296" s="35" t="n">
        <f aca="false">IF(W296&lt;&gt;"",W296,IF(U296="Helmond",IF(COUNTIFS(RC_Lane,B296,RC_Band,E296,RC_Transit,"&lt;&gt;")=0,"",SUMIFS(RC_Transit,RC_Lane,B296,RC_Band,E296)),IF(U296="Other","",IF(INDEX(RS_Transit,MATCH(B296,RS_Lane,0))="","",INDEX(RS_Transit,MATCH(B296,RS_Lane,0))))))</f>
        <v>1</v>
      </c>
      <c r="P296" s="36"/>
      <c r="Q296" s="31" t="n">
        <f aca="false">IF(P296&lt;&gt;"",P296,IF(O296="","",WORKDAY.INTL(L296,ROUNDUP(O296,0),INDEX(LR_Code,MATCH(B296,LR_Lane,0)),INDEX(DH_Table,0,MATCH(B296&amp;"*",DH_Head,0)))))</f>
        <v>46710</v>
      </c>
      <c r="R296" s="37" t="str">
        <f aca="false">IF(Q296="","",IF(Q296&lt;=N296,"Yes","No"))</f>
        <v>Yes</v>
      </c>
      <c r="S296" s="26" t="n">
        <f aca="false">IF(Q296="","",IF(Q296&lt;=N296,0,NETWORKDAYS.INTL(N296,Q296,INDEX(LR_Code,MATCH(B296,LR_Lane,0)),INDEX(DH_Table,0,MATCH(B296&amp;"*",DH_Head,0)))-1))</f>
        <v>0</v>
      </c>
      <c r="T296" s="4"/>
      <c r="U296" s="25" t="str">
        <f aca="false">IF(V296&lt;&gt;"",V296,IF(IFERROR(INDEX(RS_Flag,MATCH(B296,RS_Lane,0)),"")="Yes",IF(IFERROR(INDEX(RS_Loc,MATCH(B296,RS_Lane,0)),"")="","Regional stock",IFERROR(INDEX(RS_Loc,MATCH(B296,RS_Lane,0)),"")),"Helmond"))</f>
        <v>Helmond</v>
      </c>
      <c r="V296" s="17"/>
      <c r="W296" s="38"/>
      <c r="X296" s="39"/>
      <c r="Y296" s="40" t="n">
        <f aca="false">IF(X296&lt;&gt;"",X296,IF(U296="Helmond",IF(COUNTIFS(RC_Lane,B296,RC_Band,E296,RC_CostPS,"&gt;0")=0,"",SUMIFS(RC_CostPS,RC_Lane,B296,RC_Band,E296)*(1-SUMIFS(RC_Disc,RC_Lane,B296,RC_Band,E296))),IF(U296="Other","",IF(INDEX(RS_Rate,MATCH(B296,RS_Lane,0))="","",INDEX(RS_Rate,MATCH(B296,RS_Lane,0))))))</f>
        <v>72.485</v>
      </c>
    </row>
    <row r="297" customFormat="false" ht="15" hidden="false" customHeight="false" outlineLevel="0" collapsed="false">
      <c r="A297" s="3" t="s">
        <v>706</v>
      </c>
      <c r="B297" s="25" t="s">
        <v>108</v>
      </c>
      <c r="C297" s="8" t="s">
        <v>109</v>
      </c>
      <c r="D297" s="8" t="s">
        <v>272</v>
      </c>
      <c r="E297" s="8" t="s">
        <v>182</v>
      </c>
      <c r="F297" s="19" t="n">
        <v>385</v>
      </c>
      <c r="G297" s="33" t="n">
        <f aca="false">F297*0.006477</f>
        <v>2.493645</v>
      </c>
      <c r="H297" s="19" t="n">
        <f aca="false">F297*1.079436</f>
        <v>415.58286</v>
      </c>
      <c r="I297" s="18" t="n">
        <f aca="false">MAX(1,ROUNDUP(G297/0.096,0))</f>
        <v>26</v>
      </c>
      <c r="J297" s="31" t="n">
        <v>46709</v>
      </c>
      <c r="K297" s="34" t="n">
        <f aca="false">J297-WEEKDAY(J297,2)+1</f>
        <v>46706</v>
      </c>
      <c r="L297" s="31" t="n">
        <f aca="false">J297</f>
        <v>46709</v>
      </c>
      <c r="M297" s="26" t="n">
        <f aca="false">INDEX(LR_Target,MATCH(B297,LR_Lane,0))</f>
        <v>2</v>
      </c>
      <c r="N297" s="31" t="n">
        <f aca="false">WORKDAY.INTL(L297,M297,INDEX(LR_Code,MATCH(B297,LR_Lane,0)),INDEX(DH_Table,0,MATCH(B297&amp;"*",DH_Head,0)))</f>
        <v>46713</v>
      </c>
      <c r="O297" s="35" t="n">
        <f aca="false">IF(W297&lt;&gt;"",W297,IF(U297="Helmond",IF(COUNTIFS(RC_Lane,B297,RC_Band,E297,RC_Transit,"&lt;&gt;")=0,"",SUMIFS(RC_Transit,RC_Lane,B297,RC_Band,E297)),IF(U297="Other","",IF(INDEX(RS_Transit,MATCH(B297,RS_Lane,0))="","",INDEX(RS_Transit,MATCH(B297,RS_Lane,0))))))</f>
        <v>3</v>
      </c>
      <c r="P297" s="36"/>
      <c r="Q297" s="31" t="n">
        <f aca="false">IF(P297&lt;&gt;"",P297,IF(O297="","",WORKDAY.INTL(L297,ROUNDUP(O297,0),INDEX(LR_Code,MATCH(B297,LR_Lane,0)),INDEX(DH_Table,0,MATCH(B297&amp;"*",DH_Head,0)))))</f>
        <v>46714</v>
      </c>
      <c r="R297" s="37" t="str">
        <f aca="false">IF(Q297="","",IF(Q297&lt;=N297,"Yes","No"))</f>
        <v>No</v>
      </c>
      <c r="S297" s="26" t="n">
        <f aca="false">IF(Q297="","",IF(Q297&lt;=N297,0,NETWORKDAYS.INTL(N297,Q297,INDEX(LR_Code,MATCH(B297,LR_Lane,0)),INDEX(DH_Table,0,MATCH(B297&amp;"*",DH_Head,0)))-1))</f>
        <v>1</v>
      </c>
      <c r="T297" s="4"/>
      <c r="U297" s="25" t="str">
        <f aca="false">IF(V297&lt;&gt;"",V297,IF(IFERROR(INDEX(RS_Flag,MATCH(B297,RS_Lane,0)),"")="Yes",IF(IFERROR(INDEX(RS_Loc,MATCH(B297,RS_Lane,0)),"")="","Regional stock",IFERROR(INDEX(RS_Loc,MATCH(B297,RS_Lane,0)),"")),"Helmond"))</f>
        <v>Helmond</v>
      </c>
      <c r="V297" s="17"/>
      <c r="W297" s="38"/>
      <c r="X297" s="39"/>
      <c r="Y297" s="40" t="n">
        <f aca="false">IF(X297&lt;&gt;"",X297,IF(U297="Helmond",IF(COUNTIFS(RC_Lane,B297,RC_Band,E297,RC_CostPS,"&gt;0")=0,"",SUMIFS(RC_CostPS,RC_Lane,B297,RC_Band,E297)*(1-SUMIFS(RC_Disc,RC_Lane,B297,RC_Band,E297))),IF(U297="Other","",IF(INDEX(RS_Rate,MATCH(B297,RS_Lane,0))="","",INDEX(RS_Rate,MATCH(B297,RS_Lane,0))))))</f>
        <v>1009.7531</v>
      </c>
    </row>
    <row r="298" customFormat="false" ht="15" hidden="false" customHeight="false" outlineLevel="0" collapsed="false">
      <c r="A298" s="3" t="s">
        <v>707</v>
      </c>
      <c r="B298" s="25" t="s">
        <v>108</v>
      </c>
      <c r="C298" s="8" t="s">
        <v>109</v>
      </c>
      <c r="D298" s="8" t="s">
        <v>270</v>
      </c>
      <c r="E298" s="8" t="s">
        <v>180</v>
      </c>
      <c r="F298" s="19" t="n">
        <v>68.8</v>
      </c>
      <c r="G298" s="33" t="n">
        <f aca="false">F298*0.006477</f>
        <v>0.4456176</v>
      </c>
      <c r="H298" s="19" t="n">
        <f aca="false">F298*1.079436</f>
        <v>74.2651968</v>
      </c>
      <c r="I298" s="18" t="n">
        <f aca="false">MAX(1,ROUNDUP(G298/0.096,0))</f>
        <v>5</v>
      </c>
      <c r="J298" s="31" t="n">
        <v>46714</v>
      </c>
      <c r="K298" s="34" t="n">
        <f aca="false">J298-WEEKDAY(J298,2)+1</f>
        <v>46713</v>
      </c>
      <c r="L298" s="31" t="n">
        <f aca="false">J298</f>
        <v>46714</v>
      </c>
      <c r="M298" s="26" t="n">
        <f aca="false">INDEX(LR_Target,MATCH(B298,LR_Lane,0))</f>
        <v>2</v>
      </c>
      <c r="N298" s="31" t="n">
        <f aca="false">WORKDAY.INTL(L298,M298,INDEX(LR_Code,MATCH(B298,LR_Lane,0)),INDEX(DH_Table,0,MATCH(B298&amp;"*",DH_Head,0)))</f>
        <v>46716</v>
      </c>
      <c r="O298" s="35" t="n">
        <f aca="false">IF(W298&lt;&gt;"",W298,IF(U298="Helmond",IF(COUNTIFS(RC_Lane,B298,RC_Band,E298,RC_Transit,"&lt;&gt;")=0,"",SUMIFS(RC_Transit,RC_Lane,B298,RC_Band,E298)),IF(U298="Other","",IF(INDEX(RS_Transit,MATCH(B298,RS_Lane,0))="","",INDEX(RS_Transit,MATCH(B298,RS_Lane,0))))))</f>
        <v>2</v>
      </c>
      <c r="P298" s="36"/>
      <c r="Q298" s="31" t="n">
        <f aca="false">IF(P298&lt;&gt;"",P298,IF(O298="","",WORKDAY.INTL(L298,ROUNDUP(O298,0),INDEX(LR_Code,MATCH(B298,LR_Lane,0)),INDEX(DH_Table,0,MATCH(B298&amp;"*",DH_Head,0)))))</f>
        <v>46716</v>
      </c>
      <c r="R298" s="37" t="str">
        <f aca="false">IF(Q298="","",IF(Q298&lt;=N298,"Yes","No"))</f>
        <v>Yes</v>
      </c>
      <c r="S298" s="26" t="n">
        <f aca="false">IF(Q298="","",IF(Q298&lt;=N298,0,NETWORKDAYS.INTL(N298,Q298,INDEX(LR_Code,MATCH(B298,LR_Lane,0)),INDEX(DH_Table,0,MATCH(B298&amp;"*",DH_Head,0)))-1))</f>
        <v>0</v>
      </c>
      <c r="T298" s="4"/>
      <c r="U298" s="25" t="str">
        <f aca="false">IF(V298&lt;&gt;"",V298,IF(IFERROR(INDEX(RS_Flag,MATCH(B298,RS_Lane,0)),"")="Yes",IF(IFERROR(INDEX(RS_Loc,MATCH(B298,RS_Lane,0)),"")="","Regional stock",IFERROR(INDEX(RS_Loc,MATCH(B298,RS_Lane,0)),"")),"Helmond"))</f>
        <v>Helmond</v>
      </c>
      <c r="V298" s="17"/>
      <c r="W298" s="38"/>
      <c r="X298" s="39"/>
      <c r="Y298" s="40" t="n">
        <f aca="false">IF(X298&lt;&gt;"",X298,IF(U298="Helmond",IF(COUNTIFS(RC_Lane,B298,RC_Band,E298,RC_CostPS,"&gt;0")=0,"",SUMIFS(RC_CostPS,RC_Lane,B298,RC_Band,E298)*(1-SUMIFS(RC_Disc,RC_Lane,B298,RC_Band,E298))),IF(U298="Other","",IF(INDEX(RS_Rate,MATCH(B298,RS_Lane,0))="","",INDEX(RS_Rate,MATCH(B298,RS_Lane,0))))))</f>
        <v>284.98176</v>
      </c>
    </row>
    <row r="299" customFormat="false" ht="15" hidden="false" customHeight="false" outlineLevel="0" collapsed="false">
      <c r="A299" s="3" t="s">
        <v>708</v>
      </c>
      <c r="B299" s="25" t="s">
        <v>108</v>
      </c>
      <c r="C299" s="8" t="s">
        <v>109</v>
      </c>
      <c r="D299" s="8" t="s">
        <v>270</v>
      </c>
      <c r="E299" s="8" t="s">
        <v>180</v>
      </c>
      <c r="F299" s="19" t="n">
        <v>55.2</v>
      </c>
      <c r="G299" s="33" t="n">
        <f aca="false">F299*0.006477</f>
        <v>0.3575304</v>
      </c>
      <c r="H299" s="19" t="n">
        <f aca="false">F299*1.079436</f>
        <v>59.5848672</v>
      </c>
      <c r="I299" s="18" t="n">
        <f aca="false">MAX(1,ROUNDUP(G299/0.096,0))</f>
        <v>4</v>
      </c>
      <c r="J299" s="31" t="n">
        <v>46714</v>
      </c>
      <c r="K299" s="34" t="n">
        <f aca="false">J299-WEEKDAY(J299,2)+1</f>
        <v>46713</v>
      </c>
      <c r="L299" s="31" t="n">
        <f aca="false">J299</f>
        <v>46714</v>
      </c>
      <c r="M299" s="26" t="n">
        <f aca="false">INDEX(LR_Target,MATCH(B299,LR_Lane,0))</f>
        <v>2</v>
      </c>
      <c r="N299" s="31" t="n">
        <f aca="false">WORKDAY.INTL(L299,M299,INDEX(LR_Code,MATCH(B299,LR_Lane,0)),INDEX(DH_Table,0,MATCH(B299&amp;"*",DH_Head,0)))</f>
        <v>46716</v>
      </c>
      <c r="O299" s="35" t="n">
        <f aca="false">IF(W299&lt;&gt;"",W299,IF(U299="Helmond",IF(COUNTIFS(RC_Lane,B299,RC_Band,E299,RC_Transit,"&lt;&gt;")=0,"",SUMIFS(RC_Transit,RC_Lane,B299,RC_Band,E299)),IF(U299="Other","",IF(INDEX(RS_Transit,MATCH(B299,RS_Lane,0))="","",INDEX(RS_Transit,MATCH(B299,RS_Lane,0))))))</f>
        <v>2</v>
      </c>
      <c r="P299" s="36"/>
      <c r="Q299" s="31" t="n">
        <f aca="false">IF(P299&lt;&gt;"",P299,IF(O299="","",WORKDAY.INTL(L299,ROUNDUP(O299,0),INDEX(LR_Code,MATCH(B299,LR_Lane,0)),INDEX(DH_Table,0,MATCH(B299&amp;"*",DH_Head,0)))))</f>
        <v>46716</v>
      </c>
      <c r="R299" s="37" t="str">
        <f aca="false">IF(Q299="","",IF(Q299&lt;=N299,"Yes","No"))</f>
        <v>Yes</v>
      </c>
      <c r="S299" s="26" t="n">
        <f aca="false">IF(Q299="","",IF(Q299&lt;=N299,0,NETWORKDAYS.INTL(N299,Q299,INDEX(LR_Code,MATCH(B299,LR_Lane,0)),INDEX(DH_Table,0,MATCH(B299&amp;"*",DH_Head,0)))-1))</f>
        <v>0</v>
      </c>
      <c r="T299" s="4"/>
      <c r="U299" s="25" t="str">
        <f aca="false">IF(V299&lt;&gt;"",V299,IF(IFERROR(INDEX(RS_Flag,MATCH(B299,RS_Lane,0)),"")="Yes",IF(IFERROR(INDEX(RS_Loc,MATCH(B299,RS_Lane,0)),"")="","Regional stock",IFERROR(INDEX(RS_Loc,MATCH(B299,RS_Lane,0)),"")),"Helmond"))</f>
        <v>Helmond</v>
      </c>
      <c r="V299" s="17"/>
      <c r="W299" s="38"/>
      <c r="X299" s="39"/>
      <c r="Y299" s="40" t="n">
        <f aca="false">IF(X299&lt;&gt;"",X299,IF(U299="Helmond",IF(COUNTIFS(RC_Lane,B299,RC_Band,E299,RC_CostPS,"&gt;0")=0,"",SUMIFS(RC_CostPS,RC_Lane,B299,RC_Band,E299)*(1-SUMIFS(RC_Disc,RC_Lane,B299,RC_Band,E299))),IF(U299="Other","",IF(INDEX(RS_Rate,MATCH(B299,RS_Lane,0))="","",INDEX(RS_Rate,MATCH(B299,RS_Lane,0))))))</f>
        <v>284.98176</v>
      </c>
    </row>
    <row r="300" customFormat="false" ht="15" hidden="false" customHeight="false" outlineLevel="0" collapsed="false">
      <c r="A300" s="3" t="s">
        <v>709</v>
      </c>
      <c r="B300" s="25" t="s">
        <v>108</v>
      </c>
      <c r="C300" s="8" t="s">
        <v>109</v>
      </c>
      <c r="D300" s="8" t="s">
        <v>272</v>
      </c>
      <c r="E300" s="8" t="s">
        <v>178</v>
      </c>
      <c r="F300" s="19" t="n">
        <v>5.2</v>
      </c>
      <c r="G300" s="33" t="n">
        <f aca="false">F300*0.006477</f>
        <v>0.0336804</v>
      </c>
      <c r="H300" s="19" t="n">
        <f aca="false">F300*1.079436</f>
        <v>5.6130672</v>
      </c>
      <c r="I300" s="18" t="n">
        <f aca="false">MAX(1,ROUNDUP(G300/0.096,0))</f>
        <v>1</v>
      </c>
      <c r="J300" s="31" t="n">
        <v>46715</v>
      </c>
      <c r="K300" s="34" t="n">
        <f aca="false">J300-WEEKDAY(J300,2)+1</f>
        <v>46713</v>
      </c>
      <c r="L300" s="31" t="n">
        <f aca="false">J300</f>
        <v>46715</v>
      </c>
      <c r="M300" s="26" t="n">
        <f aca="false">INDEX(LR_Target,MATCH(B300,LR_Lane,0))</f>
        <v>2</v>
      </c>
      <c r="N300" s="31" t="n">
        <f aca="false">WORKDAY.INTL(L300,M300,INDEX(LR_Code,MATCH(B300,LR_Lane,0)),INDEX(DH_Table,0,MATCH(B300&amp;"*",DH_Head,0)))</f>
        <v>46719</v>
      </c>
      <c r="O300" s="35" t="n">
        <f aca="false">IF(W300&lt;&gt;"",W300,IF(U300="Helmond",IF(COUNTIFS(RC_Lane,B300,RC_Band,E300,RC_Transit,"&lt;&gt;")=0,"",SUMIFS(RC_Transit,RC_Lane,B300,RC_Band,E300)),IF(U300="Other","",IF(INDEX(RS_Transit,MATCH(B300,RS_Lane,0))="","",INDEX(RS_Transit,MATCH(B300,RS_Lane,0))))))</f>
        <v>1</v>
      </c>
      <c r="P300" s="36"/>
      <c r="Q300" s="31" t="n">
        <f aca="false">IF(P300&lt;&gt;"",P300,IF(O300="","",WORKDAY.INTL(L300,ROUNDUP(O300,0),INDEX(LR_Code,MATCH(B300,LR_Lane,0)),INDEX(DH_Table,0,MATCH(B300&amp;"*",DH_Head,0)))))</f>
        <v>46716</v>
      </c>
      <c r="R300" s="37" t="str">
        <f aca="false">IF(Q300="","",IF(Q300&lt;=N300,"Yes","No"))</f>
        <v>Yes</v>
      </c>
      <c r="S300" s="26" t="n">
        <f aca="false">IF(Q300="","",IF(Q300&lt;=N300,0,NETWORKDAYS.INTL(N300,Q300,INDEX(LR_Code,MATCH(B300,LR_Lane,0)),INDEX(DH_Table,0,MATCH(B300&amp;"*",DH_Head,0)))-1))</f>
        <v>0</v>
      </c>
      <c r="T300" s="4"/>
      <c r="U300" s="25" t="str">
        <f aca="false">IF(V300&lt;&gt;"",V300,IF(IFERROR(INDEX(RS_Flag,MATCH(B300,RS_Lane,0)),"")="Yes",IF(IFERROR(INDEX(RS_Loc,MATCH(B300,RS_Lane,0)),"")="","Regional stock",IFERROR(INDEX(RS_Loc,MATCH(B300,RS_Lane,0)),"")),"Helmond"))</f>
        <v>Helmond</v>
      </c>
      <c r="V300" s="17"/>
      <c r="W300" s="38"/>
      <c r="X300" s="39"/>
      <c r="Y300" s="40" t="n">
        <f aca="false">IF(X300&lt;&gt;"",X300,IF(U300="Helmond",IF(COUNTIFS(RC_Lane,B300,RC_Band,E300,RC_CostPS,"&gt;0")=0,"",SUMIFS(RC_CostPS,RC_Lane,B300,RC_Band,E300)*(1-SUMIFS(RC_Disc,RC_Lane,B300,RC_Band,E300))),IF(U300="Other","",IF(INDEX(RS_Rate,MATCH(B300,RS_Lane,0))="","",INDEX(RS_Rate,MATCH(B300,RS_Lane,0))))))</f>
        <v>72.485</v>
      </c>
    </row>
    <row r="301" customFormat="false" ht="15" hidden="false" customHeight="false" outlineLevel="0" collapsed="false">
      <c r="A301" s="3" t="s">
        <v>710</v>
      </c>
      <c r="B301" s="25" t="s">
        <v>115</v>
      </c>
      <c r="C301" s="8" t="s">
        <v>116</v>
      </c>
      <c r="D301" s="8" t="s">
        <v>153</v>
      </c>
      <c r="E301" s="8" t="s">
        <v>182</v>
      </c>
      <c r="F301" s="19" t="n">
        <v>313.8</v>
      </c>
      <c r="G301" s="33" t="n">
        <f aca="false">F301*0.006477</f>
        <v>2.0324826</v>
      </c>
      <c r="H301" s="19" t="n">
        <f aca="false">F301*1.079436</f>
        <v>338.7270168</v>
      </c>
      <c r="I301" s="18" t="n">
        <f aca="false">MAX(1,ROUNDUP(G301/0.096,0))</f>
        <v>22</v>
      </c>
      <c r="J301" s="31" t="n">
        <v>46716</v>
      </c>
      <c r="K301" s="34" t="n">
        <f aca="false">J301-WEEKDAY(J301,2)+1</f>
        <v>46713</v>
      </c>
      <c r="L301" s="31" t="n">
        <f aca="false">J301</f>
        <v>46716</v>
      </c>
      <c r="M301" s="26" t="n">
        <f aca="false">INDEX(LR_Target,MATCH(B301,LR_Lane,0))</f>
        <v>2</v>
      </c>
      <c r="N301" s="31" t="n">
        <f aca="false">WORKDAY.INTL(L301,M301,INDEX(LR_Code,MATCH(B301,LR_Lane,0)),INDEX(DH_Table,0,MATCH(B301&amp;"*",DH_Head,0)))</f>
        <v>46720</v>
      </c>
      <c r="O301" s="35" t="n">
        <f aca="false">IF(W301&lt;&gt;"",W301,IF(U301="Helmond",IF(COUNTIFS(RC_Lane,B301,RC_Band,E301,RC_Transit,"&lt;&gt;")=0,"",SUMIFS(RC_Transit,RC_Lane,B301,RC_Band,E301)),IF(U301="Other","",IF(INDEX(RS_Transit,MATCH(B301,RS_Lane,0))="","",INDEX(RS_Transit,MATCH(B301,RS_Lane,0))))))</f>
        <v>3</v>
      </c>
      <c r="P301" s="36"/>
      <c r="Q301" s="31" t="n">
        <f aca="false">IF(P301&lt;&gt;"",P301,IF(O301="","",WORKDAY.INTL(L301,ROUNDUP(O301,0),INDEX(LR_Code,MATCH(B301,LR_Lane,0)),INDEX(DH_Table,0,MATCH(B301&amp;"*",DH_Head,0)))))</f>
        <v>46721</v>
      </c>
      <c r="R301" s="37" t="str">
        <f aca="false">IF(Q301="","",IF(Q301&lt;=N301,"Yes","No"))</f>
        <v>No</v>
      </c>
      <c r="S301" s="26" t="n">
        <f aca="false">IF(Q301="","",IF(Q301&lt;=N301,0,NETWORKDAYS.INTL(N301,Q301,INDEX(LR_Code,MATCH(B301,LR_Lane,0)),INDEX(DH_Table,0,MATCH(B301&amp;"*",DH_Head,0)))-1))</f>
        <v>1</v>
      </c>
      <c r="T301" s="4"/>
      <c r="U301" s="25" t="str">
        <f aca="false">IF(V301&lt;&gt;"",V301,IF(IFERROR(INDEX(RS_Flag,MATCH(B301,RS_Lane,0)),"")="Yes",IF(IFERROR(INDEX(RS_Loc,MATCH(B301,RS_Lane,0)),"")="","Regional stock",IFERROR(INDEX(RS_Loc,MATCH(B301,RS_Lane,0)),"")),"Helmond"))</f>
        <v>Helmond</v>
      </c>
      <c r="V301" s="17"/>
      <c r="W301" s="38"/>
      <c r="X301" s="39"/>
      <c r="Y301" s="40" t="n">
        <f aca="false">IF(X301&lt;&gt;"",X301,IF(U301="Helmond",IF(COUNTIFS(RC_Lane,B301,RC_Band,E301,RC_CostPS,"&gt;0")=0,"",SUMIFS(RC_CostPS,RC_Lane,B301,RC_Band,E301)*(1-SUMIFS(RC_Disc,RC_Lane,B301,RC_Band,E301))),IF(U301="Other","",IF(INDEX(RS_Rate,MATCH(B301,RS_Lane,0))="","",INDEX(RS_Rate,MATCH(B301,RS_Lane,0))))))</f>
        <v>1271.20393</v>
      </c>
    </row>
    <row r="302" customFormat="false" ht="15" hidden="false" customHeight="false" outlineLevel="0" collapsed="false">
      <c r="A302" s="3" t="s">
        <v>711</v>
      </c>
      <c r="B302" s="25" t="s">
        <v>117</v>
      </c>
      <c r="C302" s="8" t="s">
        <v>118</v>
      </c>
      <c r="D302" s="8" t="s">
        <v>154</v>
      </c>
      <c r="E302" s="8" t="s">
        <v>180</v>
      </c>
      <c r="F302" s="19" t="n">
        <v>60.2</v>
      </c>
      <c r="G302" s="33" t="n">
        <f aca="false">F302*0.006477</f>
        <v>0.3899154</v>
      </c>
      <c r="H302" s="19" t="n">
        <f aca="false">F302*1.079436</f>
        <v>64.9820472</v>
      </c>
      <c r="I302" s="18" t="n">
        <f aca="false">MAX(1,ROUNDUP(G302/0.096,0))</f>
        <v>5</v>
      </c>
      <c r="J302" s="31" t="n">
        <v>46716</v>
      </c>
      <c r="K302" s="34" t="n">
        <f aca="false">J302-WEEKDAY(J302,2)+1</f>
        <v>46713</v>
      </c>
      <c r="L302" s="31" t="n">
        <f aca="false">J302</f>
        <v>46716</v>
      </c>
      <c r="M302" s="26" t="n">
        <f aca="false">INDEX(LR_Target,MATCH(B302,LR_Lane,0))</f>
        <v>2</v>
      </c>
      <c r="N302" s="31" t="n">
        <f aca="false">WORKDAY.INTL(L302,M302,INDEX(LR_Code,MATCH(B302,LR_Lane,0)),INDEX(DH_Table,0,MATCH(B302&amp;"*",DH_Head,0)))</f>
        <v>46720</v>
      </c>
      <c r="O302" s="35" t="n">
        <f aca="false">IF(W302&lt;&gt;"",W302,IF(U302="Helmond",IF(COUNTIFS(RC_Lane,B302,RC_Band,E302,RC_Transit,"&lt;&gt;")=0,"",SUMIFS(RC_Transit,RC_Lane,B302,RC_Band,E302)),IF(U302="Other","",IF(INDEX(RS_Transit,MATCH(B302,RS_Lane,0))="","",INDEX(RS_Transit,MATCH(B302,RS_Lane,0))))))</f>
        <v>2</v>
      </c>
      <c r="P302" s="36"/>
      <c r="Q302" s="31" t="n">
        <f aca="false">IF(P302&lt;&gt;"",P302,IF(O302="","",WORKDAY.INTL(L302,ROUNDUP(O302,0),INDEX(LR_Code,MATCH(B302,LR_Lane,0)),INDEX(DH_Table,0,MATCH(B302&amp;"*",DH_Head,0)))))</f>
        <v>46720</v>
      </c>
      <c r="R302" s="37" t="str">
        <f aca="false">IF(Q302="","",IF(Q302&lt;=N302,"Yes","No"))</f>
        <v>Yes</v>
      </c>
      <c r="S302" s="26" t="n">
        <f aca="false">IF(Q302="","",IF(Q302&lt;=N302,0,NETWORKDAYS.INTL(N302,Q302,INDEX(LR_Code,MATCH(B302,LR_Lane,0)),INDEX(DH_Table,0,MATCH(B302&amp;"*",DH_Head,0)))-1))</f>
        <v>0</v>
      </c>
      <c r="T302" s="4"/>
      <c r="U302" s="25" t="str">
        <f aca="false">IF(V302&lt;&gt;"",V302,IF(IFERROR(INDEX(RS_Flag,MATCH(B302,RS_Lane,0)),"")="Yes",IF(IFERROR(INDEX(RS_Loc,MATCH(B302,RS_Lane,0)),"")="","Regional stock",IFERROR(INDEX(RS_Loc,MATCH(B302,RS_Lane,0)),"")),"Helmond"))</f>
        <v>Helmond</v>
      </c>
      <c r="V302" s="17"/>
      <c r="W302" s="38"/>
      <c r="X302" s="39"/>
      <c r="Y302" s="40" t="n">
        <f aca="false">IF(X302&lt;&gt;"",X302,IF(U302="Helmond",IF(COUNTIFS(RC_Lane,B302,RC_Band,E302,RC_CostPS,"&gt;0")=0,"",SUMIFS(RC_CostPS,RC_Lane,B302,RC_Band,E302)*(1-SUMIFS(RC_Disc,RC_Lane,B302,RC_Band,E302))),IF(U302="Other","",IF(INDEX(RS_Rate,MATCH(B302,RS_Lane,0))="","",INDEX(RS_Rate,MATCH(B302,RS_Lane,0))))))</f>
        <v>154.40768</v>
      </c>
    </row>
    <row r="303" customFormat="false" ht="15" hidden="false" customHeight="false" outlineLevel="0" collapsed="false">
      <c r="A303" s="3" t="s">
        <v>712</v>
      </c>
      <c r="B303" s="25" t="s">
        <v>112</v>
      </c>
      <c r="C303" s="8" t="s">
        <v>113</v>
      </c>
      <c r="D303" s="8" t="s">
        <v>152</v>
      </c>
      <c r="E303" s="8" t="s">
        <v>178</v>
      </c>
      <c r="F303" s="19" t="n">
        <v>10.6</v>
      </c>
      <c r="G303" s="33" t="n">
        <f aca="false">F303*0.006477</f>
        <v>0.0686562</v>
      </c>
      <c r="H303" s="19" t="n">
        <f aca="false">F303*1.079436</f>
        <v>11.4420216</v>
      </c>
      <c r="I303" s="18" t="n">
        <f aca="false">MAX(1,ROUNDUP(G303/0.096,0))</f>
        <v>1</v>
      </c>
      <c r="J303" s="31" t="n">
        <v>46717</v>
      </c>
      <c r="K303" s="34" t="n">
        <f aca="false">J303-WEEKDAY(J303,2)+1</f>
        <v>46713</v>
      </c>
      <c r="L303" s="31" t="n">
        <f aca="false">J303</f>
        <v>46717</v>
      </c>
      <c r="M303" s="26" t="n">
        <f aca="false">INDEX(LR_Target,MATCH(B303,LR_Lane,0))</f>
        <v>2</v>
      </c>
      <c r="N303" s="31" t="n">
        <f aca="false">WORKDAY.INTL(L303,M303,INDEX(LR_Code,MATCH(B303,LR_Lane,0)),INDEX(DH_Table,0,MATCH(B303&amp;"*",DH_Head,0)))</f>
        <v>46721</v>
      </c>
      <c r="O303" s="35" t="n">
        <f aca="false">IF(W303&lt;&gt;"",W303,IF(U303="Helmond",IF(COUNTIFS(RC_Lane,B303,RC_Band,E303,RC_Transit,"&lt;&gt;")=0,"",SUMIFS(RC_Transit,RC_Lane,B303,RC_Band,E303)),IF(U303="Other","",IF(INDEX(RS_Transit,MATCH(B303,RS_Lane,0))="","",INDEX(RS_Transit,MATCH(B303,RS_Lane,0))))))</f>
        <v>1</v>
      </c>
      <c r="P303" s="36"/>
      <c r="Q303" s="31" t="n">
        <f aca="false">IF(P303&lt;&gt;"",P303,IF(O303="","",WORKDAY.INTL(L303,ROUNDUP(O303,0),INDEX(LR_Code,MATCH(B303,LR_Lane,0)),INDEX(DH_Table,0,MATCH(B303&amp;"*",DH_Head,0)))))</f>
        <v>46720</v>
      </c>
      <c r="R303" s="37" t="str">
        <f aca="false">IF(Q303="","",IF(Q303&lt;=N303,"Yes","No"))</f>
        <v>Yes</v>
      </c>
      <c r="S303" s="26" t="n">
        <f aca="false">IF(Q303="","",IF(Q303&lt;=N303,0,NETWORKDAYS.INTL(N303,Q303,INDEX(LR_Code,MATCH(B303,LR_Lane,0)),INDEX(DH_Table,0,MATCH(B303&amp;"*",DH_Head,0)))-1))</f>
        <v>0</v>
      </c>
      <c r="T303" s="4"/>
      <c r="U303" s="25" t="str">
        <f aca="false">IF(V303&lt;&gt;"",V303,IF(IFERROR(INDEX(RS_Flag,MATCH(B303,RS_Lane,0)),"")="Yes",IF(IFERROR(INDEX(RS_Loc,MATCH(B303,RS_Lane,0)),"")="","Regional stock",IFERROR(INDEX(RS_Loc,MATCH(B303,RS_Lane,0)),"")),"Helmond"))</f>
        <v>Helmond</v>
      </c>
      <c r="V303" s="17"/>
      <c r="W303" s="38"/>
      <c r="X303" s="39"/>
      <c r="Y303" s="40" t="n">
        <f aca="false">IF(X303&lt;&gt;"",X303,IF(U303="Helmond",IF(COUNTIFS(RC_Lane,B303,RC_Band,E303,RC_CostPS,"&gt;0")=0,"",SUMIFS(RC_CostPS,RC_Lane,B303,RC_Band,E303)*(1-SUMIFS(RC_Disc,RC_Lane,B303,RC_Band,E303))),IF(U303="Other","",IF(INDEX(RS_Rate,MATCH(B303,RS_Lane,0))="","",INDEX(RS_Rate,MATCH(B303,RS_Lane,0))))))</f>
        <v>72.485</v>
      </c>
    </row>
    <row r="304" customFormat="false" ht="15" hidden="false" customHeight="false" outlineLevel="0" collapsed="false">
      <c r="A304" s="3" t="s">
        <v>713</v>
      </c>
      <c r="B304" s="25" t="s">
        <v>112</v>
      </c>
      <c r="C304" s="8" t="s">
        <v>113</v>
      </c>
      <c r="D304" s="8" t="s">
        <v>152</v>
      </c>
      <c r="E304" s="8" t="s">
        <v>178</v>
      </c>
      <c r="F304" s="19" t="n">
        <v>9.1</v>
      </c>
      <c r="G304" s="33" t="n">
        <f aca="false">F304*0.006477</f>
        <v>0.0589407</v>
      </c>
      <c r="H304" s="19" t="n">
        <f aca="false">F304*1.079436</f>
        <v>9.8228676</v>
      </c>
      <c r="I304" s="18" t="n">
        <f aca="false">MAX(1,ROUNDUP(G304/0.096,0))</f>
        <v>1</v>
      </c>
      <c r="J304" s="31" t="n">
        <v>46717</v>
      </c>
      <c r="K304" s="34" t="n">
        <f aca="false">J304-WEEKDAY(J304,2)+1</f>
        <v>46713</v>
      </c>
      <c r="L304" s="31" t="n">
        <f aca="false">J304</f>
        <v>46717</v>
      </c>
      <c r="M304" s="26" t="n">
        <f aca="false">INDEX(LR_Target,MATCH(B304,LR_Lane,0))</f>
        <v>2</v>
      </c>
      <c r="N304" s="31" t="n">
        <f aca="false">WORKDAY.INTL(L304,M304,INDEX(LR_Code,MATCH(B304,LR_Lane,0)),INDEX(DH_Table,0,MATCH(B304&amp;"*",DH_Head,0)))</f>
        <v>46721</v>
      </c>
      <c r="O304" s="35" t="n">
        <f aca="false">IF(W304&lt;&gt;"",W304,IF(U304="Helmond",IF(COUNTIFS(RC_Lane,B304,RC_Band,E304,RC_Transit,"&lt;&gt;")=0,"",SUMIFS(RC_Transit,RC_Lane,B304,RC_Band,E304)),IF(U304="Other","",IF(INDEX(RS_Transit,MATCH(B304,RS_Lane,0))="","",INDEX(RS_Transit,MATCH(B304,RS_Lane,0))))))</f>
        <v>1</v>
      </c>
      <c r="P304" s="36"/>
      <c r="Q304" s="31" t="n">
        <f aca="false">IF(P304&lt;&gt;"",P304,IF(O304="","",WORKDAY.INTL(L304,ROUNDUP(O304,0),INDEX(LR_Code,MATCH(B304,LR_Lane,0)),INDEX(DH_Table,0,MATCH(B304&amp;"*",DH_Head,0)))))</f>
        <v>46720</v>
      </c>
      <c r="R304" s="37" t="str">
        <f aca="false">IF(Q304="","",IF(Q304&lt;=N304,"Yes","No"))</f>
        <v>Yes</v>
      </c>
      <c r="S304" s="26" t="n">
        <f aca="false">IF(Q304="","",IF(Q304&lt;=N304,0,NETWORKDAYS.INTL(N304,Q304,INDEX(LR_Code,MATCH(B304,LR_Lane,0)),INDEX(DH_Table,0,MATCH(B304&amp;"*",DH_Head,0)))-1))</f>
        <v>0</v>
      </c>
      <c r="T304" s="4"/>
      <c r="U304" s="25" t="str">
        <f aca="false">IF(V304&lt;&gt;"",V304,IF(IFERROR(INDEX(RS_Flag,MATCH(B304,RS_Lane,0)),"")="Yes",IF(IFERROR(INDEX(RS_Loc,MATCH(B304,RS_Lane,0)),"")="","Regional stock",IFERROR(INDEX(RS_Loc,MATCH(B304,RS_Lane,0)),"")),"Helmond"))</f>
        <v>Helmond</v>
      </c>
      <c r="V304" s="17"/>
      <c r="W304" s="38"/>
      <c r="X304" s="39"/>
      <c r="Y304" s="40" t="n">
        <f aca="false">IF(X304&lt;&gt;"",X304,IF(U304="Helmond",IF(COUNTIFS(RC_Lane,B304,RC_Band,E304,RC_CostPS,"&gt;0")=0,"",SUMIFS(RC_CostPS,RC_Lane,B304,RC_Band,E304)*(1-SUMIFS(RC_Disc,RC_Lane,B304,RC_Band,E304))),IF(U304="Other","",IF(INDEX(RS_Rate,MATCH(B304,RS_Lane,0))="","",INDEX(RS_Rate,MATCH(B304,RS_Lane,0))))))</f>
        <v>72.485</v>
      </c>
    </row>
    <row r="305" customFormat="false" ht="15" hidden="false" customHeight="false" outlineLevel="0" collapsed="false">
      <c r="A305" s="3" t="s">
        <v>714</v>
      </c>
      <c r="B305" s="25" t="s">
        <v>119</v>
      </c>
      <c r="C305" s="8" t="s">
        <v>120</v>
      </c>
      <c r="D305" s="8" t="s">
        <v>155</v>
      </c>
      <c r="E305" s="8" t="s">
        <v>178</v>
      </c>
      <c r="F305" s="19" t="n">
        <v>11.1</v>
      </c>
      <c r="G305" s="33" t="n">
        <f aca="false">F305*0.006477</f>
        <v>0.0718947</v>
      </c>
      <c r="H305" s="19" t="n">
        <f aca="false">F305*1.079436</f>
        <v>11.9817396</v>
      </c>
      <c r="I305" s="18" t="n">
        <f aca="false">MAX(1,ROUNDUP(G305/0.096,0))</f>
        <v>1</v>
      </c>
      <c r="J305" s="31" t="n">
        <v>46717</v>
      </c>
      <c r="K305" s="34" t="n">
        <f aca="false">J305-WEEKDAY(J305,2)+1</f>
        <v>46713</v>
      </c>
      <c r="L305" s="31" t="n">
        <f aca="false">J305</f>
        <v>46717</v>
      </c>
      <c r="M305" s="26" t="n">
        <f aca="false">INDEX(LR_Target,MATCH(B305,LR_Lane,0))</f>
        <v>3</v>
      </c>
      <c r="N305" s="31" t="n">
        <f aca="false">WORKDAY.INTL(L305,M305,INDEX(LR_Code,MATCH(B305,LR_Lane,0)),INDEX(DH_Table,0,MATCH(B305&amp;"*",DH_Head,0)))</f>
        <v>46722</v>
      </c>
      <c r="O305" s="35" t="n">
        <f aca="false">IF(W305&lt;&gt;"",W305,IF(U305="Helmond",IF(COUNTIFS(RC_Lane,B305,RC_Band,E305,RC_Transit,"&lt;&gt;")=0,"",SUMIFS(RC_Transit,RC_Lane,B305,RC_Band,E305)),IF(U305="Other","",IF(INDEX(RS_Transit,MATCH(B305,RS_Lane,0))="","",INDEX(RS_Transit,MATCH(B305,RS_Lane,0))))))</f>
        <v>1</v>
      </c>
      <c r="P305" s="36"/>
      <c r="Q305" s="31" t="n">
        <f aca="false">IF(P305&lt;&gt;"",P305,IF(O305="","",WORKDAY.INTL(L305,ROUNDUP(O305,0),INDEX(LR_Code,MATCH(B305,LR_Lane,0)),INDEX(DH_Table,0,MATCH(B305&amp;"*",DH_Head,0)))))</f>
        <v>46720</v>
      </c>
      <c r="R305" s="37" t="str">
        <f aca="false">IF(Q305="","",IF(Q305&lt;=N305,"Yes","No"))</f>
        <v>Yes</v>
      </c>
      <c r="S305" s="26" t="n">
        <f aca="false">IF(Q305="","",IF(Q305&lt;=N305,0,NETWORKDAYS.INTL(N305,Q305,INDEX(LR_Code,MATCH(B305,LR_Lane,0)),INDEX(DH_Table,0,MATCH(B305&amp;"*",DH_Head,0)))-1))</f>
        <v>0</v>
      </c>
      <c r="T305" s="4"/>
      <c r="U305" s="25" t="str">
        <f aca="false">IF(V305&lt;&gt;"",V305,IF(IFERROR(INDEX(RS_Flag,MATCH(B305,RS_Lane,0)),"")="Yes",IF(IFERROR(INDEX(RS_Loc,MATCH(B305,RS_Lane,0)),"")="","Regional stock",IFERROR(INDEX(RS_Loc,MATCH(B305,RS_Lane,0)),"")),"Helmond"))</f>
        <v>Helmond</v>
      </c>
      <c r="V305" s="17"/>
      <c r="W305" s="38"/>
      <c r="X305" s="39"/>
      <c r="Y305" s="40" t="n">
        <f aca="false">IF(X305&lt;&gt;"",X305,IF(U305="Helmond",IF(COUNTIFS(RC_Lane,B305,RC_Band,E305,RC_CostPS,"&gt;0")=0,"",SUMIFS(RC_CostPS,RC_Lane,B305,RC_Band,E305)*(1-SUMIFS(RC_Disc,RC_Lane,B305,RC_Band,E305))),IF(U305="Other","",IF(INDEX(RS_Rate,MATCH(B305,RS_Lane,0))="","",INDEX(RS_Rate,MATCH(B305,RS_Lane,0))))))</f>
        <v>72.485</v>
      </c>
    </row>
    <row r="306" customFormat="false" ht="15" hidden="false" customHeight="false" outlineLevel="0" collapsed="false">
      <c r="A306" s="3" t="s">
        <v>715</v>
      </c>
      <c r="B306" s="25" t="s">
        <v>108</v>
      </c>
      <c r="C306" s="8" t="s">
        <v>109</v>
      </c>
      <c r="D306" s="8" t="s">
        <v>270</v>
      </c>
      <c r="E306" s="8" t="s">
        <v>178</v>
      </c>
      <c r="F306" s="19" t="n">
        <v>3.5</v>
      </c>
      <c r="G306" s="33" t="n">
        <f aca="false">F306*0.006477</f>
        <v>0.0226695</v>
      </c>
      <c r="H306" s="19" t="n">
        <f aca="false">F306*1.079436</f>
        <v>3.778026</v>
      </c>
      <c r="I306" s="18" t="n">
        <f aca="false">MAX(1,ROUNDUP(G306/0.096,0))</f>
        <v>1</v>
      </c>
      <c r="J306" s="31" t="n">
        <v>46720</v>
      </c>
      <c r="K306" s="34" t="n">
        <f aca="false">J306-WEEKDAY(J306,2)+1</f>
        <v>46720</v>
      </c>
      <c r="L306" s="31" t="n">
        <f aca="false">J306</f>
        <v>46720</v>
      </c>
      <c r="M306" s="26" t="n">
        <f aca="false">INDEX(LR_Target,MATCH(B306,LR_Lane,0))</f>
        <v>2</v>
      </c>
      <c r="N306" s="31" t="n">
        <f aca="false">WORKDAY.INTL(L306,M306,INDEX(LR_Code,MATCH(B306,LR_Lane,0)),INDEX(DH_Table,0,MATCH(B306&amp;"*",DH_Head,0)))</f>
        <v>46722</v>
      </c>
      <c r="O306" s="35" t="n">
        <f aca="false">IF(W306&lt;&gt;"",W306,IF(U306="Helmond",IF(COUNTIFS(RC_Lane,B306,RC_Band,E306,RC_Transit,"&lt;&gt;")=0,"",SUMIFS(RC_Transit,RC_Lane,B306,RC_Band,E306)),IF(U306="Other","",IF(INDEX(RS_Transit,MATCH(B306,RS_Lane,0))="","",INDEX(RS_Transit,MATCH(B306,RS_Lane,0))))))</f>
        <v>1</v>
      </c>
      <c r="P306" s="36"/>
      <c r="Q306" s="31" t="n">
        <f aca="false">IF(P306&lt;&gt;"",P306,IF(O306="","",WORKDAY.INTL(L306,ROUNDUP(O306,0),INDEX(LR_Code,MATCH(B306,LR_Lane,0)),INDEX(DH_Table,0,MATCH(B306&amp;"*",DH_Head,0)))))</f>
        <v>46721</v>
      </c>
      <c r="R306" s="37" t="str">
        <f aca="false">IF(Q306="","",IF(Q306&lt;=N306,"Yes","No"))</f>
        <v>Yes</v>
      </c>
      <c r="S306" s="26" t="n">
        <f aca="false">IF(Q306="","",IF(Q306&lt;=N306,0,NETWORKDAYS.INTL(N306,Q306,INDEX(LR_Code,MATCH(B306,LR_Lane,0)),INDEX(DH_Table,0,MATCH(B306&amp;"*",DH_Head,0)))-1))</f>
        <v>0</v>
      </c>
      <c r="T306" s="4"/>
      <c r="U306" s="25" t="str">
        <f aca="false">IF(V306&lt;&gt;"",V306,IF(IFERROR(INDEX(RS_Flag,MATCH(B306,RS_Lane,0)),"")="Yes",IF(IFERROR(INDEX(RS_Loc,MATCH(B306,RS_Lane,0)),"")="","Regional stock",IFERROR(INDEX(RS_Loc,MATCH(B306,RS_Lane,0)),"")),"Helmond"))</f>
        <v>Helmond</v>
      </c>
      <c r="V306" s="17"/>
      <c r="W306" s="38"/>
      <c r="X306" s="39"/>
      <c r="Y306" s="40" t="n">
        <f aca="false">IF(X306&lt;&gt;"",X306,IF(U306="Helmond",IF(COUNTIFS(RC_Lane,B306,RC_Band,E306,RC_CostPS,"&gt;0")=0,"",SUMIFS(RC_CostPS,RC_Lane,B306,RC_Band,E306)*(1-SUMIFS(RC_Disc,RC_Lane,B306,RC_Band,E306))),IF(U306="Other","",IF(INDEX(RS_Rate,MATCH(B306,RS_Lane,0))="","",INDEX(RS_Rate,MATCH(B306,RS_Lane,0))))))</f>
        <v>72.485</v>
      </c>
    </row>
    <row r="307" customFormat="false" ht="15" hidden="false" customHeight="false" outlineLevel="0" collapsed="false">
      <c r="A307" s="3" t="s">
        <v>716</v>
      </c>
      <c r="B307" s="25" t="s">
        <v>112</v>
      </c>
      <c r="C307" s="8" t="s">
        <v>113</v>
      </c>
      <c r="D307" s="8" t="s">
        <v>152</v>
      </c>
      <c r="E307" s="8" t="s">
        <v>182</v>
      </c>
      <c r="F307" s="19" t="n">
        <v>369.6</v>
      </c>
      <c r="G307" s="33" t="n">
        <f aca="false">F307*0.006477</f>
        <v>2.3938992</v>
      </c>
      <c r="H307" s="19" t="n">
        <f aca="false">F307*1.079436</f>
        <v>398.9595456</v>
      </c>
      <c r="I307" s="18" t="n">
        <f aca="false">MAX(1,ROUNDUP(G307/0.096,0))</f>
        <v>25</v>
      </c>
      <c r="J307" s="31" t="n">
        <v>46720</v>
      </c>
      <c r="K307" s="34" t="n">
        <f aca="false">J307-WEEKDAY(J307,2)+1</f>
        <v>46720</v>
      </c>
      <c r="L307" s="31" t="n">
        <f aca="false">J307</f>
        <v>46720</v>
      </c>
      <c r="M307" s="26" t="n">
        <f aca="false">INDEX(LR_Target,MATCH(B307,LR_Lane,0))</f>
        <v>2</v>
      </c>
      <c r="N307" s="31" t="n">
        <f aca="false">WORKDAY.INTL(L307,M307,INDEX(LR_Code,MATCH(B307,LR_Lane,0)),INDEX(DH_Table,0,MATCH(B307&amp;"*",DH_Head,0)))</f>
        <v>46722</v>
      </c>
      <c r="O307" s="35" t="n">
        <f aca="false">IF(W307&lt;&gt;"",W307,IF(U307="Helmond",IF(COUNTIFS(RC_Lane,B307,RC_Band,E307,RC_Transit,"&lt;&gt;")=0,"",SUMIFS(RC_Transit,RC_Lane,B307,RC_Band,E307)),IF(U307="Other","",IF(INDEX(RS_Transit,MATCH(B307,RS_Lane,0))="","",INDEX(RS_Transit,MATCH(B307,RS_Lane,0))))))</f>
        <v>3</v>
      </c>
      <c r="P307" s="36"/>
      <c r="Q307" s="31" t="n">
        <f aca="false">IF(P307&lt;&gt;"",P307,IF(O307="","",WORKDAY.INTL(L307,ROUNDUP(O307,0),INDEX(LR_Code,MATCH(B307,LR_Lane,0)),INDEX(DH_Table,0,MATCH(B307&amp;"*",DH_Head,0)))))</f>
        <v>46727</v>
      </c>
      <c r="R307" s="37" t="str">
        <f aca="false">IF(Q307="","",IF(Q307&lt;=N307,"Yes","No"))</f>
        <v>No</v>
      </c>
      <c r="S307" s="26" t="n">
        <f aca="false">IF(Q307="","",IF(Q307&lt;=N307,0,NETWORKDAYS.INTL(N307,Q307,INDEX(LR_Code,MATCH(B307,LR_Lane,0)),INDEX(DH_Table,0,MATCH(B307&amp;"*",DH_Head,0)))-1))</f>
        <v>1</v>
      </c>
      <c r="T307" s="4"/>
      <c r="U307" s="25" t="str">
        <f aca="false">IF(V307&lt;&gt;"",V307,IF(IFERROR(INDEX(RS_Flag,MATCH(B307,RS_Lane,0)),"")="Yes",IF(IFERROR(INDEX(RS_Loc,MATCH(B307,RS_Lane,0)),"")="","Regional stock",IFERROR(INDEX(RS_Loc,MATCH(B307,RS_Lane,0)),"")),"Helmond"))</f>
        <v>Helmond</v>
      </c>
      <c r="V307" s="17"/>
      <c r="W307" s="38"/>
      <c r="X307" s="39"/>
      <c r="Y307" s="40" t="n">
        <f aca="false">IF(X307&lt;&gt;"",X307,IF(U307="Helmond",IF(COUNTIFS(RC_Lane,B307,RC_Band,E307,RC_CostPS,"&gt;0")=0,"",SUMIFS(RC_CostPS,RC_Lane,B307,RC_Band,E307)*(1-SUMIFS(RC_Disc,RC_Lane,B307,RC_Band,E307))),IF(U307="Other","",IF(INDEX(RS_Rate,MATCH(B307,RS_Lane,0))="","",INDEX(RS_Rate,MATCH(B307,RS_Lane,0))))))</f>
        <v>1428.70443</v>
      </c>
    </row>
    <row r="308" customFormat="false" ht="15" hidden="false" customHeight="false" outlineLevel="0" collapsed="false">
      <c r="A308" s="3" t="s">
        <v>717</v>
      </c>
      <c r="B308" s="25" t="s">
        <v>112</v>
      </c>
      <c r="C308" s="8" t="s">
        <v>113</v>
      </c>
      <c r="D308" s="8" t="s">
        <v>152</v>
      </c>
      <c r="E308" s="8" t="s">
        <v>178</v>
      </c>
      <c r="F308" s="19" t="n">
        <v>7</v>
      </c>
      <c r="G308" s="33" t="n">
        <f aca="false">F308*0.006477</f>
        <v>0.045339</v>
      </c>
      <c r="H308" s="19" t="n">
        <f aca="false">F308*1.079436</f>
        <v>7.556052</v>
      </c>
      <c r="I308" s="18" t="n">
        <f aca="false">MAX(1,ROUNDUP(G308/0.096,0))</f>
        <v>1</v>
      </c>
      <c r="J308" s="31" t="n">
        <v>46720</v>
      </c>
      <c r="K308" s="34" t="n">
        <f aca="false">J308-WEEKDAY(J308,2)+1</f>
        <v>46720</v>
      </c>
      <c r="L308" s="31" t="n">
        <f aca="false">J308</f>
        <v>46720</v>
      </c>
      <c r="M308" s="26" t="n">
        <f aca="false">INDEX(LR_Target,MATCH(B308,LR_Lane,0))</f>
        <v>2</v>
      </c>
      <c r="N308" s="31" t="n">
        <f aca="false">WORKDAY.INTL(L308,M308,INDEX(LR_Code,MATCH(B308,LR_Lane,0)),INDEX(DH_Table,0,MATCH(B308&amp;"*",DH_Head,0)))</f>
        <v>46722</v>
      </c>
      <c r="O308" s="35" t="n">
        <f aca="false">IF(W308&lt;&gt;"",W308,IF(U308="Helmond",IF(COUNTIFS(RC_Lane,B308,RC_Band,E308,RC_Transit,"&lt;&gt;")=0,"",SUMIFS(RC_Transit,RC_Lane,B308,RC_Band,E308)),IF(U308="Other","",IF(INDEX(RS_Transit,MATCH(B308,RS_Lane,0))="","",INDEX(RS_Transit,MATCH(B308,RS_Lane,0))))))</f>
        <v>1</v>
      </c>
      <c r="P308" s="36"/>
      <c r="Q308" s="31" t="n">
        <f aca="false">IF(P308&lt;&gt;"",P308,IF(O308="","",WORKDAY.INTL(L308,ROUNDUP(O308,0),INDEX(LR_Code,MATCH(B308,LR_Lane,0)),INDEX(DH_Table,0,MATCH(B308&amp;"*",DH_Head,0)))))</f>
        <v>46721</v>
      </c>
      <c r="R308" s="37" t="str">
        <f aca="false">IF(Q308="","",IF(Q308&lt;=N308,"Yes","No"))</f>
        <v>Yes</v>
      </c>
      <c r="S308" s="26" t="n">
        <f aca="false">IF(Q308="","",IF(Q308&lt;=N308,0,NETWORKDAYS.INTL(N308,Q308,INDEX(LR_Code,MATCH(B308,LR_Lane,0)),INDEX(DH_Table,0,MATCH(B308&amp;"*",DH_Head,0)))-1))</f>
        <v>0</v>
      </c>
      <c r="T308" s="4"/>
      <c r="U308" s="25" t="str">
        <f aca="false">IF(V308&lt;&gt;"",V308,IF(IFERROR(INDEX(RS_Flag,MATCH(B308,RS_Lane,0)),"")="Yes",IF(IFERROR(INDEX(RS_Loc,MATCH(B308,RS_Lane,0)),"")="","Regional stock",IFERROR(INDEX(RS_Loc,MATCH(B308,RS_Lane,0)),"")),"Helmond"))</f>
        <v>Helmond</v>
      </c>
      <c r="V308" s="17"/>
      <c r="W308" s="38"/>
      <c r="X308" s="39"/>
      <c r="Y308" s="40" t="n">
        <f aca="false">IF(X308&lt;&gt;"",X308,IF(U308="Helmond",IF(COUNTIFS(RC_Lane,B308,RC_Band,E308,RC_CostPS,"&gt;0")=0,"",SUMIFS(RC_CostPS,RC_Lane,B308,RC_Band,E308)*(1-SUMIFS(RC_Disc,RC_Lane,B308,RC_Band,E308))),IF(U308="Other","",IF(INDEX(RS_Rate,MATCH(B308,RS_Lane,0))="","",INDEX(RS_Rate,MATCH(B308,RS_Lane,0))))))</f>
        <v>72.485</v>
      </c>
    </row>
    <row r="309" customFormat="false" ht="15" hidden="false" customHeight="false" outlineLevel="0" collapsed="false">
      <c r="A309" s="3" t="s">
        <v>718</v>
      </c>
      <c r="B309" s="25" t="s">
        <v>112</v>
      </c>
      <c r="C309" s="8" t="s">
        <v>113</v>
      </c>
      <c r="D309" s="8" t="s">
        <v>152</v>
      </c>
      <c r="E309" s="8" t="s">
        <v>178</v>
      </c>
      <c r="F309" s="19" t="n">
        <v>7.5</v>
      </c>
      <c r="G309" s="33" t="n">
        <f aca="false">F309*0.006477</f>
        <v>0.0485775</v>
      </c>
      <c r="H309" s="19" t="n">
        <f aca="false">F309*1.079436</f>
        <v>8.09577</v>
      </c>
      <c r="I309" s="18" t="n">
        <f aca="false">MAX(1,ROUNDUP(G309/0.096,0))</f>
        <v>1</v>
      </c>
      <c r="J309" s="31" t="n">
        <v>46721</v>
      </c>
      <c r="K309" s="34" t="n">
        <f aca="false">J309-WEEKDAY(J309,2)+1</f>
        <v>46720</v>
      </c>
      <c r="L309" s="31" t="n">
        <f aca="false">J309</f>
        <v>46721</v>
      </c>
      <c r="M309" s="26" t="n">
        <f aca="false">INDEX(LR_Target,MATCH(B309,LR_Lane,0))</f>
        <v>2</v>
      </c>
      <c r="N309" s="31" t="n">
        <f aca="false">WORKDAY.INTL(L309,M309,INDEX(LR_Code,MATCH(B309,LR_Lane,0)),INDEX(DH_Table,0,MATCH(B309&amp;"*",DH_Head,0)))</f>
        <v>46727</v>
      </c>
      <c r="O309" s="35" t="n">
        <f aca="false">IF(W309&lt;&gt;"",W309,IF(U309="Helmond",IF(COUNTIFS(RC_Lane,B309,RC_Band,E309,RC_Transit,"&lt;&gt;")=0,"",SUMIFS(RC_Transit,RC_Lane,B309,RC_Band,E309)),IF(U309="Other","",IF(INDEX(RS_Transit,MATCH(B309,RS_Lane,0))="","",INDEX(RS_Transit,MATCH(B309,RS_Lane,0))))))</f>
        <v>1</v>
      </c>
      <c r="P309" s="36"/>
      <c r="Q309" s="31" t="n">
        <f aca="false">IF(P309&lt;&gt;"",P309,IF(O309="","",WORKDAY.INTL(L309,ROUNDUP(O309,0),INDEX(LR_Code,MATCH(B309,LR_Lane,0)),INDEX(DH_Table,0,MATCH(B309&amp;"*",DH_Head,0)))))</f>
        <v>46722</v>
      </c>
      <c r="R309" s="37" t="str">
        <f aca="false">IF(Q309="","",IF(Q309&lt;=N309,"Yes","No"))</f>
        <v>Yes</v>
      </c>
      <c r="S309" s="26" t="n">
        <f aca="false">IF(Q309="","",IF(Q309&lt;=N309,0,NETWORKDAYS.INTL(N309,Q309,INDEX(LR_Code,MATCH(B309,LR_Lane,0)),INDEX(DH_Table,0,MATCH(B309&amp;"*",DH_Head,0)))-1))</f>
        <v>0</v>
      </c>
      <c r="T309" s="4"/>
      <c r="U309" s="25" t="str">
        <f aca="false">IF(V309&lt;&gt;"",V309,IF(IFERROR(INDEX(RS_Flag,MATCH(B309,RS_Lane,0)),"")="Yes",IF(IFERROR(INDEX(RS_Loc,MATCH(B309,RS_Lane,0)),"")="","Regional stock",IFERROR(INDEX(RS_Loc,MATCH(B309,RS_Lane,0)),"")),"Helmond"))</f>
        <v>Helmond</v>
      </c>
      <c r="V309" s="17"/>
      <c r="W309" s="38"/>
      <c r="X309" s="39"/>
      <c r="Y309" s="40" t="n">
        <f aca="false">IF(X309&lt;&gt;"",X309,IF(U309="Helmond",IF(COUNTIFS(RC_Lane,B309,RC_Band,E309,RC_CostPS,"&gt;0")=0,"",SUMIFS(RC_CostPS,RC_Lane,B309,RC_Band,E309)*(1-SUMIFS(RC_Disc,RC_Lane,B309,RC_Band,E309))),IF(U309="Other","",IF(INDEX(RS_Rate,MATCH(B309,RS_Lane,0))="","",INDEX(RS_Rate,MATCH(B309,RS_Lane,0))))))</f>
        <v>72.485</v>
      </c>
    </row>
    <row r="310" customFormat="false" ht="15" hidden="false" customHeight="false" outlineLevel="0" collapsed="false">
      <c r="A310" s="3" t="s">
        <v>719</v>
      </c>
      <c r="B310" s="25" t="s">
        <v>115</v>
      </c>
      <c r="C310" s="8" t="s">
        <v>116</v>
      </c>
      <c r="D310" s="8" t="s">
        <v>153</v>
      </c>
      <c r="E310" s="8" t="s">
        <v>183</v>
      </c>
      <c r="F310" s="19" t="n">
        <v>1215.7</v>
      </c>
      <c r="G310" s="33" t="n">
        <f aca="false">F310*0.006477</f>
        <v>7.8740889</v>
      </c>
      <c r="H310" s="19" t="n">
        <f aca="false">F310*1.079436</f>
        <v>1312.2703452</v>
      </c>
      <c r="I310" s="18" t="n">
        <f aca="false">MAX(1,ROUNDUP(G310/0.096,0))</f>
        <v>83</v>
      </c>
      <c r="J310" s="31" t="n">
        <v>46721</v>
      </c>
      <c r="K310" s="34" t="n">
        <f aca="false">J310-WEEKDAY(J310,2)+1</f>
        <v>46720</v>
      </c>
      <c r="L310" s="31" t="n">
        <f aca="false">J310</f>
        <v>46721</v>
      </c>
      <c r="M310" s="26" t="n">
        <f aca="false">INDEX(LR_Target,MATCH(B310,LR_Lane,0))</f>
        <v>2</v>
      </c>
      <c r="N310" s="31" t="n">
        <f aca="false">WORKDAY.INTL(L310,M310,INDEX(LR_Code,MATCH(B310,LR_Lane,0)),INDEX(DH_Table,0,MATCH(B310&amp;"*",DH_Head,0)))</f>
        <v>46723</v>
      </c>
      <c r="O310" s="35" t="n">
        <f aca="false">IF(W310&lt;&gt;"",W310,IF(U310="Helmond",IF(COUNTIFS(RC_Lane,B310,RC_Band,E310,RC_Transit,"&lt;&gt;")=0,"",SUMIFS(RC_Transit,RC_Lane,B310,RC_Band,E310)),IF(U310="Other","",IF(INDEX(RS_Transit,MATCH(B310,RS_Lane,0))="","",INDEX(RS_Transit,MATCH(B310,RS_Lane,0))))))</f>
        <v>4</v>
      </c>
      <c r="P310" s="36"/>
      <c r="Q310" s="31" t="n">
        <f aca="false">IF(P310&lt;&gt;"",P310,IF(O310="","",WORKDAY.INTL(L310,ROUNDUP(O310,0),INDEX(LR_Code,MATCH(B310,LR_Lane,0)),INDEX(DH_Table,0,MATCH(B310&amp;"*",DH_Head,0)))))</f>
        <v>46727</v>
      </c>
      <c r="R310" s="37" t="str">
        <f aca="false">IF(Q310="","",IF(Q310&lt;=N310,"Yes","No"))</f>
        <v>No</v>
      </c>
      <c r="S310" s="26" t="n">
        <f aca="false">IF(Q310="","",IF(Q310&lt;=N310,0,NETWORKDAYS.INTL(N310,Q310,INDEX(LR_Code,MATCH(B310,LR_Lane,0)),INDEX(DH_Table,0,MATCH(B310&amp;"*",DH_Head,0)))-1))</f>
        <v>2</v>
      </c>
      <c r="T310" s="4"/>
      <c r="U310" s="25" t="str">
        <f aca="false">IF(V310&lt;&gt;"",V310,IF(IFERROR(INDEX(RS_Flag,MATCH(B310,RS_Lane,0)),"")="Yes",IF(IFERROR(INDEX(RS_Loc,MATCH(B310,RS_Lane,0)),"")="","Regional stock",IFERROR(INDEX(RS_Loc,MATCH(B310,RS_Lane,0)),"")),"Helmond"))</f>
        <v>Helmond</v>
      </c>
      <c r="V310" s="17"/>
      <c r="W310" s="38"/>
      <c r="X310" s="39"/>
      <c r="Y310" s="40" t="n">
        <f aca="false">IF(X310&lt;&gt;"",X310,IF(U310="Helmond",IF(COUNTIFS(RC_Lane,B310,RC_Band,E310,RC_CostPS,"&gt;0")=0,"",SUMIFS(RC_CostPS,RC_Lane,B310,RC_Band,E310)*(1-SUMIFS(RC_Disc,RC_Lane,B310,RC_Band,E310))),IF(U310="Other","",IF(INDEX(RS_Rate,MATCH(B310,RS_Lane,0))="","",INDEX(RS_Rate,MATCH(B310,RS_Lane,0))))))</f>
        <v>3210.88144</v>
      </c>
    </row>
    <row r="311" customFormat="false" ht="15" hidden="false" customHeight="false" outlineLevel="0" collapsed="false">
      <c r="A311" s="3" t="s">
        <v>720</v>
      </c>
      <c r="B311" s="25" t="s">
        <v>124</v>
      </c>
      <c r="C311" s="8" t="s">
        <v>125</v>
      </c>
      <c r="D311" s="8" t="s">
        <v>157</v>
      </c>
      <c r="E311" s="8" t="s">
        <v>178</v>
      </c>
      <c r="F311" s="19" t="n">
        <v>8</v>
      </c>
      <c r="G311" s="33" t="n">
        <f aca="false">F311*0.006477</f>
        <v>0.051816</v>
      </c>
      <c r="H311" s="19" t="n">
        <f aca="false">F311*1.079436</f>
        <v>8.635488</v>
      </c>
      <c r="I311" s="18" t="n">
        <f aca="false">MAX(1,ROUNDUP(G311/0.096,0))</f>
        <v>1</v>
      </c>
      <c r="J311" s="31" t="n">
        <v>46721</v>
      </c>
      <c r="K311" s="34" t="n">
        <f aca="false">J311-WEEKDAY(J311,2)+1</f>
        <v>46720</v>
      </c>
      <c r="L311" s="31" t="n">
        <f aca="false">J311</f>
        <v>46721</v>
      </c>
      <c r="M311" s="26" t="n">
        <f aca="false">INDEX(LR_Target,MATCH(B311,LR_Lane,0))</f>
        <v>5</v>
      </c>
      <c r="N311" s="31" t="n">
        <f aca="false">WORKDAY.INTL(L311,M311,INDEX(LR_Code,MATCH(B311,LR_Lane,0)),INDEX(DH_Table,0,MATCH(B311&amp;"*",DH_Head,0)))</f>
        <v>46728</v>
      </c>
      <c r="O311" s="35" t="n">
        <f aca="false">IF(W311&lt;&gt;"",W311,IF(U311="Helmond",IF(COUNTIFS(RC_Lane,B311,RC_Band,E311,RC_Transit,"&lt;&gt;")=0,"",SUMIFS(RC_Transit,RC_Lane,B311,RC_Band,E311)),IF(U311="Other","",IF(INDEX(RS_Transit,MATCH(B311,RS_Lane,0))="","",INDEX(RS_Transit,MATCH(B311,RS_Lane,0))))))</f>
        <v>1</v>
      </c>
      <c r="P311" s="36"/>
      <c r="Q311" s="31" t="n">
        <f aca="false">IF(P311&lt;&gt;"",P311,IF(O311="","",WORKDAY.INTL(L311,ROUNDUP(O311,0),INDEX(LR_Code,MATCH(B311,LR_Lane,0)),INDEX(DH_Table,0,MATCH(B311&amp;"*",DH_Head,0)))))</f>
        <v>46722</v>
      </c>
      <c r="R311" s="37" t="str">
        <f aca="false">IF(Q311="","",IF(Q311&lt;=N311,"Yes","No"))</f>
        <v>Yes</v>
      </c>
      <c r="S311" s="26" t="n">
        <f aca="false">IF(Q311="","",IF(Q311&lt;=N311,0,NETWORKDAYS.INTL(N311,Q311,INDEX(LR_Code,MATCH(B311,LR_Lane,0)),INDEX(DH_Table,0,MATCH(B311&amp;"*",DH_Head,0)))-1))</f>
        <v>0</v>
      </c>
      <c r="T311" s="4"/>
      <c r="U311" s="25" t="str">
        <f aca="false">IF(V311&lt;&gt;"",V311,IF(IFERROR(INDEX(RS_Flag,MATCH(B311,RS_Lane,0)),"")="Yes",IF(IFERROR(INDEX(RS_Loc,MATCH(B311,RS_Lane,0)),"")="","Regional stock",IFERROR(INDEX(RS_Loc,MATCH(B311,RS_Lane,0)),"")),"Helmond"))</f>
        <v>Helmond</v>
      </c>
      <c r="V311" s="17"/>
      <c r="W311" s="38"/>
      <c r="X311" s="39"/>
      <c r="Y311" s="40" t="n">
        <f aca="false">IF(X311&lt;&gt;"",X311,IF(U311="Helmond",IF(COUNTIFS(RC_Lane,B311,RC_Band,E311,RC_CostPS,"&gt;0")=0,"",SUMIFS(RC_CostPS,RC_Lane,B311,RC_Band,E311)*(1-SUMIFS(RC_Disc,RC_Lane,B311,RC_Band,E311))),IF(U311="Other","",IF(INDEX(RS_Rate,MATCH(B311,RS_Lane,0))="","",INDEX(RS_Rate,MATCH(B311,RS_Lane,0))))))</f>
        <v>72.485</v>
      </c>
    </row>
    <row r="312" customFormat="false" ht="15" hidden="false" customHeight="false" outlineLevel="0" collapsed="false">
      <c r="A312" s="3" t="s">
        <v>721</v>
      </c>
      <c r="B312" s="25" t="s">
        <v>108</v>
      </c>
      <c r="C312" s="8" t="s">
        <v>109</v>
      </c>
      <c r="D312" s="8" t="s">
        <v>272</v>
      </c>
      <c r="E312" s="8" t="s">
        <v>182</v>
      </c>
      <c r="F312" s="19" t="n">
        <v>187.7</v>
      </c>
      <c r="G312" s="33" t="n">
        <f aca="false">F312*0.006477</f>
        <v>1.2157329</v>
      </c>
      <c r="H312" s="19" t="n">
        <f aca="false">F312*1.079436</f>
        <v>202.6101372</v>
      </c>
      <c r="I312" s="18" t="n">
        <f aca="false">MAX(1,ROUNDUP(G312/0.096,0))</f>
        <v>13</v>
      </c>
      <c r="J312" s="31" t="n">
        <v>46722</v>
      </c>
      <c r="K312" s="34" t="n">
        <f aca="false">J312-WEEKDAY(J312,2)+1</f>
        <v>46720</v>
      </c>
      <c r="L312" s="31" t="n">
        <f aca="false">J312</f>
        <v>46722</v>
      </c>
      <c r="M312" s="26" t="n">
        <f aca="false">INDEX(LR_Target,MATCH(B312,LR_Lane,0))</f>
        <v>2</v>
      </c>
      <c r="N312" s="31" t="n">
        <f aca="false">WORKDAY.INTL(L312,M312,INDEX(LR_Code,MATCH(B312,LR_Lane,0)),INDEX(DH_Table,0,MATCH(B312&amp;"*",DH_Head,0)))</f>
        <v>46726</v>
      </c>
      <c r="O312" s="35" t="n">
        <f aca="false">IF(W312&lt;&gt;"",W312,IF(U312="Helmond",IF(COUNTIFS(RC_Lane,B312,RC_Band,E312,RC_Transit,"&lt;&gt;")=0,"",SUMIFS(RC_Transit,RC_Lane,B312,RC_Band,E312)),IF(U312="Other","",IF(INDEX(RS_Transit,MATCH(B312,RS_Lane,0))="","",INDEX(RS_Transit,MATCH(B312,RS_Lane,0))))))</f>
        <v>3</v>
      </c>
      <c r="P312" s="36"/>
      <c r="Q312" s="31" t="n">
        <f aca="false">IF(P312&lt;&gt;"",P312,IF(O312="","",WORKDAY.INTL(L312,ROUNDUP(O312,0),INDEX(LR_Code,MATCH(B312,LR_Lane,0)),INDEX(DH_Table,0,MATCH(B312&amp;"*",DH_Head,0)))))</f>
        <v>46727</v>
      </c>
      <c r="R312" s="37" t="str">
        <f aca="false">IF(Q312="","",IF(Q312&lt;=N312,"Yes","No"))</f>
        <v>No</v>
      </c>
      <c r="S312" s="26" t="n">
        <f aca="false">IF(Q312="","",IF(Q312&lt;=N312,0,NETWORKDAYS.INTL(N312,Q312,INDEX(LR_Code,MATCH(B312,LR_Lane,0)),INDEX(DH_Table,0,MATCH(B312&amp;"*",DH_Head,0)))-1))</f>
        <v>1</v>
      </c>
      <c r="T312" s="4"/>
      <c r="U312" s="25" t="str">
        <f aca="false">IF(V312&lt;&gt;"",V312,IF(IFERROR(INDEX(RS_Flag,MATCH(B312,RS_Lane,0)),"")="Yes",IF(IFERROR(INDEX(RS_Loc,MATCH(B312,RS_Lane,0)),"")="","Regional stock",IFERROR(INDEX(RS_Loc,MATCH(B312,RS_Lane,0)),"")),"Helmond"))</f>
        <v>Helmond</v>
      </c>
      <c r="V312" s="17"/>
      <c r="W312" s="38"/>
      <c r="X312" s="39"/>
      <c r="Y312" s="40" t="n">
        <f aca="false">IF(X312&lt;&gt;"",X312,IF(U312="Helmond",IF(COUNTIFS(RC_Lane,B312,RC_Band,E312,RC_CostPS,"&gt;0")=0,"",SUMIFS(RC_CostPS,RC_Lane,B312,RC_Band,E312)*(1-SUMIFS(RC_Disc,RC_Lane,B312,RC_Band,E312))),IF(U312="Other","",IF(INDEX(RS_Rate,MATCH(B312,RS_Lane,0))="","",INDEX(RS_Rate,MATCH(B312,RS_Lane,0))))))</f>
        <v>1009.7531</v>
      </c>
    </row>
    <row r="313" customFormat="false" ht="15" hidden="false" customHeight="false" outlineLevel="0" collapsed="false">
      <c r="A313" s="3" t="s">
        <v>722</v>
      </c>
      <c r="B313" s="25" t="s">
        <v>112</v>
      </c>
      <c r="C313" s="8" t="s">
        <v>113</v>
      </c>
      <c r="D313" s="8" t="s">
        <v>152</v>
      </c>
      <c r="E313" s="8" t="s">
        <v>178</v>
      </c>
      <c r="F313" s="19" t="n">
        <v>6.8</v>
      </c>
      <c r="G313" s="33" t="n">
        <f aca="false">F313*0.006477</f>
        <v>0.0440436</v>
      </c>
      <c r="H313" s="19" t="n">
        <f aca="false">F313*1.079436</f>
        <v>7.3401648</v>
      </c>
      <c r="I313" s="18" t="n">
        <f aca="false">MAX(1,ROUNDUP(G313/0.096,0))</f>
        <v>1</v>
      </c>
      <c r="J313" s="31" t="n">
        <v>46723</v>
      </c>
      <c r="K313" s="34" t="n">
        <f aca="false">J313-WEEKDAY(J313,2)+1</f>
        <v>46720</v>
      </c>
      <c r="L313" s="31" t="n">
        <f aca="false">J313</f>
        <v>46723</v>
      </c>
      <c r="M313" s="26" t="n">
        <f aca="false">INDEX(LR_Target,MATCH(B313,LR_Lane,0))</f>
        <v>2</v>
      </c>
      <c r="N313" s="31" t="n">
        <f aca="false">WORKDAY.INTL(L313,M313,INDEX(LR_Code,MATCH(B313,LR_Lane,0)),INDEX(DH_Table,0,MATCH(B313&amp;"*",DH_Head,0)))</f>
        <v>46728</v>
      </c>
      <c r="O313" s="35" t="n">
        <f aca="false">IF(W313&lt;&gt;"",W313,IF(U313="Helmond",IF(COUNTIFS(RC_Lane,B313,RC_Band,E313,RC_Transit,"&lt;&gt;")=0,"",SUMIFS(RC_Transit,RC_Lane,B313,RC_Band,E313)),IF(U313="Other","",IF(INDEX(RS_Transit,MATCH(B313,RS_Lane,0))="","",INDEX(RS_Transit,MATCH(B313,RS_Lane,0))))))</f>
        <v>1</v>
      </c>
      <c r="P313" s="36"/>
      <c r="Q313" s="31" t="n">
        <f aca="false">IF(P313&lt;&gt;"",P313,IF(O313="","",WORKDAY.INTL(L313,ROUNDUP(O313,0),INDEX(LR_Code,MATCH(B313,LR_Lane,0)),INDEX(DH_Table,0,MATCH(B313&amp;"*",DH_Head,0)))))</f>
        <v>46727</v>
      </c>
      <c r="R313" s="37" t="str">
        <f aca="false">IF(Q313="","",IF(Q313&lt;=N313,"Yes","No"))</f>
        <v>Yes</v>
      </c>
      <c r="S313" s="26" t="n">
        <f aca="false">IF(Q313="","",IF(Q313&lt;=N313,0,NETWORKDAYS.INTL(N313,Q313,INDEX(LR_Code,MATCH(B313,LR_Lane,0)),INDEX(DH_Table,0,MATCH(B313&amp;"*",DH_Head,0)))-1))</f>
        <v>0</v>
      </c>
      <c r="T313" s="4"/>
      <c r="U313" s="25" t="str">
        <f aca="false">IF(V313&lt;&gt;"",V313,IF(IFERROR(INDEX(RS_Flag,MATCH(B313,RS_Lane,0)),"")="Yes",IF(IFERROR(INDEX(RS_Loc,MATCH(B313,RS_Lane,0)),"")="","Regional stock",IFERROR(INDEX(RS_Loc,MATCH(B313,RS_Lane,0)),"")),"Helmond"))</f>
        <v>Helmond</v>
      </c>
      <c r="V313" s="17"/>
      <c r="W313" s="38"/>
      <c r="X313" s="39"/>
      <c r="Y313" s="40" t="n">
        <f aca="false">IF(X313&lt;&gt;"",X313,IF(U313="Helmond",IF(COUNTIFS(RC_Lane,B313,RC_Band,E313,RC_CostPS,"&gt;0")=0,"",SUMIFS(RC_CostPS,RC_Lane,B313,RC_Band,E313)*(1-SUMIFS(RC_Disc,RC_Lane,B313,RC_Band,E313))),IF(U313="Other","",IF(INDEX(RS_Rate,MATCH(B313,RS_Lane,0))="","",INDEX(RS_Rate,MATCH(B313,RS_Lane,0))))))</f>
        <v>72.485</v>
      </c>
    </row>
    <row r="314" customFormat="false" ht="15" hidden="false" customHeight="false" outlineLevel="0" collapsed="false">
      <c r="A314" s="3" t="s">
        <v>723</v>
      </c>
      <c r="B314" s="25" t="s">
        <v>108</v>
      </c>
      <c r="C314" s="8" t="s">
        <v>109</v>
      </c>
      <c r="D314" s="8" t="s">
        <v>270</v>
      </c>
      <c r="E314" s="8" t="s">
        <v>183</v>
      </c>
      <c r="F314" s="19" t="n">
        <v>1477.2</v>
      </c>
      <c r="G314" s="33" t="n">
        <f aca="false">F314*0.006477</f>
        <v>9.5678244</v>
      </c>
      <c r="H314" s="19" t="n">
        <f aca="false">F314*1.079436</f>
        <v>1594.5428592</v>
      </c>
      <c r="I314" s="18" t="n">
        <f aca="false">MAX(1,ROUNDUP(G314/0.096,0))</f>
        <v>100</v>
      </c>
      <c r="J314" s="31" t="n">
        <v>46724</v>
      </c>
      <c r="K314" s="34" t="n">
        <f aca="false">J314-WEEKDAY(J314,2)+1</f>
        <v>46720</v>
      </c>
      <c r="L314" s="31" t="n">
        <f aca="false">J314</f>
        <v>46724</v>
      </c>
      <c r="M314" s="26" t="n">
        <f aca="false">INDEX(LR_Target,MATCH(B314,LR_Lane,0))</f>
        <v>2</v>
      </c>
      <c r="N314" s="31" t="n">
        <f aca="false">WORKDAY.INTL(L314,M314,INDEX(LR_Code,MATCH(B314,LR_Lane,0)),INDEX(DH_Table,0,MATCH(B314&amp;"*",DH_Head,0)))</f>
        <v>46727</v>
      </c>
      <c r="O314" s="35" t="n">
        <f aca="false">IF(W314&lt;&gt;"",W314,IF(U314="Helmond",IF(COUNTIFS(RC_Lane,B314,RC_Band,E314,RC_Transit,"&lt;&gt;")=0,"",SUMIFS(RC_Transit,RC_Lane,B314,RC_Band,E314)),IF(U314="Other","",IF(INDEX(RS_Transit,MATCH(B314,RS_Lane,0))="","",INDEX(RS_Transit,MATCH(B314,RS_Lane,0))))))</f>
        <v>4</v>
      </c>
      <c r="P314" s="36"/>
      <c r="Q314" s="31" t="n">
        <f aca="false">IF(P314&lt;&gt;"",P314,IF(O314="","",WORKDAY.INTL(L314,ROUNDUP(O314,0),INDEX(LR_Code,MATCH(B314,LR_Lane,0)),INDEX(DH_Table,0,MATCH(B314&amp;"*",DH_Head,0)))))</f>
        <v>46729</v>
      </c>
      <c r="R314" s="37" t="str">
        <f aca="false">IF(Q314="","",IF(Q314&lt;=N314,"Yes","No"))</f>
        <v>No</v>
      </c>
      <c r="S314" s="26" t="n">
        <f aca="false">IF(Q314="","",IF(Q314&lt;=N314,0,NETWORKDAYS.INTL(N314,Q314,INDEX(LR_Code,MATCH(B314,LR_Lane,0)),INDEX(DH_Table,0,MATCH(B314&amp;"*",DH_Head,0)))-1))</f>
        <v>2</v>
      </c>
      <c r="T314" s="4"/>
      <c r="U314" s="25" t="str">
        <f aca="false">IF(V314&lt;&gt;"",V314,IF(IFERROR(INDEX(RS_Flag,MATCH(B314,RS_Lane,0)),"")="Yes",IF(IFERROR(INDEX(RS_Loc,MATCH(B314,RS_Lane,0)),"")="","Regional stock",IFERROR(INDEX(RS_Loc,MATCH(B314,RS_Lane,0)),"")),"Helmond"))</f>
        <v>Helmond</v>
      </c>
      <c r="V314" s="17"/>
      <c r="W314" s="38"/>
      <c r="X314" s="39"/>
      <c r="Y314" s="40" t="n">
        <f aca="false">IF(X314&lt;&gt;"",X314,IF(U314="Helmond",IF(COUNTIFS(RC_Lane,B314,RC_Band,E314,RC_CostPS,"&gt;0")=0,"",SUMIFS(RC_CostPS,RC_Lane,B314,RC_Band,E314)*(1-SUMIFS(RC_Disc,RC_Lane,B314,RC_Band,E314))),IF(U314="Other","",IF(INDEX(RS_Rate,MATCH(B314,RS_Lane,0))="","",INDEX(RS_Rate,MATCH(B314,RS_Lane,0))))))</f>
        <v>3051.4304</v>
      </c>
    </row>
    <row r="315" customFormat="false" ht="15" hidden="false" customHeight="false" outlineLevel="0" collapsed="false">
      <c r="A315" s="3" t="s">
        <v>724</v>
      </c>
      <c r="B315" s="25" t="s">
        <v>112</v>
      </c>
      <c r="C315" s="8" t="s">
        <v>113</v>
      </c>
      <c r="D315" s="8" t="s">
        <v>152</v>
      </c>
      <c r="E315" s="8" t="s">
        <v>182</v>
      </c>
      <c r="F315" s="19" t="n">
        <v>261.7</v>
      </c>
      <c r="G315" s="33" t="n">
        <f aca="false">F315*0.006477</f>
        <v>1.6950309</v>
      </c>
      <c r="H315" s="19" t="n">
        <f aca="false">F315*1.079436</f>
        <v>282.4884012</v>
      </c>
      <c r="I315" s="18" t="n">
        <f aca="false">MAX(1,ROUNDUP(G315/0.096,0))</f>
        <v>18</v>
      </c>
      <c r="J315" s="31" t="n">
        <v>46728</v>
      </c>
      <c r="K315" s="34" t="n">
        <f aca="false">J315-WEEKDAY(J315,2)+1</f>
        <v>46727</v>
      </c>
      <c r="L315" s="31" t="n">
        <f aca="false">J315</f>
        <v>46728</v>
      </c>
      <c r="M315" s="26" t="n">
        <f aca="false">INDEX(LR_Target,MATCH(B315,LR_Lane,0))</f>
        <v>2</v>
      </c>
      <c r="N315" s="31" t="n">
        <f aca="false">WORKDAY.INTL(L315,M315,INDEX(LR_Code,MATCH(B315,LR_Lane,0)),INDEX(DH_Table,0,MATCH(B315&amp;"*",DH_Head,0)))</f>
        <v>46730</v>
      </c>
      <c r="O315" s="35" t="n">
        <f aca="false">IF(W315&lt;&gt;"",W315,IF(U315="Helmond",IF(COUNTIFS(RC_Lane,B315,RC_Band,E315,RC_Transit,"&lt;&gt;")=0,"",SUMIFS(RC_Transit,RC_Lane,B315,RC_Band,E315)),IF(U315="Other","",IF(INDEX(RS_Transit,MATCH(B315,RS_Lane,0))="","",INDEX(RS_Transit,MATCH(B315,RS_Lane,0))))))</f>
        <v>3</v>
      </c>
      <c r="P315" s="36"/>
      <c r="Q315" s="31" t="n">
        <f aca="false">IF(P315&lt;&gt;"",P315,IF(O315="","",WORKDAY.INTL(L315,ROUNDUP(O315,0),INDEX(LR_Code,MATCH(B315,LR_Lane,0)),INDEX(DH_Table,0,MATCH(B315&amp;"*",DH_Head,0)))))</f>
        <v>46731</v>
      </c>
      <c r="R315" s="37" t="str">
        <f aca="false">IF(Q315="","",IF(Q315&lt;=N315,"Yes","No"))</f>
        <v>No</v>
      </c>
      <c r="S315" s="26" t="n">
        <f aca="false">IF(Q315="","",IF(Q315&lt;=N315,0,NETWORKDAYS.INTL(N315,Q315,INDEX(LR_Code,MATCH(B315,LR_Lane,0)),INDEX(DH_Table,0,MATCH(B315&amp;"*",DH_Head,0)))-1))</f>
        <v>1</v>
      </c>
      <c r="T315" s="4"/>
      <c r="U315" s="25" t="str">
        <f aca="false">IF(V315&lt;&gt;"",V315,IF(IFERROR(INDEX(RS_Flag,MATCH(B315,RS_Lane,0)),"")="Yes",IF(IFERROR(INDEX(RS_Loc,MATCH(B315,RS_Lane,0)),"")="","Regional stock",IFERROR(INDEX(RS_Loc,MATCH(B315,RS_Lane,0)),"")),"Helmond"))</f>
        <v>Helmond</v>
      </c>
      <c r="V315" s="17"/>
      <c r="W315" s="38"/>
      <c r="X315" s="39"/>
      <c r="Y315" s="40" t="n">
        <f aca="false">IF(X315&lt;&gt;"",X315,IF(U315="Helmond",IF(COUNTIFS(RC_Lane,B315,RC_Band,E315,RC_CostPS,"&gt;0")=0,"",SUMIFS(RC_CostPS,RC_Lane,B315,RC_Band,E315)*(1-SUMIFS(RC_Disc,RC_Lane,B315,RC_Band,E315))),IF(U315="Other","",IF(INDEX(RS_Rate,MATCH(B315,RS_Lane,0))="","",INDEX(RS_Rate,MATCH(B315,RS_Lane,0))))))</f>
        <v>1428.70443</v>
      </c>
    </row>
    <row r="316" customFormat="false" ht="15" hidden="false" customHeight="false" outlineLevel="0" collapsed="false">
      <c r="A316" s="3" t="s">
        <v>725</v>
      </c>
      <c r="B316" s="25" t="s">
        <v>112</v>
      </c>
      <c r="C316" s="8" t="s">
        <v>113</v>
      </c>
      <c r="D316" s="8" t="s">
        <v>152</v>
      </c>
      <c r="E316" s="8" t="s">
        <v>178</v>
      </c>
      <c r="F316" s="19" t="n">
        <v>2.9</v>
      </c>
      <c r="G316" s="33" t="n">
        <f aca="false">F316*0.006477</f>
        <v>0.0187833</v>
      </c>
      <c r="H316" s="19" t="n">
        <f aca="false">F316*1.079436</f>
        <v>3.1303644</v>
      </c>
      <c r="I316" s="18" t="n">
        <f aca="false">MAX(1,ROUNDUP(G316/0.096,0))</f>
        <v>1</v>
      </c>
      <c r="J316" s="31" t="n">
        <v>46730</v>
      </c>
      <c r="K316" s="34" t="n">
        <f aca="false">J316-WEEKDAY(J316,2)+1</f>
        <v>46727</v>
      </c>
      <c r="L316" s="31" t="n">
        <f aca="false">J316</f>
        <v>46730</v>
      </c>
      <c r="M316" s="26" t="n">
        <f aca="false">INDEX(LR_Target,MATCH(B316,LR_Lane,0))</f>
        <v>2</v>
      </c>
      <c r="N316" s="31" t="n">
        <f aca="false">WORKDAY.INTL(L316,M316,INDEX(LR_Code,MATCH(B316,LR_Lane,0)),INDEX(DH_Table,0,MATCH(B316&amp;"*",DH_Head,0)))</f>
        <v>46734</v>
      </c>
      <c r="O316" s="35" t="n">
        <f aca="false">IF(W316&lt;&gt;"",W316,IF(U316="Helmond",IF(COUNTIFS(RC_Lane,B316,RC_Band,E316,RC_Transit,"&lt;&gt;")=0,"",SUMIFS(RC_Transit,RC_Lane,B316,RC_Band,E316)),IF(U316="Other","",IF(INDEX(RS_Transit,MATCH(B316,RS_Lane,0))="","",INDEX(RS_Transit,MATCH(B316,RS_Lane,0))))))</f>
        <v>1</v>
      </c>
      <c r="P316" s="36"/>
      <c r="Q316" s="31" t="n">
        <f aca="false">IF(P316&lt;&gt;"",P316,IF(O316="","",WORKDAY.INTL(L316,ROUNDUP(O316,0),INDEX(LR_Code,MATCH(B316,LR_Lane,0)),INDEX(DH_Table,0,MATCH(B316&amp;"*",DH_Head,0)))))</f>
        <v>46731</v>
      </c>
      <c r="R316" s="37" t="str">
        <f aca="false">IF(Q316="","",IF(Q316&lt;=N316,"Yes","No"))</f>
        <v>Yes</v>
      </c>
      <c r="S316" s="26" t="n">
        <f aca="false">IF(Q316="","",IF(Q316&lt;=N316,0,NETWORKDAYS.INTL(N316,Q316,INDEX(LR_Code,MATCH(B316,LR_Lane,0)),INDEX(DH_Table,0,MATCH(B316&amp;"*",DH_Head,0)))-1))</f>
        <v>0</v>
      </c>
      <c r="T316" s="4"/>
      <c r="U316" s="25" t="str">
        <f aca="false">IF(V316&lt;&gt;"",V316,IF(IFERROR(INDEX(RS_Flag,MATCH(B316,RS_Lane,0)),"")="Yes",IF(IFERROR(INDEX(RS_Loc,MATCH(B316,RS_Lane,0)),"")="","Regional stock",IFERROR(INDEX(RS_Loc,MATCH(B316,RS_Lane,0)),"")),"Helmond"))</f>
        <v>Helmond</v>
      </c>
      <c r="V316" s="17"/>
      <c r="W316" s="38"/>
      <c r="X316" s="39"/>
      <c r="Y316" s="40" t="n">
        <f aca="false">IF(X316&lt;&gt;"",X316,IF(U316="Helmond",IF(COUNTIFS(RC_Lane,B316,RC_Band,E316,RC_CostPS,"&gt;0")=0,"",SUMIFS(RC_CostPS,RC_Lane,B316,RC_Band,E316)*(1-SUMIFS(RC_Disc,RC_Lane,B316,RC_Band,E316))),IF(U316="Other","",IF(INDEX(RS_Rate,MATCH(B316,RS_Lane,0))="","",INDEX(RS_Rate,MATCH(B316,RS_Lane,0))))))</f>
        <v>72.485</v>
      </c>
    </row>
    <row r="317" customFormat="false" ht="15" hidden="false" customHeight="false" outlineLevel="0" collapsed="false">
      <c r="A317" s="3" t="s">
        <v>726</v>
      </c>
      <c r="B317" s="25" t="s">
        <v>117</v>
      </c>
      <c r="C317" s="8" t="s">
        <v>118</v>
      </c>
      <c r="D317" s="8" t="s">
        <v>154</v>
      </c>
      <c r="E317" s="8" t="s">
        <v>180</v>
      </c>
      <c r="F317" s="19" t="n">
        <v>45.4</v>
      </c>
      <c r="G317" s="33" t="n">
        <f aca="false">F317*0.006477</f>
        <v>0.2940558</v>
      </c>
      <c r="H317" s="19" t="n">
        <f aca="false">F317*1.079436</f>
        <v>49.0063944</v>
      </c>
      <c r="I317" s="18" t="n">
        <f aca="false">MAX(1,ROUNDUP(G317/0.096,0))</f>
        <v>4</v>
      </c>
      <c r="J317" s="31" t="n">
        <v>46731</v>
      </c>
      <c r="K317" s="34" t="n">
        <f aca="false">J317-WEEKDAY(J317,2)+1</f>
        <v>46727</v>
      </c>
      <c r="L317" s="31" t="n">
        <f aca="false">J317</f>
        <v>46731</v>
      </c>
      <c r="M317" s="26" t="n">
        <f aca="false">INDEX(LR_Target,MATCH(B317,LR_Lane,0))</f>
        <v>2</v>
      </c>
      <c r="N317" s="31" t="n">
        <f aca="false">WORKDAY.INTL(L317,M317,INDEX(LR_Code,MATCH(B317,LR_Lane,0)),INDEX(DH_Table,0,MATCH(B317&amp;"*",DH_Head,0)))</f>
        <v>46734</v>
      </c>
      <c r="O317" s="35" t="n">
        <f aca="false">IF(W317&lt;&gt;"",W317,IF(U317="Helmond",IF(COUNTIFS(RC_Lane,B317,RC_Band,E317,RC_Transit,"&lt;&gt;")=0,"",SUMIFS(RC_Transit,RC_Lane,B317,RC_Band,E317)),IF(U317="Other","",IF(INDEX(RS_Transit,MATCH(B317,RS_Lane,0))="","",INDEX(RS_Transit,MATCH(B317,RS_Lane,0))))))</f>
        <v>2</v>
      </c>
      <c r="P317" s="36"/>
      <c r="Q317" s="31" t="n">
        <f aca="false">IF(P317&lt;&gt;"",P317,IF(O317="","",WORKDAY.INTL(L317,ROUNDUP(O317,0),INDEX(LR_Code,MATCH(B317,LR_Lane,0)),INDEX(DH_Table,0,MATCH(B317&amp;"*",DH_Head,0)))))</f>
        <v>46734</v>
      </c>
      <c r="R317" s="37" t="str">
        <f aca="false">IF(Q317="","",IF(Q317&lt;=N317,"Yes","No"))</f>
        <v>Yes</v>
      </c>
      <c r="S317" s="26" t="n">
        <f aca="false">IF(Q317="","",IF(Q317&lt;=N317,0,NETWORKDAYS.INTL(N317,Q317,INDEX(LR_Code,MATCH(B317,LR_Lane,0)),INDEX(DH_Table,0,MATCH(B317&amp;"*",DH_Head,0)))-1))</f>
        <v>0</v>
      </c>
      <c r="T317" s="4"/>
      <c r="U317" s="25" t="str">
        <f aca="false">IF(V317&lt;&gt;"",V317,IF(IFERROR(INDEX(RS_Flag,MATCH(B317,RS_Lane,0)),"")="Yes",IF(IFERROR(INDEX(RS_Loc,MATCH(B317,RS_Lane,0)),"")="","Regional stock",IFERROR(INDEX(RS_Loc,MATCH(B317,RS_Lane,0)),"")),"Helmond"))</f>
        <v>Helmond</v>
      </c>
      <c r="V317" s="17"/>
      <c r="W317" s="38"/>
      <c r="X317" s="39"/>
      <c r="Y317" s="40" t="n">
        <f aca="false">IF(X317&lt;&gt;"",X317,IF(U317="Helmond",IF(COUNTIFS(RC_Lane,B317,RC_Band,E317,RC_CostPS,"&gt;0")=0,"",SUMIFS(RC_CostPS,RC_Lane,B317,RC_Band,E317)*(1-SUMIFS(RC_Disc,RC_Lane,B317,RC_Band,E317))),IF(U317="Other","",IF(INDEX(RS_Rate,MATCH(B317,RS_Lane,0))="","",INDEX(RS_Rate,MATCH(B317,RS_Lane,0))))))</f>
        <v>154.40768</v>
      </c>
    </row>
    <row r="318" customFormat="false" ht="15" hidden="false" customHeight="false" outlineLevel="0" collapsed="false">
      <c r="A318" s="3" t="s">
        <v>727</v>
      </c>
      <c r="B318" s="25" t="s">
        <v>115</v>
      </c>
      <c r="C318" s="8" t="s">
        <v>116</v>
      </c>
      <c r="D318" s="8" t="s">
        <v>153</v>
      </c>
      <c r="E318" s="8" t="s">
        <v>182</v>
      </c>
      <c r="F318" s="19" t="n">
        <v>267.6</v>
      </c>
      <c r="G318" s="33" t="n">
        <f aca="false">F318*0.006477</f>
        <v>1.7332452</v>
      </c>
      <c r="H318" s="19" t="n">
        <f aca="false">F318*1.079436</f>
        <v>288.8570736</v>
      </c>
      <c r="I318" s="18" t="n">
        <f aca="false">MAX(1,ROUNDUP(G318/0.096,0))</f>
        <v>19</v>
      </c>
      <c r="J318" s="31" t="n">
        <v>46736</v>
      </c>
      <c r="K318" s="34" t="n">
        <f aca="false">J318-WEEKDAY(J318,2)+1</f>
        <v>46734</v>
      </c>
      <c r="L318" s="31" t="n">
        <f aca="false">J318</f>
        <v>46736</v>
      </c>
      <c r="M318" s="26" t="n">
        <f aca="false">INDEX(LR_Target,MATCH(B318,LR_Lane,0))</f>
        <v>2</v>
      </c>
      <c r="N318" s="31" t="n">
        <f aca="false">WORKDAY.INTL(L318,M318,INDEX(LR_Code,MATCH(B318,LR_Lane,0)),INDEX(DH_Table,0,MATCH(B318&amp;"*",DH_Head,0)))</f>
        <v>46740</v>
      </c>
      <c r="O318" s="35" t="n">
        <f aca="false">IF(W318&lt;&gt;"",W318,IF(U318="Helmond",IF(COUNTIFS(RC_Lane,B318,RC_Band,E318,RC_Transit,"&lt;&gt;")=0,"",SUMIFS(RC_Transit,RC_Lane,B318,RC_Band,E318)),IF(U318="Other","",IF(INDEX(RS_Transit,MATCH(B318,RS_Lane,0))="","",INDEX(RS_Transit,MATCH(B318,RS_Lane,0))))))</f>
        <v>3</v>
      </c>
      <c r="P318" s="36"/>
      <c r="Q318" s="31" t="n">
        <f aca="false">IF(P318&lt;&gt;"",P318,IF(O318="","",WORKDAY.INTL(L318,ROUNDUP(O318,0),INDEX(LR_Code,MATCH(B318,LR_Lane,0)),INDEX(DH_Table,0,MATCH(B318&amp;"*",DH_Head,0)))))</f>
        <v>46741</v>
      </c>
      <c r="R318" s="37" t="str">
        <f aca="false">IF(Q318="","",IF(Q318&lt;=N318,"Yes","No"))</f>
        <v>No</v>
      </c>
      <c r="S318" s="26" t="n">
        <f aca="false">IF(Q318="","",IF(Q318&lt;=N318,0,NETWORKDAYS.INTL(N318,Q318,INDEX(LR_Code,MATCH(B318,LR_Lane,0)),INDEX(DH_Table,0,MATCH(B318&amp;"*",DH_Head,0)))-1))</f>
        <v>1</v>
      </c>
      <c r="T318" s="4"/>
      <c r="U318" s="25" t="str">
        <f aca="false">IF(V318&lt;&gt;"",V318,IF(IFERROR(INDEX(RS_Flag,MATCH(B318,RS_Lane,0)),"")="Yes",IF(IFERROR(INDEX(RS_Loc,MATCH(B318,RS_Lane,0)),"")="","Regional stock",IFERROR(INDEX(RS_Loc,MATCH(B318,RS_Lane,0)),"")),"Helmond"))</f>
        <v>Helmond</v>
      </c>
      <c r="V318" s="17"/>
      <c r="W318" s="38"/>
      <c r="X318" s="39"/>
      <c r="Y318" s="40" t="n">
        <f aca="false">IF(X318&lt;&gt;"",X318,IF(U318="Helmond",IF(COUNTIFS(RC_Lane,B318,RC_Band,E318,RC_CostPS,"&gt;0")=0,"",SUMIFS(RC_CostPS,RC_Lane,B318,RC_Band,E318)*(1-SUMIFS(RC_Disc,RC_Lane,B318,RC_Band,E318))),IF(U318="Other","",IF(INDEX(RS_Rate,MATCH(B318,RS_Lane,0))="","",INDEX(RS_Rate,MATCH(B318,RS_Lane,0))))))</f>
        <v>1271.20393</v>
      </c>
    </row>
    <row r="319" customFormat="false" ht="15" hidden="false" customHeight="false" outlineLevel="0" collapsed="false">
      <c r="A319" s="3" t="s">
        <v>728</v>
      </c>
      <c r="B319" s="25" t="s">
        <v>108</v>
      </c>
      <c r="C319" s="8" t="s">
        <v>109</v>
      </c>
      <c r="D319" s="8" t="s">
        <v>272</v>
      </c>
      <c r="E319" s="8" t="s">
        <v>185</v>
      </c>
      <c r="F319" s="19" t="n">
        <v>2367.6</v>
      </c>
      <c r="G319" s="33" t="n">
        <f aca="false">F319*0.006477</f>
        <v>15.3349452</v>
      </c>
      <c r="H319" s="19" t="n">
        <f aca="false">F319*1.079436</f>
        <v>2555.6726736</v>
      </c>
      <c r="I319" s="18" t="n">
        <f aca="false">MAX(1,ROUNDUP(G319/0.096,0))</f>
        <v>160</v>
      </c>
      <c r="J319" s="31" t="n">
        <v>46738</v>
      </c>
      <c r="K319" s="34" t="n">
        <f aca="false">J319-WEEKDAY(J319,2)+1</f>
        <v>46734</v>
      </c>
      <c r="L319" s="31" t="n">
        <f aca="false">J319</f>
        <v>46738</v>
      </c>
      <c r="M319" s="26" t="n">
        <f aca="false">INDEX(LR_Target,MATCH(B319,LR_Lane,0))</f>
        <v>2</v>
      </c>
      <c r="N319" s="31" t="n">
        <f aca="false">WORKDAY.INTL(L319,M319,INDEX(LR_Code,MATCH(B319,LR_Lane,0)),INDEX(DH_Table,0,MATCH(B319&amp;"*",DH_Head,0)))</f>
        <v>46741</v>
      </c>
      <c r="O319" s="35" t="n">
        <f aca="false">IF(W319&lt;&gt;"",W319,IF(U319="Helmond",IF(COUNTIFS(RC_Lane,B319,RC_Band,E319,RC_Transit,"&lt;&gt;")=0,"",SUMIFS(RC_Transit,RC_Lane,B319,RC_Band,E319)),IF(U319="Other","",IF(INDEX(RS_Transit,MATCH(B319,RS_Lane,0))="","",INDEX(RS_Transit,MATCH(B319,RS_Lane,0))))))</f>
        <v>6</v>
      </c>
      <c r="P319" s="36"/>
      <c r="Q319" s="31" t="n">
        <f aca="false">IF(P319&lt;&gt;"",P319,IF(O319="","",WORKDAY.INTL(L319,ROUNDUP(O319,0),INDEX(LR_Code,MATCH(B319,LR_Lane,0)),INDEX(DH_Table,0,MATCH(B319&amp;"*",DH_Head,0)))))</f>
        <v>46747</v>
      </c>
      <c r="R319" s="37" t="str">
        <f aca="false">IF(Q319="","",IF(Q319&lt;=N319,"Yes","No"))</f>
        <v>No</v>
      </c>
      <c r="S319" s="26" t="n">
        <f aca="false">IF(Q319="","",IF(Q319&lt;=N319,0,NETWORKDAYS.INTL(N319,Q319,INDEX(LR_Code,MATCH(B319,LR_Lane,0)),INDEX(DH_Table,0,MATCH(B319&amp;"*",DH_Head,0)))-1))</f>
        <v>4</v>
      </c>
      <c r="T319" s="4"/>
      <c r="U319" s="25" t="str">
        <f aca="false">IF(V319&lt;&gt;"",V319,IF(IFERROR(INDEX(RS_Flag,MATCH(B319,RS_Lane,0)),"")="Yes",IF(IFERROR(INDEX(RS_Loc,MATCH(B319,RS_Lane,0)),"")="","Regional stock",IFERROR(INDEX(RS_Loc,MATCH(B319,RS_Lane,0)),"")),"Helmond"))</f>
        <v>Helmond</v>
      </c>
      <c r="V319" s="17"/>
      <c r="W319" s="38"/>
      <c r="X319" s="39"/>
      <c r="Y319" s="40" t="n">
        <f aca="false">IF(X319&lt;&gt;"",X319,IF(U319="Helmond",IF(COUNTIFS(RC_Lane,B319,RC_Band,E319,RC_CostPS,"&gt;0")=0,"",SUMIFS(RC_CostPS,RC_Lane,B319,RC_Band,E319)*(1-SUMIFS(RC_Disc,RC_Lane,B319,RC_Band,E319))),IF(U319="Other","",IF(INDEX(RS_Rate,MATCH(B319,RS_Lane,0))="","",INDEX(RS_Rate,MATCH(B319,RS_Lane,0))))))</f>
        <v>8960.7819</v>
      </c>
    </row>
    <row r="320" customFormat="false" ht="15" hidden="false" customHeight="false" outlineLevel="0" collapsed="false">
      <c r="A320" s="3" t="s">
        <v>729</v>
      </c>
      <c r="B320" s="25" t="s">
        <v>115</v>
      </c>
      <c r="C320" s="8" t="s">
        <v>116</v>
      </c>
      <c r="D320" s="8" t="s">
        <v>153</v>
      </c>
      <c r="E320" s="8" t="s">
        <v>182</v>
      </c>
      <c r="F320" s="19" t="n">
        <v>238.3</v>
      </c>
      <c r="G320" s="33" t="n">
        <f aca="false">F320*0.006477</f>
        <v>1.5434691</v>
      </c>
      <c r="H320" s="19" t="n">
        <f aca="false">F320*1.079436</f>
        <v>257.2295988</v>
      </c>
      <c r="I320" s="18" t="n">
        <f aca="false">MAX(1,ROUNDUP(G320/0.096,0))</f>
        <v>17</v>
      </c>
      <c r="J320" s="31" t="n">
        <v>46738</v>
      </c>
      <c r="K320" s="34" t="n">
        <f aca="false">J320-WEEKDAY(J320,2)+1</f>
        <v>46734</v>
      </c>
      <c r="L320" s="31" t="n">
        <f aca="false">J320</f>
        <v>46738</v>
      </c>
      <c r="M320" s="26" t="n">
        <f aca="false">INDEX(LR_Target,MATCH(B320,LR_Lane,0))</f>
        <v>2</v>
      </c>
      <c r="N320" s="31" t="n">
        <f aca="false">WORKDAY.INTL(L320,M320,INDEX(LR_Code,MATCH(B320,LR_Lane,0)),INDEX(DH_Table,0,MATCH(B320&amp;"*",DH_Head,0)))</f>
        <v>46741</v>
      </c>
      <c r="O320" s="35" t="n">
        <f aca="false">IF(W320&lt;&gt;"",W320,IF(U320="Helmond",IF(COUNTIFS(RC_Lane,B320,RC_Band,E320,RC_Transit,"&lt;&gt;")=0,"",SUMIFS(RC_Transit,RC_Lane,B320,RC_Band,E320)),IF(U320="Other","",IF(INDEX(RS_Transit,MATCH(B320,RS_Lane,0))="","",INDEX(RS_Transit,MATCH(B320,RS_Lane,0))))))</f>
        <v>3</v>
      </c>
      <c r="P320" s="36"/>
      <c r="Q320" s="31" t="n">
        <f aca="false">IF(P320&lt;&gt;"",P320,IF(O320="","",WORKDAY.INTL(L320,ROUNDUP(O320,0),INDEX(LR_Code,MATCH(B320,LR_Lane,0)),INDEX(DH_Table,0,MATCH(B320&amp;"*",DH_Head,0)))))</f>
        <v>46742</v>
      </c>
      <c r="R320" s="37" t="str">
        <f aca="false">IF(Q320="","",IF(Q320&lt;=N320,"Yes","No"))</f>
        <v>No</v>
      </c>
      <c r="S320" s="26" t="n">
        <f aca="false">IF(Q320="","",IF(Q320&lt;=N320,0,NETWORKDAYS.INTL(N320,Q320,INDEX(LR_Code,MATCH(B320,LR_Lane,0)),INDEX(DH_Table,0,MATCH(B320&amp;"*",DH_Head,0)))-1))</f>
        <v>1</v>
      </c>
      <c r="T320" s="4"/>
      <c r="U320" s="25" t="str">
        <f aca="false">IF(V320&lt;&gt;"",V320,IF(IFERROR(INDEX(RS_Flag,MATCH(B320,RS_Lane,0)),"")="Yes",IF(IFERROR(INDEX(RS_Loc,MATCH(B320,RS_Lane,0)),"")="","Regional stock",IFERROR(INDEX(RS_Loc,MATCH(B320,RS_Lane,0)),"")),"Helmond"))</f>
        <v>Helmond</v>
      </c>
      <c r="V320" s="17"/>
      <c r="W320" s="38"/>
      <c r="X320" s="39"/>
      <c r="Y320" s="40" t="n">
        <f aca="false">IF(X320&lt;&gt;"",X320,IF(U320="Helmond",IF(COUNTIFS(RC_Lane,B320,RC_Band,E320,RC_CostPS,"&gt;0")=0,"",SUMIFS(RC_CostPS,RC_Lane,B320,RC_Band,E320)*(1-SUMIFS(RC_Disc,RC_Lane,B320,RC_Band,E320))),IF(U320="Other","",IF(INDEX(RS_Rate,MATCH(B320,RS_Lane,0))="","",INDEX(RS_Rate,MATCH(B320,RS_Lane,0))))))</f>
        <v>1271.20393</v>
      </c>
    </row>
    <row r="321" customFormat="false" ht="15" hidden="false" customHeight="false" outlineLevel="0" collapsed="false">
      <c r="A321" s="3" t="s">
        <v>730</v>
      </c>
      <c r="B321" s="25" t="s">
        <v>117</v>
      </c>
      <c r="C321" s="8" t="s">
        <v>118</v>
      </c>
      <c r="D321" s="8" t="s">
        <v>154</v>
      </c>
      <c r="E321" s="8" t="s">
        <v>178</v>
      </c>
      <c r="F321" s="19" t="n">
        <v>5.1</v>
      </c>
      <c r="G321" s="33" t="n">
        <f aca="false">F321*0.006477</f>
        <v>0.0330327</v>
      </c>
      <c r="H321" s="19" t="n">
        <f aca="false">F321*1.079436</f>
        <v>5.5051236</v>
      </c>
      <c r="I321" s="18" t="n">
        <f aca="false">MAX(1,ROUNDUP(G321/0.096,0))</f>
        <v>1</v>
      </c>
      <c r="J321" s="31" t="n">
        <v>46738</v>
      </c>
      <c r="K321" s="34" t="n">
        <f aca="false">J321-WEEKDAY(J321,2)+1</f>
        <v>46734</v>
      </c>
      <c r="L321" s="31" t="n">
        <f aca="false">J321</f>
        <v>46738</v>
      </c>
      <c r="M321" s="26" t="n">
        <f aca="false">INDEX(LR_Target,MATCH(B321,LR_Lane,0))</f>
        <v>2</v>
      </c>
      <c r="N321" s="31" t="n">
        <f aca="false">WORKDAY.INTL(L321,M321,INDEX(LR_Code,MATCH(B321,LR_Lane,0)),INDEX(DH_Table,0,MATCH(B321&amp;"*",DH_Head,0)))</f>
        <v>46741</v>
      </c>
      <c r="O321" s="35" t="n">
        <f aca="false">IF(W321&lt;&gt;"",W321,IF(U321="Helmond",IF(COUNTIFS(RC_Lane,B321,RC_Band,E321,RC_Transit,"&lt;&gt;")=0,"",SUMIFS(RC_Transit,RC_Lane,B321,RC_Band,E321)),IF(U321="Other","",IF(INDEX(RS_Transit,MATCH(B321,RS_Lane,0))="","",INDEX(RS_Transit,MATCH(B321,RS_Lane,0))))))</f>
        <v>1</v>
      </c>
      <c r="P321" s="36"/>
      <c r="Q321" s="31" t="n">
        <f aca="false">IF(P321&lt;&gt;"",P321,IF(O321="","",WORKDAY.INTL(L321,ROUNDUP(O321,0),INDEX(LR_Code,MATCH(B321,LR_Lane,0)),INDEX(DH_Table,0,MATCH(B321&amp;"*",DH_Head,0)))))</f>
        <v>46740</v>
      </c>
      <c r="R321" s="37" t="str">
        <f aca="false">IF(Q321="","",IF(Q321&lt;=N321,"Yes","No"))</f>
        <v>Yes</v>
      </c>
      <c r="S321" s="26" t="n">
        <f aca="false">IF(Q321="","",IF(Q321&lt;=N321,0,NETWORKDAYS.INTL(N321,Q321,INDEX(LR_Code,MATCH(B321,LR_Lane,0)),INDEX(DH_Table,0,MATCH(B321&amp;"*",DH_Head,0)))-1))</f>
        <v>0</v>
      </c>
      <c r="T321" s="4"/>
      <c r="U321" s="25" t="str">
        <f aca="false">IF(V321&lt;&gt;"",V321,IF(IFERROR(INDEX(RS_Flag,MATCH(B321,RS_Lane,0)),"")="Yes",IF(IFERROR(INDEX(RS_Loc,MATCH(B321,RS_Lane,0)),"")="","Regional stock",IFERROR(INDEX(RS_Loc,MATCH(B321,RS_Lane,0)),"")),"Helmond"))</f>
        <v>Helmond</v>
      </c>
      <c r="V321" s="17"/>
      <c r="W321" s="38"/>
      <c r="X321" s="39"/>
      <c r="Y321" s="40" t="n">
        <f aca="false">IF(X321&lt;&gt;"",X321,IF(U321="Helmond",IF(COUNTIFS(RC_Lane,B321,RC_Band,E321,RC_CostPS,"&gt;0")=0,"",SUMIFS(RC_CostPS,RC_Lane,B321,RC_Band,E321)*(1-SUMIFS(RC_Disc,RC_Lane,B321,RC_Band,E321))),IF(U321="Other","",IF(INDEX(RS_Rate,MATCH(B321,RS_Lane,0))="","",INDEX(RS_Rate,MATCH(B321,RS_Lane,0))))))</f>
        <v>72.485</v>
      </c>
    </row>
    <row r="322" customFormat="false" ht="15" hidden="false" customHeight="false" outlineLevel="0" collapsed="false">
      <c r="A322" s="3" t="s">
        <v>731</v>
      </c>
      <c r="B322" s="25" t="s">
        <v>108</v>
      </c>
      <c r="C322" s="8" t="s">
        <v>109</v>
      </c>
      <c r="D322" s="8" t="s">
        <v>272</v>
      </c>
      <c r="E322" s="8" t="s">
        <v>178</v>
      </c>
      <c r="F322" s="19" t="n">
        <v>5.7</v>
      </c>
      <c r="G322" s="33" t="n">
        <f aca="false">F322*0.006477</f>
        <v>0.0369189</v>
      </c>
      <c r="H322" s="19" t="n">
        <f aca="false">F322*1.079436</f>
        <v>6.1527852</v>
      </c>
      <c r="I322" s="18" t="n">
        <f aca="false">MAX(1,ROUNDUP(G322/0.096,0))</f>
        <v>1</v>
      </c>
      <c r="J322" s="31" t="n">
        <v>46741</v>
      </c>
      <c r="K322" s="34" t="n">
        <f aca="false">J322-WEEKDAY(J322,2)+1</f>
        <v>46741</v>
      </c>
      <c r="L322" s="31" t="n">
        <f aca="false">J322</f>
        <v>46741</v>
      </c>
      <c r="M322" s="26" t="n">
        <f aca="false">INDEX(LR_Target,MATCH(B322,LR_Lane,0))</f>
        <v>2</v>
      </c>
      <c r="N322" s="31" t="n">
        <f aca="false">WORKDAY.INTL(L322,M322,INDEX(LR_Code,MATCH(B322,LR_Lane,0)),INDEX(DH_Table,0,MATCH(B322&amp;"*",DH_Head,0)))</f>
        <v>46743</v>
      </c>
      <c r="O322" s="35" t="n">
        <f aca="false">IF(W322&lt;&gt;"",W322,IF(U322="Helmond",IF(COUNTIFS(RC_Lane,B322,RC_Band,E322,RC_Transit,"&lt;&gt;")=0,"",SUMIFS(RC_Transit,RC_Lane,B322,RC_Band,E322)),IF(U322="Other","",IF(INDEX(RS_Transit,MATCH(B322,RS_Lane,0))="","",INDEX(RS_Transit,MATCH(B322,RS_Lane,0))))))</f>
        <v>1</v>
      </c>
      <c r="P322" s="36"/>
      <c r="Q322" s="31" t="n">
        <f aca="false">IF(P322&lt;&gt;"",P322,IF(O322="","",WORKDAY.INTL(L322,ROUNDUP(O322,0),INDEX(LR_Code,MATCH(B322,LR_Lane,0)),INDEX(DH_Table,0,MATCH(B322&amp;"*",DH_Head,0)))))</f>
        <v>46742</v>
      </c>
      <c r="R322" s="37" t="str">
        <f aca="false">IF(Q322="","",IF(Q322&lt;=N322,"Yes","No"))</f>
        <v>Yes</v>
      </c>
      <c r="S322" s="26" t="n">
        <f aca="false">IF(Q322="","",IF(Q322&lt;=N322,0,NETWORKDAYS.INTL(N322,Q322,INDEX(LR_Code,MATCH(B322,LR_Lane,0)),INDEX(DH_Table,0,MATCH(B322&amp;"*",DH_Head,0)))-1))</f>
        <v>0</v>
      </c>
      <c r="T322" s="4"/>
      <c r="U322" s="25" t="str">
        <f aca="false">IF(V322&lt;&gt;"",V322,IF(IFERROR(INDEX(RS_Flag,MATCH(B322,RS_Lane,0)),"")="Yes",IF(IFERROR(INDEX(RS_Loc,MATCH(B322,RS_Lane,0)),"")="","Regional stock",IFERROR(INDEX(RS_Loc,MATCH(B322,RS_Lane,0)),"")),"Helmond"))</f>
        <v>Helmond</v>
      </c>
      <c r="V322" s="17"/>
      <c r="W322" s="38"/>
      <c r="X322" s="39"/>
      <c r="Y322" s="40" t="n">
        <f aca="false">IF(X322&lt;&gt;"",X322,IF(U322="Helmond",IF(COUNTIFS(RC_Lane,B322,RC_Band,E322,RC_CostPS,"&gt;0")=0,"",SUMIFS(RC_CostPS,RC_Lane,B322,RC_Band,E322)*(1-SUMIFS(RC_Disc,RC_Lane,B322,RC_Band,E322))),IF(U322="Other","",IF(INDEX(RS_Rate,MATCH(B322,RS_Lane,0))="","",INDEX(RS_Rate,MATCH(B322,RS_Lane,0))))))</f>
        <v>72.485</v>
      </c>
    </row>
    <row r="323" customFormat="false" ht="15" hidden="false" customHeight="false" outlineLevel="0" collapsed="false">
      <c r="A323" s="3" t="s">
        <v>732</v>
      </c>
      <c r="B323" s="25" t="s">
        <v>108</v>
      </c>
      <c r="C323" s="8" t="s">
        <v>109</v>
      </c>
      <c r="D323" s="8" t="s">
        <v>270</v>
      </c>
      <c r="E323" s="8" t="s">
        <v>182</v>
      </c>
      <c r="F323" s="19" t="n">
        <v>353.9</v>
      </c>
      <c r="G323" s="33" t="n">
        <f aca="false">F323*0.006477</f>
        <v>2.2922103</v>
      </c>
      <c r="H323" s="19" t="n">
        <f aca="false">F323*1.079436</f>
        <v>382.0124004</v>
      </c>
      <c r="I323" s="18" t="n">
        <f aca="false">MAX(1,ROUNDUP(G323/0.096,0))</f>
        <v>24</v>
      </c>
      <c r="J323" s="31" t="n">
        <v>46743</v>
      </c>
      <c r="K323" s="34" t="n">
        <f aca="false">J323-WEEKDAY(J323,2)+1</f>
        <v>46741</v>
      </c>
      <c r="L323" s="31" t="n">
        <f aca="false">J323</f>
        <v>46743</v>
      </c>
      <c r="M323" s="26" t="n">
        <f aca="false">INDEX(LR_Target,MATCH(B323,LR_Lane,0))</f>
        <v>2</v>
      </c>
      <c r="N323" s="31" t="n">
        <f aca="false">WORKDAY.INTL(L323,M323,INDEX(LR_Code,MATCH(B323,LR_Lane,0)),INDEX(DH_Table,0,MATCH(B323&amp;"*",DH_Head,0)))</f>
        <v>46747</v>
      </c>
      <c r="O323" s="35" t="n">
        <f aca="false">IF(W323&lt;&gt;"",W323,IF(U323="Helmond",IF(COUNTIFS(RC_Lane,B323,RC_Band,E323,RC_Transit,"&lt;&gt;")=0,"",SUMIFS(RC_Transit,RC_Lane,B323,RC_Band,E323)),IF(U323="Other","",IF(INDEX(RS_Transit,MATCH(B323,RS_Lane,0))="","",INDEX(RS_Transit,MATCH(B323,RS_Lane,0))))))</f>
        <v>3</v>
      </c>
      <c r="P323" s="36"/>
      <c r="Q323" s="31" t="n">
        <f aca="false">IF(P323&lt;&gt;"",P323,IF(O323="","",WORKDAY.INTL(L323,ROUNDUP(O323,0),INDEX(LR_Code,MATCH(B323,LR_Lane,0)),INDEX(DH_Table,0,MATCH(B323&amp;"*",DH_Head,0)))))</f>
        <v>46748</v>
      </c>
      <c r="R323" s="37" t="str">
        <f aca="false">IF(Q323="","",IF(Q323&lt;=N323,"Yes","No"))</f>
        <v>No</v>
      </c>
      <c r="S323" s="26" t="n">
        <f aca="false">IF(Q323="","",IF(Q323&lt;=N323,0,NETWORKDAYS.INTL(N323,Q323,INDEX(LR_Code,MATCH(B323,LR_Lane,0)),INDEX(DH_Table,0,MATCH(B323&amp;"*",DH_Head,0)))-1))</f>
        <v>1</v>
      </c>
      <c r="T323" s="4"/>
      <c r="U323" s="25" t="str">
        <f aca="false">IF(V323&lt;&gt;"",V323,IF(IFERROR(INDEX(RS_Flag,MATCH(B323,RS_Lane,0)),"")="Yes",IF(IFERROR(INDEX(RS_Loc,MATCH(B323,RS_Lane,0)),"")="","Regional stock",IFERROR(INDEX(RS_Loc,MATCH(B323,RS_Lane,0)),"")),"Helmond"))</f>
        <v>Helmond</v>
      </c>
      <c r="V323" s="17"/>
      <c r="W323" s="38"/>
      <c r="X323" s="39"/>
      <c r="Y323" s="40" t="n">
        <f aca="false">IF(X323&lt;&gt;"",X323,IF(U323="Helmond",IF(COUNTIFS(RC_Lane,B323,RC_Band,E323,RC_CostPS,"&gt;0")=0,"",SUMIFS(RC_CostPS,RC_Lane,B323,RC_Band,E323)*(1-SUMIFS(RC_Disc,RC_Lane,B323,RC_Band,E323))),IF(U323="Other","",IF(INDEX(RS_Rate,MATCH(B323,RS_Lane,0))="","",INDEX(RS_Rate,MATCH(B323,RS_Lane,0))))))</f>
        <v>1009.7531</v>
      </c>
    </row>
    <row r="324" customFormat="false" ht="15" hidden="false" customHeight="false" outlineLevel="0" collapsed="false">
      <c r="A324" s="3" t="s">
        <v>733</v>
      </c>
      <c r="B324" s="25" t="s">
        <v>108</v>
      </c>
      <c r="C324" s="8" t="s">
        <v>109</v>
      </c>
      <c r="D324" s="8" t="s">
        <v>272</v>
      </c>
      <c r="E324" s="8" t="s">
        <v>178</v>
      </c>
      <c r="F324" s="19" t="n">
        <v>7.8</v>
      </c>
      <c r="G324" s="33" t="n">
        <f aca="false">F324*0.006477</f>
        <v>0.0505206</v>
      </c>
      <c r="H324" s="19" t="n">
        <f aca="false">F324*1.079436</f>
        <v>8.4196008</v>
      </c>
      <c r="I324" s="18" t="n">
        <f aca="false">MAX(1,ROUNDUP(G324/0.096,0))</f>
        <v>1</v>
      </c>
      <c r="J324" s="31" t="n">
        <v>46743</v>
      </c>
      <c r="K324" s="34" t="n">
        <f aca="false">J324-WEEKDAY(J324,2)+1</f>
        <v>46741</v>
      </c>
      <c r="L324" s="31" t="n">
        <f aca="false">J324</f>
        <v>46743</v>
      </c>
      <c r="M324" s="26" t="n">
        <f aca="false">INDEX(LR_Target,MATCH(B324,LR_Lane,0))</f>
        <v>2</v>
      </c>
      <c r="N324" s="31" t="n">
        <f aca="false">WORKDAY.INTL(L324,M324,INDEX(LR_Code,MATCH(B324,LR_Lane,0)),INDEX(DH_Table,0,MATCH(B324&amp;"*",DH_Head,0)))</f>
        <v>46747</v>
      </c>
      <c r="O324" s="35" t="n">
        <f aca="false">IF(W324&lt;&gt;"",W324,IF(U324="Helmond",IF(COUNTIFS(RC_Lane,B324,RC_Band,E324,RC_Transit,"&lt;&gt;")=0,"",SUMIFS(RC_Transit,RC_Lane,B324,RC_Band,E324)),IF(U324="Other","",IF(INDEX(RS_Transit,MATCH(B324,RS_Lane,0))="","",INDEX(RS_Transit,MATCH(B324,RS_Lane,0))))))</f>
        <v>1</v>
      </c>
      <c r="P324" s="36"/>
      <c r="Q324" s="31" t="n">
        <f aca="false">IF(P324&lt;&gt;"",P324,IF(O324="","",WORKDAY.INTL(L324,ROUNDUP(O324,0),INDEX(LR_Code,MATCH(B324,LR_Lane,0)),INDEX(DH_Table,0,MATCH(B324&amp;"*",DH_Head,0)))))</f>
        <v>46744</v>
      </c>
      <c r="R324" s="37" t="str">
        <f aca="false">IF(Q324="","",IF(Q324&lt;=N324,"Yes","No"))</f>
        <v>Yes</v>
      </c>
      <c r="S324" s="26" t="n">
        <f aca="false">IF(Q324="","",IF(Q324&lt;=N324,0,NETWORKDAYS.INTL(N324,Q324,INDEX(LR_Code,MATCH(B324,LR_Lane,0)),INDEX(DH_Table,0,MATCH(B324&amp;"*",DH_Head,0)))-1))</f>
        <v>0</v>
      </c>
      <c r="T324" s="4"/>
      <c r="U324" s="25" t="str">
        <f aca="false">IF(V324&lt;&gt;"",V324,IF(IFERROR(INDEX(RS_Flag,MATCH(B324,RS_Lane,0)),"")="Yes",IF(IFERROR(INDEX(RS_Loc,MATCH(B324,RS_Lane,0)),"")="","Regional stock",IFERROR(INDEX(RS_Loc,MATCH(B324,RS_Lane,0)),"")),"Helmond"))</f>
        <v>Helmond</v>
      </c>
      <c r="V324" s="17"/>
      <c r="W324" s="38"/>
      <c r="X324" s="39"/>
      <c r="Y324" s="40" t="n">
        <f aca="false">IF(X324&lt;&gt;"",X324,IF(U324="Helmond",IF(COUNTIFS(RC_Lane,B324,RC_Band,E324,RC_CostPS,"&gt;0")=0,"",SUMIFS(RC_CostPS,RC_Lane,B324,RC_Band,E324)*(1-SUMIFS(RC_Disc,RC_Lane,B324,RC_Band,E324))),IF(U324="Other","",IF(INDEX(RS_Rate,MATCH(B324,RS_Lane,0))="","",INDEX(RS_Rate,MATCH(B324,RS_Lane,0))))))</f>
        <v>72.485</v>
      </c>
    </row>
    <row r="325" customFormat="false" ht="15" hidden="false" customHeight="false" outlineLevel="0" collapsed="false">
      <c r="A325" s="3" t="s">
        <v>734</v>
      </c>
      <c r="B325" s="25" t="s">
        <v>119</v>
      </c>
      <c r="C325" s="8" t="s">
        <v>120</v>
      </c>
      <c r="D325" s="8" t="s">
        <v>155</v>
      </c>
      <c r="E325" s="8" t="s">
        <v>180</v>
      </c>
      <c r="F325" s="19" t="n">
        <v>42.3</v>
      </c>
      <c r="G325" s="33" t="n">
        <f aca="false">F325*0.006477</f>
        <v>0.2739771</v>
      </c>
      <c r="H325" s="19" t="n">
        <f aca="false">F325*1.079436</f>
        <v>45.6601428</v>
      </c>
      <c r="I325" s="18" t="n">
        <f aca="false">MAX(1,ROUNDUP(G325/0.096,0))</f>
        <v>3</v>
      </c>
      <c r="J325" s="31" t="n">
        <v>46743</v>
      </c>
      <c r="K325" s="34" t="n">
        <f aca="false">J325-WEEKDAY(J325,2)+1</f>
        <v>46741</v>
      </c>
      <c r="L325" s="31" t="n">
        <f aca="false">J325</f>
        <v>46743</v>
      </c>
      <c r="M325" s="26" t="n">
        <f aca="false">INDEX(LR_Target,MATCH(B325,LR_Lane,0))</f>
        <v>3</v>
      </c>
      <c r="N325" s="31" t="n">
        <f aca="false">WORKDAY.INTL(L325,M325,INDEX(LR_Code,MATCH(B325,LR_Lane,0)),INDEX(DH_Table,0,MATCH(B325&amp;"*",DH_Head,0)))</f>
        <v>46748</v>
      </c>
      <c r="O325" s="35" t="n">
        <f aca="false">IF(W325&lt;&gt;"",W325,IF(U325="Helmond",IF(COUNTIFS(RC_Lane,B325,RC_Band,E325,RC_Transit,"&lt;&gt;")=0,"",SUMIFS(RC_Transit,RC_Lane,B325,RC_Band,E325)),IF(U325="Other","",IF(INDEX(RS_Transit,MATCH(B325,RS_Lane,0))="","",INDEX(RS_Transit,MATCH(B325,RS_Lane,0))))))</f>
        <v>2</v>
      </c>
      <c r="P325" s="36"/>
      <c r="Q325" s="31" t="n">
        <f aca="false">IF(P325&lt;&gt;"",P325,IF(O325="","",WORKDAY.INTL(L325,ROUNDUP(O325,0),INDEX(LR_Code,MATCH(B325,LR_Lane,0)),INDEX(DH_Table,0,MATCH(B325&amp;"*",DH_Head,0)))))</f>
        <v>46745</v>
      </c>
      <c r="R325" s="37" t="str">
        <f aca="false">IF(Q325="","",IF(Q325&lt;=N325,"Yes","No"))</f>
        <v>Yes</v>
      </c>
      <c r="S325" s="26" t="n">
        <f aca="false">IF(Q325="","",IF(Q325&lt;=N325,0,NETWORKDAYS.INTL(N325,Q325,INDEX(LR_Code,MATCH(B325,LR_Lane,0)),INDEX(DH_Table,0,MATCH(B325&amp;"*",DH_Head,0)))-1))</f>
        <v>0</v>
      </c>
      <c r="T325" s="4"/>
      <c r="U325" s="25" t="str">
        <f aca="false">IF(V325&lt;&gt;"",V325,IF(IFERROR(INDEX(RS_Flag,MATCH(B325,RS_Lane,0)),"")="Yes",IF(IFERROR(INDEX(RS_Loc,MATCH(B325,RS_Lane,0)),"")="","Regional stock",IFERROR(INDEX(RS_Loc,MATCH(B325,RS_Lane,0)),"")),"Helmond"))</f>
        <v>Helmond</v>
      </c>
      <c r="V325" s="17"/>
      <c r="W325" s="38"/>
      <c r="X325" s="39"/>
      <c r="Y325" s="40" t="n">
        <f aca="false">IF(X325&lt;&gt;"",X325,IF(U325="Helmond",IF(COUNTIFS(RC_Lane,B325,RC_Band,E325,RC_CostPS,"&gt;0")=0,"",SUMIFS(RC_CostPS,RC_Lane,B325,RC_Band,E325)*(1-SUMIFS(RC_Disc,RC_Lane,B325,RC_Band,E325))),IF(U325="Other","",IF(INDEX(RS_Rate,MATCH(B325,RS_Lane,0))="","",INDEX(RS_Rate,MATCH(B325,RS_Lane,0))))))</f>
        <v>303.81456</v>
      </c>
    </row>
    <row r="326" customFormat="false" ht="15" hidden="false" customHeight="false" outlineLevel="0" collapsed="false">
      <c r="A326" s="3" t="s">
        <v>735</v>
      </c>
      <c r="B326" s="25" t="s">
        <v>119</v>
      </c>
      <c r="C326" s="8" t="s">
        <v>120</v>
      </c>
      <c r="D326" s="8" t="s">
        <v>155</v>
      </c>
      <c r="E326" s="8" t="s">
        <v>180</v>
      </c>
      <c r="F326" s="19" t="n">
        <v>46.3</v>
      </c>
      <c r="G326" s="33" t="n">
        <f aca="false">F326*0.006477</f>
        <v>0.2998851</v>
      </c>
      <c r="H326" s="19" t="n">
        <f aca="false">F326*1.079436</f>
        <v>49.9778868</v>
      </c>
      <c r="I326" s="18" t="n">
        <f aca="false">MAX(1,ROUNDUP(G326/0.096,0))</f>
        <v>4</v>
      </c>
      <c r="J326" s="31" t="n">
        <v>46744</v>
      </c>
      <c r="K326" s="34" t="n">
        <f aca="false">J326-WEEKDAY(J326,2)+1</f>
        <v>46741</v>
      </c>
      <c r="L326" s="31" t="n">
        <f aca="false">J326</f>
        <v>46744</v>
      </c>
      <c r="M326" s="26" t="n">
        <f aca="false">INDEX(LR_Target,MATCH(B326,LR_Lane,0))</f>
        <v>3</v>
      </c>
      <c r="N326" s="31" t="n">
        <f aca="false">WORKDAY.INTL(L326,M326,INDEX(LR_Code,MATCH(B326,LR_Lane,0)),INDEX(DH_Table,0,MATCH(B326&amp;"*",DH_Head,0)))</f>
        <v>46749</v>
      </c>
      <c r="O326" s="35" t="n">
        <f aca="false">IF(W326&lt;&gt;"",W326,IF(U326="Helmond",IF(COUNTIFS(RC_Lane,B326,RC_Band,E326,RC_Transit,"&lt;&gt;")=0,"",SUMIFS(RC_Transit,RC_Lane,B326,RC_Band,E326)),IF(U326="Other","",IF(INDEX(RS_Transit,MATCH(B326,RS_Lane,0))="","",INDEX(RS_Transit,MATCH(B326,RS_Lane,0))))))</f>
        <v>2</v>
      </c>
      <c r="P326" s="36"/>
      <c r="Q326" s="31" t="n">
        <f aca="false">IF(P326&lt;&gt;"",P326,IF(O326="","",WORKDAY.INTL(L326,ROUNDUP(O326,0),INDEX(LR_Code,MATCH(B326,LR_Lane,0)),INDEX(DH_Table,0,MATCH(B326&amp;"*",DH_Head,0)))))</f>
        <v>46748</v>
      </c>
      <c r="R326" s="37" t="str">
        <f aca="false">IF(Q326="","",IF(Q326&lt;=N326,"Yes","No"))</f>
        <v>Yes</v>
      </c>
      <c r="S326" s="26" t="n">
        <f aca="false">IF(Q326="","",IF(Q326&lt;=N326,0,NETWORKDAYS.INTL(N326,Q326,INDEX(LR_Code,MATCH(B326,LR_Lane,0)),INDEX(DH_Table,0,MATCH(B326&amp;"*",DH_Head,0)))-1))</f>
        <v>0</v>
      </c>
      <c r="T326" s="4"/>
      <c r="U326" s="25" t="str">
        <f aca="false">IF(V326&lt;&gt;"",V326,IF(IFERROR(INDEX(RS_Flag,MATCH(B326,RS_Lane,0)),"")="Yes",IF(IFERROR(INDEX(RS_Loc,MATCH(B326,RS_Lane,0)),"")="","Regional stock",IFERROR(INDEX(RS_Loc,MATCH(B326,RS_Lane,0)),"")),"Helmond"))</f>
        <v>Helmond</v>
      </c>
      <c r="V326" s="17"/>
      <c r="W326" s="38"/>
      <c r="X326" s="39"/>
      <c r="Y326" s="40" t="n">
        <f aca="false">IF(X326&lt;&gt;"",X326,IF(U326="Helmond",IF(COUNTIFS(RC_Lane,B326,RC_Band,E326,RC_CostPS,"&gt;0")=0,"",SUMIFS(RC_CostPS,RC_Lane,B326,RC_Band,E326)*(1-SUMIFS(RC_Disc,RC_Lane,B326,RC_Band,E326))),IF(U326="Other","",IF(INDEX(RS_Rate,MATCH(B326,RS_Lane,0))="","",INDEX(RS_Rate,MATCH(B326,RS_Lane,0))))))</f>
        <v>303.81456</v>
      </c>
    </row>
    <row r="327" customFormat="false" ht="15" hidden="false" customHeight="false" outlineLevel="0" collapsed="false">
      <c r="A327" s="3" t="s">
        <v>736</v>
      </c>
      <c r="B327" s="25" t="s">
        <v>112</v>
      </c>
      <c r="C327" s="8" t="s">
        <v>113</v>
      </c>
      <c r="D327" s="8" t="s">
        <v>152</v>
      </c>
      <c r="E327" s="8" t="s">
        <v>178</v>
      </c>
      <c r="F327" s="19" t="n">
        <v>12.9</v>
      </c>
      <c r="G327" s="33" t="n">
        <f aca="false">F327*0.006477</f>
        <v>0.0835533</v>
      </c>
      <c r="H327" s="19" t="n">
        <f aca="false">F327*1.079436</f>
        <v>13.9247244</v>
      </c>
      <c r="I327" s="18" t="n">
        <f aca="false">MAX(1,ROUNDUP(G327/0.096,0))</f>
        <v>1</v>
      </c>
      <c r="J327" s="31" t="n">
        <v>46745</v>
      </c>
      <c r="K327" s="34" t="n">
        <f aca="false">J327-WEEKDAY(J327,2)+1</f>
        <v>46741</v>
      </c>
      <c r="L327" s="31" t="n">
        <f aca="false">J327</f>
        <v>46745</v>
      </c>
      <c r="M327" s="26" t="n">
        <f aca="false">INDEX(LR_Target,MATCH(B327,LR_Lane,0))</f>
        <v>2</v>
      </c>
      <c r="N327" s="31" t="n">
        <f aca="false">WORKDAY.INTL(L327,M327,INDEX(LR_Code,MATCH(B327,LR_Lane,0)),INDEX(DH_Table,0,MATCH(B327&amp;"*",DH_Head,0)))</f>
        <v>46749</v>
      </c>
      <c r="O327" s="35" t="n">
        <f aca="false">IF(W327&lt;&gt;"",W327,IF(U327="Helmond",IF(COUNTIFS(RC_Lane,B327,RC_Band,E327,RC_Transit,"&lt;&gt;")=0,"",SUMIFS(RC_Transit,RC_Lane,B327,RC_Band,E327)),IF(U327="Other","",IF(INDEX(RS_Transit,MATCH(B327,RS_Lane,0))="","",INDEX(RS_Transit,MATCH(B327,RS_Lane,0))))))</f>
        <v>1</v>
      </c>
      <c r="P327" s="36"/>
      <c r="Q327" s="31" t="n">
        <f aca="false">IF(P327&lt;&gt;"",P327,IF(O327="","",WORKDAY.INTL(L327,ROUNDUP(O327,0),INDEX(LR_Code,MATCH(B327,LR_Lane,0)),INDEX(DH_Table,0,MATCH(B327&amp;"*",DH_Head,0)))))</f>
        <v>46748</v>
      </c>
      <c r="R327" s="37" t="str">
        <f aca="false">IF(Q327="","",IF(Q327&lt;=N327,"Yes","No"))</f>
        <v>Yes</v>
      </c>
      <c r="S327" s="26" t="n">
        <f aca="false">IF(Q327="","",IF(Q327&lt;=N327,0,NETWORKDAYS.INTL(N327,Q327,INDEX(LR_Code,MATCH(B327,LR_Lane,0)),INDEX(DH_Table,0,MATCH(B327&amp;"*",DH_Head,0)))-1))</f>
        <v>0</v>
      </c>
      <c r="T327" s="4"/>
      <c r="U327" s="25" t="str">
        <f aca="false">IF(V327&lt;&gt;"",V327,IF(IFERROR(INDEX(RS_Flag,MATCH(B327,RS_Lane,0)),"")="Yes",IF(IFERROR(INDEX(RS_Loc,MATCH(B327,RS_Lane,0)),"")="","Regional stock",IFERROR(INDEX(RS_Loc,MATCH(B327,RS_Lane,0)),"")),"Helmond"))</f>
        <v>Helmond</v>
      </c>
      <c r="V327" s="17"/>
      <c r="W327" s="38"/>
      <c r="X327" s="39"/>
      <c r="Y327" s="40" t="n">
        <f aca="false">IF(X327&lt;&gt;"",X327,IF(U327="Helmond",IF(COUNTIFS(RC_Lane,B327,RC_Band,E327,RC_CostPS,"&gt;0")=0,"",SUMIFS(RC_CostPS,RC_Lane,B327,RC_Band,E327)*(1-SUMIFS(RC_Disc,RC_Lane,B327,RC_Band,E327))),IF(U327="Other","",IF(INDEX(RS_Rate,MATCH(B327,RS_Lane,0))="","",INDEX(RS_Rate,MATCH(B327,RS_Lane,0))))))</f>
        <v>72.485</v>
      </c>
    </row>
    <row r="328" customFormat="false" ht="15" hidden="false" customHeight="false" outlineLevel="0" collapsed="false">
      <c r="A328" s="3" t="s">
        <v>737</v>
      </c>
      <c r="B328" s="25" t="s">
        <v>119</v>
      </c>
      <c r="C328" s="8" t="s">
        <v>120</v>
      </c>
      <c r="D328" s="8" t="s">
        <v>155</v>
      </c>
      <c r="E328" s="8" t="s">
        <v>178</v>
      </c>
      <c r="F328" s="19" t="n">
        <v>8.5</v>
      </c>
      <c r="G328" s="33" t="n">
        <f aca="false">F328*0.006477</f>
        <v>0.0550545</v>
      </c>
      <c r="H328" s="19" t="n">
        <f aca="false">F328*1.079436</f>
        <v>9.175206</v>
      </c>
      <c r="I328" s="18" t="n">
        <f aca="false">MAX(1,ROUNDUP(G328/0.096,0))</f>
        <v>1</v>
      </c>
      <c r="J328" s="31" t="n">
        <v>46748</v>
      </c>
      <c r="K328" s="34" t="n">
        <f aca="false">J328-WEEKDAY(J328,2)+1</f>
        <v>46748</v>
      </c>
      <c r="L328" s="31" t="n">
        <f aca="false">J328</f>
        <v>46748</v>
      </c>
      <c r="M328" s="26" t="n">
        <f aca="false">INDEX(LR_Target,MATCH(B328,LR_Lane,0))</f>
        <v>3</v>
      </c>
      <c r="N328" s="31" t="n">
        <f aca="false">WORKDAY.INTL(L328,M328,INDEX(LR_Code,MATCH(B328,LR_Lane,0)),INDEX(DH_Table,0,MATCH(B328&amp;"*",DH_Head,0)))</f>
        <v>46751</v>
      </c>
      <c r="O328" s="35" t="n">
        <f aca="false">IF(W328&lt;&gt;"",W328,IF(U328="Helmond",IF(COUNTIFS(RC_Lane,B328,RC_Band,E328,RC_Transit,"&lt;&gt;")=0,"",SUMIFS(RC_Transit,RC_Lane,B328,RC_Band,E328)),IF(U328="Other","",IF(INDEX(RS_Transit,MATCH(B328,RS_Lane,0))="","",INDEX(RS_Transit,MATCH(B328,RS_Lane,0))))))</f>
        <v>1</v>
      </c>
      <c r="P328" s="36"/>
      <c r="Q328" s="31" t="n">
        <f aca="false">IF(P328&lt;&gt;"",P328,IF(O328="","",WORKDAY.INTL(L328,ROUNDUP(O328,0),INDEX(LR_Code,MATCH(B328,LR_Lane,0)),INDEX(DH_Table,0,MATCH(B328&amp;"*",DH_Head,0)))))</f>
        <v>46749</v>
      </c>
      <c r="R328" s="37" t="str">
        <f aca="false">IF(Q328="","",IF(Q328&lt;=N328,"Yes","No"))</f>
        <v>Yes</v>
      </c>
      <c r="S328" s="26" t="n">
        <f aca="false">IF(Q328="","",IF(Q328&lt;=N328,0,NETWORKDAYS.INTL(N328,Q328,INDEX(LR_Code,MATCH(B328,LR_Lane,0)),INDEX(DH_Table,0,MATCH(B328&amp;"*",DH_Head,0)))-1))</f>
        <v>0</v>
      </c>
      <c r="T328" s="4"/>
      <c r="U328" s="25" t="str">
        <f aca="false">IF(V328&lt;&gt;"",V328,IF(IFERROR(INDEX(RS_Flag,MATCH(B328,RS_Lane,0)),"")="Yes",IF(IFERROR(INDEX(RS_Loc,MATCH(B328,RS_Lane,0)),"")="","Regional stock",IFERROR(INDEX(RS_Loc,MATCH(B328,RS_Lane,0)),"")),"Helmond"))</f>
        <v>Helmond</v>
      </c>
      <c r="V328" s="17"/>
      <c r="W328" s="38"/>
      <c r="X328" s="39"/>
      <c r="Y328" s="40" t="n">
        <f aca="false">IF(X328&lt;&gt;"",X328,IF(U328="Helmond",IF(COUNTIFS(RC_Lane,B328,RC_Band,E328,RC_CostPS,"&gt;0")=0,"",SUMIFS(RC_CostPS,RC_Lane,B328,RC_Band,E328)*(1-SUMIFS(RC_Disc,RC_Lane,B328,RC_Band,E328))),IF(U328="Other","",IF(INDEX(RS_Rate,MATCH(B328,RS_Lane,0))="","",INDEX(RS_Rate,MATCH(B328,RS_Lane,0))))))</f>
        <v>72.485</v>
      </c>
    </row>
    <row r="329" customFormat="false" ht="15" hidden="false" customHeight="false" outlineLevel="0" collapsed="false">
      <c r="A329" s="3" t="s">
        <v>738</v>
      </c>
      <c r="B329" s="25" t="s">
        <v>126</v>
      </c>
      <c r="C329" s="8" t="s">
        <v>127</v>
      </c>
      <c r="D329" s="8" t="s">
        <v>158</v>
      </c>
      <c r="E329" s="8" t="s">
        <v>178</v>
      </c>
      <c r="F329" s="19" t="n">
        <v>2.5</v>
      </c>
      <c r="G329" s="33" t="n">
        <f aca="false">F329*0.006477</f>
        <v>0.0161925</v>
      </c>
      <c r="H329" s="19" t="n">
        <f aca="false">F329*1.079436</f>
        <v>2.69859</v>
      </c>
      <c r="I329" s="18" t="n">
        <f aca="false">MAX(1,ROUNDUP(G329/0.096,0))</f>
        <v>1</v>
      </c>
      <c r="J329" s="31" t="n">
        <v>46749</v>
      </c>
      <c r="K329" s="34" t="n">
        <f aca="false">J329-WEEKDAY(J329,2)+1</f>
        <v>46748</v>
      </c>
      <c r="L329" s="31" t="n">
        <f aca="false">J329</f>
        <v>46749</v>
      </c>
      <c r="M329" s="26" t="n">
        <f aca="false">INDEX(LR_Target,MATCH(B329,LR_Lane,0))</f>
        <v>4</v>
      </c>
      <c r="N329" s="31" t="n">
        <f aca="false">WORKDAY.INTL(L329,M329,INDEX(LR_Code,MATCH(B329,LR_Lane,0)),INDEX(DH_Table,0,MATCH(B329&amp;"*",DH_Head,0)))</f>
        <v>46755</v>
      </c>
      <c r="O329" s="35" t="n">
        <f aca="false">IF(W329&lt;&gt;"",W329,IF(U329="Helmond",IF(COUNTIFS(RC_Lane,B329,RC_Band,E329,RC_Transit,"&lt;&gt;")=0,"",SUMIFS(RC_Transit,RC_Lane,B329,RC_Band,E329)),IF(U329="Other","",IF(INDEX(RS_Transit,MATCH(B329,RS_Lane,0))="","",INDEX(RS_Transit,MATCH(B329,RS_Lane,0))))))</f>
        <v>1</v>
      </c>
      <c r="P329" s="36"/>
      <c r="Q329" s="31" t="n">
        <f aca="false">IF(P329&lt;&gt;"",P329,IF(O329="","",WORKDAY.INTL(L329,ROUNDUP(O329,0),INDEX(LR_Code,MATCH(B329,LR_Lane,0)),INDEX(DH_Table,0,MATCH(B329&amp;"*",DH_Head,0)))))</f>
        <v>46750</v>
      </c>
      <c r="R329" s="37" t="str">
        <f aca="false">IF(Q329="","",IF(Q329&lt;=N329,"Yes","No"))</f>
        <v>Yes</v>
      </c>
      <c r="S329" s="26" t="n">
        <f aca="false">IF(Q329="","",IF(Q329&lt;=N329,0,NETWORKDAYS.INTL(N329,Q329,INDEX(LR_Code,MATCH(B329,LR_Lane,0)),INDEX(DH_Table,0,MATCH(B329&amp;"*",DH_Head,0)))-1))</f>
        <v>0</v>
      </c>
      <c r="T329" s="4"/>
      <c r="U329" s="25" t="str">
        <f aca="false">IF(V329&lt;&gt;"",V329,IF(IFERROR(INDEX(RS_Flag,MATCH(B329,RS_Lane,0)),"")="Yes",IF(IFERROR(INDEX(RS_Loc,MATCH(B329,RS_Lane,0)),"")="","Regional stock",IFERROR(INDEX(RS_Loc,MATCH(B329,RS_Lane,0)),"")),"Helmond"))</f>
        <v>Helmond</v>
      </c>
      <c r="V329" s="17"/>
      <c r="W329" s="38"/>
      <c r="X329" s="39"/>
      <c r="Y329" s="40" t="n">
        <f aca="false">IF(X329&lt;&gt;"",X329,IF(U329="Helmond",IF(COUNTIFS(RC_Lane,B329,RC_Band,E329,RC_CostPS,"&gt;0")=0,"",SUMIFS(RC_CostPS,RC_Lane,B329,RC_Band,E329)*(1-SUMIFS(RC_Disc,RC_Lane,B329,RC_Band,E329))),IF(U329="Other","",IF(INDEX(RS_Rate,MATCH(B329,RS_Lane,0))="","",INDEX(RS_Rate,MATCH(B329,RS_Lane,0))))))</f>
        <v>72.485</v>
      </c>
    </row>
    <row r="330" customFormat="false" ht="15" hidden="false" customHeight="false" outlineLevel="0" collapsed="false">
      <c r="A330" s="3" t="s">
        <v>739</v>
      </c>
      <c r="B330" s="25" t="s">
        <v>108</v>
      </c>
      <c r="C330" s="8" t="s">
        <v>109</v>
      </c>
      <c r="D330" s="8" t="s">
        <v>270</v>
      </c>
      <c r="E330" s="8" t="s">
        <v>178</v>
      </c>
      <c r="F330" s="19" t="n">
        <v>7.1</v>
      </c>
      <c r="G330" s="33" t="n">
        <f aca="false">F330*0.006477</f>
        <v>0.0459867</v>
      </c>
      <c r="H330" s="19" t="n">
        <f aca="false">F330*1.079436</f>
        <v>7.6639956</v>
      </c>
      <c r="I330" s="18" t="n">
        <f aca="false">MAX(1,ROUNDUP(G330/0.096,0))</f>
        <v>1</v>
      </c>
      <c r="J330" s="31" t="n">
        <v>46750</v>
      </c>
      <c r="K330" s="34" t="n">
        <f aca="false">J330-WEEKDAY(J330,2)+1</f>
        <v>46748</v>
      </c>
      <c r="L330" s="31" t="n">
        <f aca="false">J330</f>
        <v>46750</v>
      </c>
      <c r="M330" s="26" t="n">
        <f aca="false">INDEX(LR_Target,MATCH(B330,LR_Lane,0))</f>
        <v>2</v>
      </c>
      <c r="N330" s="31" t="n">
        <f aca="false">WORKDAY.INTL(L330,M330,INDEX(LR_Code,MATCH(B330,LR_Lane,0)),INDEX(DH_Table,0,MATCH(B330&amp;"*",DH_Head,0)))</f>
        <v>46754</v>
      </c>
      <c r="O330" s="35" t="n">
        <f aca="false">IF(W330&lt;&gt;"",W330,IF(U330="Helmond",IF(COUNTIFS(RC_Lane,B330,RC_Band,E330,RC_Transit,"&lt;&gt;")=0,"",SUMIFS(RC_Transit,RC_Lane,B330,RC_Band,E330)),IF(U330="Other","",IF(INDEX(RS_Transit,MATCH(B330,RS_Lane,0))="","",INDEX(RS_Transit,MATCH(B330,RS_Lane,0))))))</f>
        <v>1</v>
      </c>
      <c r="P330" s="36"/>
      <c r="Q330" s="31" t="n">
        <f aca="false">IF(P330&lt;&gt;"",P330,IF(O330="","",WORKDAY.INTL(L330,ROUNDUP(O330,0),INDEX(LR_Code,MATCH(B330,LR_Lane,0)),INDEX(DH_Table,0,MATCH(B330&amp;"*",DH_Head,0)))))</f>
        <v>46751</v>
      </c>
      <c r="R330" s="37" t="str">
        <f aca="false">IF(Q330="","",IF(Q330&lt;=N330,"Yes","No"))</f>
        <v>Yes</v>
      </c>
      <c r="S330" s="26" t="n">
        <f aca="false">IF(Q330="","",IF(Q330&lt;=N330,0,NETWORKDAYS.INTL(N330,Q330,INDEX(LR_Code,MATCH(B330,LR_Lane,0)),INDEX(DH_Table,0,MATCH(B330&amp;"*",DH_Head,0)))-1))</f>
        <v>0</v>
      </c>
      <c r="T330" s="4"/>
      <c r="U330" s="25" t="str">
        <f aca="false">IF(V330&lt;&gt;"",V330,IF(IFERROR(INDEX(RS_Flag,MATCH(B330,RS_Lane,0)),"")="Yes",IF(IFERROR(INDEX(RS_Loc,MATCH(B330,RS_Lane,0)),"")="","Regional stock",IFERROR(INDEX(RS_Loc,MATCH(B330,RS_Lane,0)),"")),"Helmond"))</f>
        <v>Helmond</v>
      </c>
      <c r="V330" s="17"/>
      <c r="W330" s="38"/>
      <c r="X330" s="39"/>
      <c r="Y330" s="40" t="n">
        <f aca="false">IF(X330&lt;&gt;"",X330,IF(U330="Helmond",IF(COUNTIFS(RC_Lane,B330,RC_Band,E330,RC_CostPS,"&gt;0")=0,"",SUMIFS(RC_CostPS,RC_Lane,B330,RC_Band,E330)*(1-SUMIFS(RC_Disc,RC_Lane,B330,RC_Band,E330))),IF(U330="Other","",IF(INDEX(RS_Rate,MATCH(B330,RS_Lane,0))="","",INDEX(RS_Rate,MATCH(B330,RS_Lane,0))))))</f>
        <v>72.485</v>
      </c>
    </row>
    <row r="331" customFormat="false" ht="15" hidden="false" customHeight="false" outlineLevel="0" collapsed="false">
      <c r="A331" s="3" t="s">
        <v>740</v>
      </c>
      <c r="B331" s="25" t="s">
        <v>108</v>
      </c>
      <c r="C331" s="8" t="s">
        <v>109</v>
      </c>
      <c r="D331" s="8" t="s">
        <v>272</v>
      </c>
      <c r="E331" s="8" t="s">
        <v>180</v>
      </c>
      <c r="F331" s="19" t="n">
        <v>51.2</v>
      </c>
      <c r="G331" s="33" t="n">
        <f aca="false">F331*0.006477</f>
        <v>0.3316224</v>
      </c>
      <c r="H331" s="19" t="n">
        <f aca="false">F331*1.079436</f>
        <v>55.2671232</v>
      </c>
      <c r="I331" s="18" t="n">
        <f aca="false">MAX(1,ROUNDUP(G331/0.096,0))</f>
        <v>4</v>
      </c>
      <c r="J331" s="31" t="n">
        <v>46751</v>
      </c>
      <c r="K331" s="34" t="n">
        <f aca="false">J331-WEEKDAY(J331,2)+1</f>
        <v>46748</v>
      </c>
      <c r="L331" s="31" t="n">
        <f aca="false">J331</f>
        <v>46751</v>
      </c>
      <c r="M331" s="26" t="n">
        <f aca="false">INDEX(LR_Target,MATCH(B331,LR_Lane,0))</f>
        <v>2</v>
      </c>
      <c r="N331" s="31" t="n">
        <f aca="false">WORKDAY.INTL(L331,M331,INDEX(LR_Code,MATCH(B331,LR_Lane,0)),INDEX(DH_Table,0,MATCH(B331&amp;"*",DH_Head,0)))</f>
        <v>46755</v>
      </c>
      <c r="O331" s="35" t="n">
        <f aca="false">IF(W331&lt;&gt;"",W331,IF(U331="Helmond",IF(COUNTIFS(RC_Lane,B331,RC_Band,E331,RC_Transit,"&lt;&gt;")=0,"",SUMIFS(RC_Transit,RC_Lane,B331,RC_Band,E331)),IF(U331="Other","",IF(INDEX(RS_Transit,MATCH(B331,RS_Lane,0))="","",INDEX(RS_Transit,MATCH(B331,RS_Lane,0))))))</f>
        <v>2</v>
      </c>
      <c r="P331" s="36"/>
      <c r="Q331" s="31" t="n">
        <f aca="false">IF(P331&lt;&gt;"",P331,IF(O331="","",WORKDAY.INTL(L331,ROUNDUP(O331,0),INDEX(LR_Code,MATCH(B331,LR_Lane,0)),INDEX(DH_Table,0,MATCH(B331&amp;"*",DH_Head,0)))))</f>
        <v>46755</v>
      </c>
      <c r="R331" s="37" t="str">
        <f aca="false">IF(Q331="","",IF(Q331&lt;=N331,"Yes","No"))</f>
        <v>Yes</v>
      </c>
      <c r="S331" s="26" t="n">
        <f aca="false">IF(Q331="","",IF(Q331&lt;=N331,0,NETWORKDAYS.INTL(N331,Q331,INDEX(LR_Code,MATCH(B331,LR_Lane,0)),INDEX(DH_Table,0,MATCH(B331&amp;"*",DH_Head,0)))-1))</f>
        <v>0</v>
      </c>
      <c r="T331" s="4"/>
      <c r="U331" s="25" t="str">
        <f aca="false">IF(V331&lt;&gt;"",V331,IF(IFERROR(INDEX(RS_Flag,MATCH(B331,RS_Lane,0)),"")="Yes",IF(IFERROR(INDEX(RS_Loc,MATCH(B331,RS_Lane,0)),"")="","Regional stock",IFERROR(INDEX(RS_Loc,MATCH(B331,RS_Lane,0)),"")),"Helmond"))</f>
        <v>Helmond</v>
      </c>
      <c r="V331" s="17"/>
      <c r="W331" s="38"/>
      <c r="X331" s="39"/>
      <c r="Y331" s="40" t="n">
        <f aca="false">IF(X331&lt;&gt;"",X331,IF(U331="Helmond",IF(COUNTIFS(RC_Lane,B331,RC_Band,E331,RC_CostPS,"&gt;0")=0,"",SUMIFS(RC_CostPS,RC_Lane,B331,RC_Band,E331)*(1-SUMIFS(RC_Disc,RC_Lane,B331,RC_Band,E331))),IF(U331="Other","",IF(INDEX(RS_Rate,MATCH(B331,RS_Lane,0))="","",INDEX(RS_Rate,MATCH(B331,RS_Lane,0))))))</f>
        <v>284.98176</v>
      </c>
    </row>
    <row r="332" customFormat="false" ht="15" hidden="false" customHeight="false" outlineLevel="0" collapsed="false">
      <c r="A332" s="3" t="s">
        <v>741</v>
      </c>
      <c r="B332" s="25" t="s">
        <v>112</v>
      </c>
      <c r="C332" s="8" t="s">
        <v>113</v>
      </c>
      <c r="D332" s="8" t="s">
        <v>152</v>
      </c>
      <c r="E332" s="8" t="s">
        <v>178</v>
      </c>
      <c r="F332" s="19" t="n">
        <v>6.4</v>
      </c>
      <c r="G332" s="33" t="n">
        <f aca="false">F332*0.006477</f>
        <v>0.0414528</v>
      </c>
      <c r="H332" s="19" t="n">
        <f aca="false">F332*1.079436</f>
        <v>6.9083904</v>
      </c>
      <c r="I332" s="18" t="n">
        <f aca="false">MAX(1,ROUNDUP(G332/0.096,0))</f>
        <v>1</v>
      </c>
      <c r="J332" s="31" t="n">
        <v>46751</v>
      </c>
      <c r="K332" s="34" t="n">
        <f aca="false">J332-WEEKDAY(J332,2)+1</f>
        <v>46748</v>
      </c>
      <c r="L332" s="31" t="n">
        <f aca="false">J332</f>
        <v>46751</v>
      </c>
      <c r="M332" s="26" t="n">
        <f aca="false">INDEX(LR_Target,MATCH(B332,LR_Lane,0))</f>
        <v>2</v>
      </c>
      <c r="N332" s="31" t="n">
        <f aca="false">WORKDAY.INTL(L332,M332,INDEX(LR_Code,MATCH(B332,LR_Lane,0)),INDEX(DH_Table,0,MATCH(B332&amp;"*",DH_Head,0)))</f>
        <v>46755</v>
      </c>
      <c r="O332" s="35" t="n">
        <f aca="false">IF(W332&lt;&gt;"",W332,IF(U332="Helmond",IF(COUNTIFS(RC_Lane,B332,RC_Band,E332,RC_Transit,"&lt;&gt;")=0,"",SUMIFS(RC_Transit,RC_Lane,B332,RC_Band,E332)),IF(U332="Other","",IF(INDEX(RS_Transit,MATCH(B332,RS_Lane,0))="","",INDEX(RS_Transit,MATCH(B332,RS_Lane,0))))))</f>
        <v>1</v>
      </c>
      <c r="P332" s="36"/>
      <c r="Q332" s="31" t="n">
        <f aca="false">IF(P332&lt;&gt;"",P332,IF(O332="","",WORKDAY.INTL(L332,ROUNDUP(O332,0),INDEX(LR_Code,MATCH(B332,LR_Lane,0)),INDEX(DH_Table,0,MATCH(B332&amp;"*",DH_Head,0)))))</f>
        <v>46752</v>
      </c>
      <c r="R332" s="37" t="str">
        <f aca="false">IF(Q332="","",IF(Q332&lt;=N332,"Yes","No"))</f>
        <v>Yes</v>
      </c>
      <c r="S332" s="26" t="n">
        <f aca="false">IF(Q332="","",IF(Q332&lt;=N332,0,NETWORKDAYS.INTL(N332,Q332,INDEX(LR_Code,MATCH(B332,LR_Lane,0)),INDEX(DH_Table,0,MATCH(B332&amp;"*",DH_Head,0)))-1))</f>
        <v>0</v>
      </c>
      <c r="T332" s="4"/>
      <c r="U332" s="25" t="str">
        <f aca="false">IF(V332&lt;&gt;"",V332,IF(IFERROR(INDEX(RS_Flag,MATCH(B332,RS_Lane,0)),"")="Yes",IF(IFERROR(INDEX(RS_Loc,MATCH(B332,RS_Lane,0)),"")="","Regional stock",IFERROR(INDEX(RS_Loc,MATCH(B332,RS_Lane,0)),"")),"Helmond"))</f>
        <v>Helmond</v>
      </c>
      <c r="V332" s="17"/>
      <c r="W332" s="38"/>
      <c r="X332" s="39"/>
      <c r="Y332" s="40" t="n">
        <f aca="false">IF(X332&lt;&gt;"",X332,IF(U332="Helmond",IF(COUNTIFS(RC_Lane,B332,RC_Band,E332,RC_CostPS,"&gt;0")=0,"",SUMIFS(RC_CostPS,RC_Lane,B332,RC_Band,E332)*(1-SUMIFS(RC_Disc,RC_Lane,B332,RC_Band,E332))),IF(U332="Other","",IF(INDEX(RS_Rate,MATCH(B332,RS_Lane,0))="","",INDEX(RS_Rate,MATCH(B332,RS_Lane,0))))))</f>
        <v>72.485</v>
      </c>
    </row>
    <row r="333" customFormat="false" ht="15" hidden="false" customHeight="false" outlineLevel="0" collapsed="false">
      <c r="A333" s="3" t="s">
        <v>742</v>
      </c>
      <c r="B333" s="25" t="s">
        <v>121</v>
      </c>
      <c r="C333" s="8" t="s">
        <v>122</v>
      </c>
      <c r="D333" s="8" t="s">
        <v>278</v>
      </c>
      <c r="E333" s="8" t="s">
        <v>183</v>
      </c>
      <c r="F333" s="19" t="n">
        <v>941.5</v>
      </c>
      <c r="G333" s="33" t="n">
        <f aca="false">F333*0.006477</f>
        <v>6.0980955</v>
      </c>
      <c r="H333" s="19" t="n">
        <f aca="false">F333*1.079436</f>
        <v>1016.288994</v>
      </c>
      <c r="I333" s="18" t="n">
        <f aca="false">MAX(1,ROUNDUP(G333/0.096,0))</f>
        <v>64</v>
      </c>
      <c r="J333" s="31" t="n">
        <v>46752</v>
      </c>
      <c r="K333" s="34" t="n">
        <f aca="false">J333-WEEKDAY(J333,2)+1</f>
        <v>46748</v>
      </c>
      <c r="L333" s="31" t="n">
        <f aca="false">J333</f>
        <v>46752</v>
      </c>
      <c r="M333" s="26" t="n">
        <f aca="false">INDEX(LR_Target,MATCH(B333,LR_Lane,0))</f>
        <v>3</v>
      </c>
      <c r="N333" s="31" t="n">
        <f aca="false">WORKDAY.INTL(L333,M333,INDEX(LR_Code,MATCH(B333,LR_Lane,0)),INDEX(DH_Table,0,MATCH(B333&amp;"*",DH_Head,0)))</f>
        <v>46757</v>
      </c>
      <c r="O333" s="35" t="n">
        <f aca="false">IF(W333&lt;&gt;"",W333,IF(U333="Helmond",IF(COUNTIFS(RC_Lane,B333,RC_Band,E333,RC_Transit,"&lt;&gt;")=0,"",SUMIFS(RC_Transit,RC_Lane,B333,RC_Band,E333)),IF(U333="Other","",IF(INDEX(RS_Transit,MATCH(B333,RS_Lane,0))="","",INDEX(RS_Transit,MATCH(B333,RS_Lane,0))))))</f>
        <v>4</v>
      </c>
      <c r="P333" s="36"/>
      <c r="Q333" s="31" t="n">
        <f aca="false">IF(P333&lt;&gt;"",P333,IF(O333="","",WORKDAY.INTL(L333,ROUNDUP(O333,0),INDEX(LR_Code,MATCH(B333,LR_Lane,0)),INDEX(DH_Table,0,MATCH(B333&amp;"*",DH_Head,0)))))</f>
        <v>46758</v>
      </c>
      <c r="R333" s="37" t="str">
        <f aca="false">IF(Q333="","",IF(Q333&lt;=N333,"Yes","No"))</f>
        <v>No</v>
      </c>
      <c r="S333" s="26" t="n">
        <f aca="false">IF(Q333="","",IF(Q333&lt;=N333,0,NETWORKDAYS.INTL(N333,Q333,INDEX(LR_Code,MATCH(B333,LR_Lane,0)),INDEX(DH_Table,0,MATCH(B333&amp;"*",DH_Head,0)))-1))</f>
        <v>1</v>
      </c>
      <c r="T333" s="4"/>
      <c r="U333" s="25" t="str">
        <f aca="false">IF(V333&lt;&gt;"",V333,IF(IFERROR(INDEX(RS_Flag,MATCH(B333,RS_Lane,0)),"")="Yes",IF(IFERROR(INDEX(RS_Loc,MATCH(B333,RS_Lane,0)),"")="","Regional stock",IFERROR(INDEX(RS_Loc,MATCH(B333,RS_Lane,0)),"")),"Helmond"))</f>
        <v>Helmond</v>
      </c>
      <c r="V333" s="17"/>
      <c r="W333" s="38"/>
      <c r="X333" s="39"/>
      <c r="Y333" s="40" t="n">
        <f aca="false">IF(X333&lt;&gt;"",X333,IF(U333="Helmond",IF(COUNTIFS(RC_Lane,B333,RC_Band,E333,RC_CostPS,"&gt;0")=0,"",SUMIFS(RC_CostPS,RC_Lane,B333,RC_Band,E333)*(1-SUMIFS(RC_Disc,RC_Lane,B333,RC_Band,E333))),IF(U333="Other","",IF(INDEX(RS_Rate,MATCH(B333,RS_Lane,0))="","",INDEX(RS_Rate,MATCH(B333,RS_Lane,0))))))</f>
        <v>4383.98552</v>
      </c>
    </row>
    <row r="334" customFormat="false" ht="15" hidden="false" customHeight="false" outlineLevel="0" collapsed="false">
      <c r="A334" s="20" t="str">
        <f aca="false">COUNTA(A5:A333)&amp;" shipments"</f>
        <v>329 shipments</v>
      </c>
      <c r="B334" s="21"/>
      <c r="C334" s="21"/>
      <c r="D334" s="21"/>
      <c r="E334" s="21"/>
      <c r="F334" s="22" t="n">
        <f aca="false">SUM(F5:F333)</f>
        <v>60470.1</v>
      </c>
      <c r="G334" s="23" t="n">
        <f aca="false">SUM(G5:G333)</f>
        <v>391.6648377</v>
      </c>
      <c r="H334" s="22" t="n">
        <f aca="false">SUM(H5:H333)</f>
        <v>65273.6028636</v>
      </c>
      <c r="I334" s="22" t="n">
        <f aca="false">SUM(I5:I333)</f>
        <v>4243</v>
      </c>
      <c r="J334" s="21"/>
      <c r="K334" s="21"/>
      <c r="L334" s="21"/>
      <c r="M334" s="21"/>
      <c r="N334" s="21"/>
      <c r="O334" s="21"/>
      <c r="P334" s="21"/>
      <c r="Q334" s="21"/>
      <c r="R334" s="21"/>
      <c r="S334" s="21"/>
      <c r="T334" s="21"/>
      <c r="U334" s="41" t="str">
        <f aca="false">COUNTIF(U5:U333,"&lt;&gt;Helmond")&amp;" not from Helmond"</f>
        <v>0 not from Helmond</v>
      </c>
      <c r="V334" s="21"/>
      <c r="W334" s="21"/>
      <c r="X334" s="21"/>
      <c r="Y334" s="42" t="n">
        <f aca="false">SUM(Y5:Y333)</f>
        <v>243169.23083</v>
      </c>
    </row>
  </sheetData>
  <sheetProtection sheet="true" formatColumns="false" formatRows="false" sort="false" autoFilter="false"/>
  <autoFilter ref="A4:Y333"/>
  <conditionalFormatting sqref="R5:R333">
    <cfRule type="expression" priority="2" aboveAverage="0" equalAverage="0" bottom="0" percent="0" rank="0" text="" dxfId="8">
      <formula>R5="Yes"</formula>
    </cfRule>
    <cfRule type="expression" priority="3" aboveAverage="0" equalAverage="0" bottom="0" percent="0" rank="0" text="" dxfId="9">
      <formula>R5="No"</formula>
    </cfRule>
  </conditionalFormatting>
  <dataValidations count="2">
    <dataValidation allowBlank="true" errorStyle="stop" operator="between" showDropDown="false" showErrorMessage="false" showInputMessage="false" sqref="P5:P333" type="date">
      <formula1>DATE(2027,1,1)</formula1>
      <formula2>DATE(2028,3,31)</formula2>
    </dataValidation>
    <dataValidation allowBlank="true" errorStyle="stop" operator="between" showDropDown="false" showErrorMessage="false" showInputMessage="false" sqref="V5:V333" type="list">
      <formula1>"Helmond,W1,W2,W3,Other"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4"/>
    <col collapsed="false" customWidth="true" hidden="false" outlineLevel="0" max="15" min="4" style="0" width="8"/>
    <col collapsed="false" customWidth="true" hidden="false" outlineLevel="0" max="16" min="16" style="0" width="10"/>
  </cols>
  <sheetData>
    <row r="1" customFormat="false" ht="19.7" hidden="false" customHeight="false" outlineLevel="0" collapsed="false">
      <c r="A1" s="1" t="s">
        <v>743</v>
      </c>
    </row>
    <row r="2" customFormat="false" ht="15" hidden="false" customHeight="false" outlineLevel="0" collapsed="false">
      <c r="A2" s="2" t="s">
        <v>744</v>
      </c>
    </row>
    <row r="4" customFormat="false" ht="15" hidden="false" customHeight="false" outlineLevel="0" collapsed="false">
      <c r="A4" s="10" t="s">
        <v>745</v>
      </c>
    </row>
    <row r="5" customFormat="false" ht="30" hidden="false" customHeight="true" outlineLevel="0" collapsed="false">
      <c r="A5" s="11" t="s">
        <v>101</v>
      </c>
      <c r="B5" s="11" t="s">
        <v>191</v>
      </c>
      <c r="C5" s="11" t="s">
        <v>746</v>
      </c>
      <c r="D5" s="11" t="s">
        <v>747</v>
      </c>
      <c r="E5" s="11" t="s">
        <v>748</v>
      </c>
      <c r="F5" s="11" t="s">
        <v>749</v>
      </c>
      <c r="G5" s="11" t="s">
        <v>750</v>
      </c>
      <c r="H5" s="11" t="s">
        <v>751</v>
      </c>
      <c r="I5" s="11" t="s">
        <v>752</v>
      </c>
      <c r="J5" s="11" t="s">
        <v>753</v>
      </c>
      <c r="K5" s="11" t="s">
        <v>754</v>
      </c>
      <c r="L5" s="11" t="s">
        <v>755</v>
      </c>
      <c r="M5" s="11" t="s">
        <v>756</v>
      </c>
      <c r="N5" s="11" t="s">
        <v>757</v>
      </c>
      <c r="O5" s="11" t="s">
        <v>758</v>
      </c>
      <c r="P5" s="11" t="s">
        <v>214</v>
      </c>
    </row>
    <row r="6" customFormat="false" ht="15" hidden="false" customHeight="false" outlineLevel="0" collapsed="false">
      <c r="A6" s="3" t="s">
        <v>108</v>
      </c>
      <c r="B6" s="8" t="s">
        <v>109</v>
      </c>
      <c r="C6" s="43" t="n">
        <f aca="false">COUNTIFS(SA_Lane,$A6,SA_Date,"&gt;="&amp;DATE(2027,1,1),SA_Date,"&lt;"&amp;DATE(2027,2,1))</f>
        <v>5</v>
      </c>
      <c r="D6" s="43" t="n">
        <f aca="false">COUNTIFS(SA_Lane,$A6,SA_Date,"&gt;="&amp;DATE(2027,2,1),SA_Date,"&lt;"&amp;DATE(2027,3,1))</f>
        <v>4</v>
      </c>
      <c r="E6" s="43" t="n">
        <f aca="false">COUNTIFS(SA_Lane,$A6,SA_Date,"&gt;="&amp;DATE(2027,3,1),SA_Date,"&lt;"&amp;DATE(2027,4,1))</f>
        <v>3</v>
      </c>
      <c r="F6" s="43" t="n">
        <f aca="false">COUNTIFS(SA_Lane,$A6,SA_Date,"&gt;="&amp;DATE(2027,4,1),SA_Date,"&lt;"&amp;DATE(2027,5,1))</f>
        <v>5</v>
      </c>
      <c r="G6" s="43" t="n">
        <f aca="false">COUNTIFS(SA_Lane,$A6,SA_Date,"&gt;="&amp;DATE(2027,5,1),SA_Date,"&lt;"&amp;DATE(2027,6,1))</f>
        <v>4</v>
      </c>
      <c r="H6" s="43" t="n">
        <f aca="false">COUNTIFS(SA_Lane,$A6,SA_Date,"&gt;="&amp;DATE(2027,6,1),SA_Date,"&lt;"&amp;DATE(2027,7,1))</f>
        <v>4</v>
      </c>
      <c r="I6" s="43" t="n">
        <f aca="false">COUNTIFS(SA_Lane,$A6,SA_Date,"&gt;="&amp;DATE(2027,7,1),SA_Date,"&lt;"&amp;DATE(2027,8,1))</f>
        <v>3</v>
      </c>
      <c r="J6" s="43" t="n">
        <f aca="false">COUNTIFS(SA_Lane,$A6,SA_Date,"&gt;="&amp;DATE(2027,8,1),SA_Date,"&lt;"&amp;DATE(2027,9,1))</f>
        <v>3</v>
      </c>
      <c r="K6" s="43" t="n">
        <f aca="false">COUNTIFS(SA_Lane,$A6,SA_Date,"&gt;="&amp;DATE(2027,9,1),SA_Date,"&lt;"&amp;DATE(2027,10,1))</f>
        <v>5</v>
      </c>
      <c r="L6" s="43" t="n">
        <f aca="false">COUNTIFS(SA_Lane,$A6,SA_Date,"&gt;="&amp;DATE(2027,10,1),SA_Date,"&lt;"&amp;DATE(2027,11,1))</f>
        <v>6</v>
      </c>
      <c r="M6" s="43" t="n">
        <f aca="false">COUNTIFS(SA_Lane,$A6,SA_Date,"&gt;="&amp;DATE(2027,11,1),SA_Date,"&lt;"&amp;DATE(2027,12,1))</f>
        <v>5</v>
      </c>
      <c r="N6" s="43" t="n">
        <f aca="false">COUNTIFS(SA_Lane,$A6,SA_Date,"&gt;="&amp;DATE(2027,12,1),SA_Date,"&lt;"&amp;DATE(2028,1,1))</f>
        <v>3</v>
      </c>
      <c r="O6" s="44" t="n">
        <f aca="false">SUM(C6:N6)</f>
        <v>50</v>
      </c>
      <c r="P6" s="44" t="n">
        <f aca="false">MAX(C6:N6)</f>
        <v>6</v>
      </c>
    </row>
    <row r="7" customFormat="false" ht="15" hidden="false" customHeight="false" outlineLevel="0" collapsed="false">
      <c r="A7" s="3" t="s">
        <v>112</v>
      </c>
      <c r="B7" s="8" t="s">
        <v>113</v>
      </c>
      <c r="C7" s="43" t="n">
        <f aca="false">COUNTIFS(SA_Lane,$A7,SA_Date,"&gt;="&amp;DATE(2027,1,1),SA_Date,"&lt;"&amp;DATE(2027,2,1))</f>
        <v>3</v>
      </c>
      <c r="D7" s="43" t="n">
        <f aca="false">COUNTIFS(SA_Lane,$A7,SA_Date,"&gt;="&amp;DATE(2027,2,1),SA_Date,"&lt;"&amp;DATE(2027,3,1))</f>
        <v>3</v>
      </c>
      <c r="E7" s="43" t="n">
        <f aca="false">COUNTIFS(SA_Lane,$A7,SA_Date,"&gt;="&amp;DATE(2027,3,1),SA_Date,"&lt;"&amp;DATE(2027,4,1))</f>
        <v>2</v>
      </c>
      <c r="F7" s="43" t="n">
        <f aca="false">COUNTIFS(SA_Lane,$A7,SA_Date,"&gt;="&amp;DATE(2027,4,1),SA_Date,"&lt;"&amp;DATE(2027,5,1))</f>
        <v>4</v>
      </c>
      <c r="G7" s="43" t="n">
        <f aca="false">COUNTIFS(SA_Lane,$A7,SA_Date,"&gt;="&amp;DATE(2027,5,1),SA_Date,"&lt;"&amp;DATE(2027,6,1))</f>
        <v>3</v>
      </c>
      <c r="H7" s="43" t="n">
        <f aca="false">COUNTIFS(SA_Lane,$A7,SA_Date,"&gt;="&amp;DATE(2027,6,1),SA_Date,"&lt;"&amp;DATE(2027,7,1))</f>
        <v>3</v>
      </c>
      <c r="I7" s="43" t="n">
        <f aca="false">COUNTIFS(SA_Lane,$A7,SA_Date,"&gt;="&amp;DATE(2027,7,1),SA_Date,"&lt;"&amp;DATE(2027,8,1))</f>
        <v>3</v>
      </c>
      <c r="J7" s="43" t="n">
        <f aca="false">COUNTIFS(SA_Lane,$A7,SA_Date,"&gt;="&amp;DATE(2027,8,1),SA_Date,"&lt;"&amp;DATE(2027,9,1))</f>
        <v>2</v>
      </c>
      <c r="K7" s="43" t="n">
        <f aca="false">COUNTIFS(SA_Lane,$A7,SA_Date,"&gt;="&amp;DATE(2027,9,1),SA_Date,"&lt;"&amp;DATE(2027,10,1))</f>
        <v>4</v>
      </c>
      <c r="L7" s="43" t="n">
        <f aca="false">COUNTIFS(SA_Lane,$A7,SA_Date,"&gt;="&amp;DATE(2027,10,1),SA_Date,"&lt;"&amp;DATE(2027,11,1))</f>
        <v>4</v>
      </c>
      <c r="M7" s="43" t="n">
        <f aca="false">COUNTIFS(SA_Lane,$A7,SA_Date,"&gt;="&amp;DATE(2027,11,1),SA_Date,"&lt;"&amp;DATE(2027,12,1))</f>
        <v>3</v>
      </c>
      <c r="N7" s="43" t="n">
        <f aca="false">COUNTIFS(SA_Lane,$A7,SA_Date,"&gt;="&amp;DATE(2027,12,1),SA_Date,"&lt;"&amp;DATE(2028,1,1))</f>
        <v>2</v>
      </c>
      <c r="O7" s="44" t="n">
        <f aca="false">SUM(C7:N7)</f>
        <v>36</v>
      </c>
      <c r="P7" s="44" t="n">
        <f aca="false">MAX(C7:N7)</f>
        <v>4</v>
      </c>
    </row>
    <row r="8" customFormat="false" ht="15" hidden="false" customHeight="false" outlineLevel="0" collapsed="false">
      <c r="A8" s="3" t="s">
        <v>115</v>
      </c>
      <c r="B8" s="8" t="s">
        <v>116</v>
      </c>
      <c r="C8" s="43" t="n">
        <f aca="false">COUNTIFS(SA_Lane,$A8,SA_Date,"&gt;="&amp;DATE(2027,1,1),SA_Date,"&lt;"&amp;DATE(2027,2,1))</f>
        <v>1</v>
      </c>
      <c r="D8" s="43" t="n">
        <f aca="false">COUNTIFS(SA_Lane,$A8,SA_Date,"&gt;="&amp;DATE(2027,2,1),SA_Date,"&lt;"&amp;DATE(2027,3,1))</f>
        <v>1</v>
      </c>
      <c r="E8" s="43" t="n">
        <f aca="false">COUNTIFS(SA_Lane,$A8,SA_Date,"&gt;="&amp;DATE(2027,3,1),SA_Date,"&lt;"&amp;DATE(2027,4,1))</f>
        <v>0</v>
      </c>
      <c r="F8" s="43" t="n">
        <f aca="false">COUNTIFS(SA_Lane,$A8,SA_Date,"&gt;="&amp;DATE(2027,4,1),SA_Date,"&lt;"&amp;DATE(2027,5,1))</f>
        <v>1</v>
      </c>
      <c r="G8" s="43" t="n">
        <f aca="false">COUNTIFS(SA_Lane,$A8,SA_Date,"&gt;="&amp;DATE(2027,5,1),SA_Date,"&lt;"&amp;DATE(2027,6,1))</f>
        <v>1</v>
      </c>
      <c r="H8" s="43" t="n">
        <f aca="false">COUNTIFS(SA_Lane,$A8,SA_Date,"&gt;="&amp;DATE(2027,6,1),SA_Date,"&lt;"&amp;DATE(2027,7,1))</f>
        <v>1</v>
      </c>
      <c r="I8" s="43" t="n">
        <f aca="false">COUNTIFS(SA_Lane,$A8,SA_Date,"&gt;="&amp;DATE(2027,7,1),SA_Date,"&lt;"&amp;DATE(2027,8,1))</f>
        <v>1</v>
      </c>
      <c r="J8" s="43" t="n">
        <f aca="false">COUNTIFS(SA_Lane,$A8,SA_Date,"&gt;="&amp;DATE(2027,8,1),SA_Date,"&lt;"&amp;DATE(2027,9,1))</f>
        <v>0</v>
      </c>
      <c r="K8" s="43" t="n">
        <f aca="false">COUNTIFS(SA_Lane,$A8,SA_Date,"&gt;="&amp;DATE(2027,9,1),SA_Date,"&lt;"&amp;DATE(2027,10,1))</f>
        <v>2</v>
      </c>
      <c r="L8" s="43" t="n">
        <f aca="false">COUNTIFS(SA_Lane,$A8,SA_Date,"&gt;="&amp;DATE(2027,10,1),SA_Date,"&lt;"&amp;DATE(2027,11,1))</f>
        <v>2</v>
      </c>
      <c r="M8" s="43" t="n">
        <f aca="false">COUNTIFS(SA_Lane,$A8,SA_Date,"&gt;="&amp;DATE(2027,11,1),SA_Date,"&lt;"&amp;DATE(2027,12,1))</f>
        <v>1</v>
      </c>
      <c r="N8" s="43" t="n">
        <f aca="false">COUNTIFS(SA_Lane,$A8,SA_Date,"&gt;="&amp;DATE(2027,12,1),SA_Date,"&lt;"&amp;DATE(2028,1,1))</f>
        <v>1</v>
      </c>
      <c r="O8" s="44" t="n">
        <f aca="false">SUM(C8:N8)</f>
        <v>12</v>
      </c>
      <c r="P8" s="44" t="n">
        <f aca="false">MAX(C8:N8)</f>
        <v>2</v>
      </c>
    </row>
    <row r="9" customFormat="false" ht="15" hidden="false" customHeight="false" outlineLevel="0" collapsed="false">
      <c r="A9" s="3" t="s">
        <v>117</v>
      </c>
      <c r="B9" s="8" t="s">
        <v>118</v>
      </c>
      <c r="C9" s="43" t="n">
        <f aca="false">COUNTIFS(SA_Lane,$A9,SA_Date,"&gt;="&amp;DATE(2027,1,1),SA_Date,"&lt;"&amp;DATE(2027,2,1))</f>
        <v>1</v>
      </c>
      <c r="D9" s="43" t="n">
        <f aca="false">COUNTIFS(SA_Lane,$A9,SA_Date,"&gt;="&amp;DATE(2027,2,1),SA_Date,"&lt;"&amp;DATE(2027,3,1))</f>
        <v>1</v>
      </c>
      <c r="E9" s="43" t="n">
        <f aca="false">COUNTIFS(SA_Lane,$A9,SA_Date,"&gt;="&amp;DATE(2027,3,1),SA_Date,"&lt;"&amp;DATE(2027,4,1))</f>
        <v>1</v>
      </c>
      <c r="F9" s="43" t="n">
        <f aca="false">COUNTIFS(SA_Lane,$A9,SA_Date,"&gt;="&amp;DATE(2027,4,1),SA_Date,"&lt;"&amp;DATE(2027,5,1))</f>
        <v>1</v>
      </c>
      <c r="G9" s="43" t="n">
        <f aca="false">COUNTIFS(SA_Lane,$A9,SA_Date,"&gt;="&amp;DATE(2027,5,1),SA_Date,"&lt;"&amp;DATE(2027,6,1))</f>
        <v>1</v>
      </c>
      <c r="H9" s="43" t="n">
        <f aca="false">COUNTIFS(SA_Lane,$A9,SA_Date,"&gt;="&amp;DATE(2027,6,1),SA_Date,"&lt;"&amp;DATE(2027,7,1))</f>
        <v>1</v>
      </c>
      <c r="I9" s="43" t="n">
        <f aca="false">COUNTIFS(SA_Lane,$A9,SA_Date,"&gt;="&amp;DATE(2027,7,1),SA_Date,"&lt;"&amp;DATE(2027,8,1))</f>
        <v>1</v>
      </c>
      <c r="J9" s="43" t="n">
        <f aca="false">COUNTIFS(SA_Lane,$A9,SA_Date,"&gt;="&amp;DATE(2027,8,1),SA_Date,"&lt;"&amp;DATE(2027,9,1))</f>
        <v>0</v>
      </c>
      <c r="K9" s="43" t="n">
        <f aca="false">COUNTIFS(SA_Lane,$A9,SA_Date,"&gt;="&amp;DATE(2027,9,1),SA_Date,"&lt;"&amp;DATE(2027,10,1))</f>
        <v>1</v>
      </c>
      <c r="L9" s="43" t="n">
        <f aca="false">COUNTIFS(SA_Lane,$A9,SA_Date,"&gt;="&amp;DATE(2027,10,1),SA_Date,"&lt;"&amp;DATE(2027,11,1))</f>
        <v>1</v>
      </c>
      <c r="M9" s="43" t="n">
        <f aca="false">COUNTIFS(SA_Lane,$A9,SA_Date,"&gt;="&amp;DATE(2027,11,1),SA_Date,"&lt;"&amp;DATE(2027,12,1))</f>
        <v>1</v>
      </c>
      <c r="N9" s="43" t="n">
        <f aca="false">COUNTIFS(SA_Lane,$A9,SA_Date,"&gt;="&amp;DATE(2027,12,1),SA_Date,"&lt;"&amp;DATE(2028,1,1))</f>
        <v>0</v>
      </c>
      <c r="O9" s="44" t="n">
        <f aca="false">SUM(C9:N9)</f>
        <v>10</v>
      </c>
      <c r="P9" s="44" t="n">
        <f aca="false">MAX(C9:N9)</f>
        <v>1</v>
      </c>
    </row>
    <row r="10" customFormat="false" ht="15" hidden="false" customHeight="false" outlineLevel="0" collapsed="false">
      <c r="A10" s="3" t="s">
        <v>119</v>
      </c>
      <c r="B10" s="8" t="s">
        <v>120</v>
      </c>
      <c r="C10" s="43" t="n">
        <f aca="false">COUNTIFS(SA_Lane,$A10,SA_Date,"&gt;="&amp;DATE(2027,1,1),SA_Date,"&lt;"&amp;DATE(2027,2,1))</f>
        <v>1</v>
      </c>
      <c r="D10" s="43" t="n">
        <f aca="false">COUNTIFS(SA_Lane,$A10,SA_Date,"&gt;="&amp;DATE(2027,2,1),SA_Date,"&lt;"&amp;DATE(2027,3,1))</f>
        <v>1</v>
      </c>
      <c r="E10" s="43" t="n">
        <f aca="false">COUNTIFS(SA_Lane,$A10,SA_Date,"&gt;="&amp;DATE(2027,3,1),SA_Date,"&lt;"&amp;DATE(2027,4,1))</f>
        <v>1</v>
      </c>
      <c r="F10" s="43" t="n">
        <f aca="false">COUNTIFS(SA_Lane,$A10,SA_Date,"&gt;="&amp;DATE(2027,4,1),SA_Date,"&lt;"&amp;DATE(2027,5,1))</f>
        <v>2</v>
      </c>
      <c r="G10" s="43" t="n">
        <f aca="false">COUNTIFS(SA_Lane,$A10,SA_Date,"&gt;="&amp;DATE(2027,5,1),SA_Date,"&lt;"&amp;DATE(2027,6,1))</f>
        <v>1</v>
      </c>
      <c r="H10" s="43" t="n">
        <f aca="false">COUNTIFS(SA_Lane,$A10,SA_Date,"&gt;="&amp;DATE(2027,6,1),SA_Date,"&lt;"&amp;DATE(2027,7,1))</f>
        <v>1</v>
      </c>
      <c r="I10" s="43" t="n">
        <f aca="false">COUNTIFS(SA_Lane,$A10,SA_Date,"&gt;="&amp;DATE(2027,7,1),SA_Date,"&lt;"&amp;DATE(2027,8,1))</f>
        <v>1</v>
      </c>
      <c r="J10" s="43" t="n">
        <f aca="false">COUNTIFS(SA_Lane,$A10,SA_Date,"&gt;="&amp;DATE(2027,8,1),SA_Date,"&lt;"&amp;DATE(2027,9,1))</f>
        <v>1</v>
      </c>
      <c r="K10" s="43" t="n">
        <f aca="false">COUNTIFS(SA_Lane,$A10,SA_Date,"&gt;="&amp;DATE(2027,9,1),SA_Date,"&lt;"&amp;DATE(2027,10,1))</f>
        <v>2</v>
      </c>
      <c r="L10" s="43" t="n">
        <f aca="false">COUNTIFS(SA_Lane,$A10,SA_Date,"&gt;="&amp;DATE(2027,10,1),SA_Date,"&lt;"&amp;DATE(2027,11,1))</f>
        <v>2</v>
      </c>
      <c r="M10" s="43" t="n">
        <f aca="false">COUNTIFS(SA_Lane,$A10,SA_Date,"&gt;="&amp;DATE(2027,11,1),SA_Date,"&lt;"&amp;DATE(2027,12,1))</f>
        <v>2</v>
      </c>
      <c r="N10" s="43" t="n">
        <f aca="false">COUNTIFS(SA_Lane,$A10,SA_Date,"&gt;="&amp;DATE(2027,12,1),SA_Date,"&lt;"&amp;DATE(2028,1,1))</f>
        <v>1</v>
      </c>
      <c r="O10" s="44" t="n">
        <f aca="false">SUM(C10:N10)</f>
        <v>16</v>
      </c>
      <c r="P10" s="44" t="n">
        <f aca="false">MAX(C10:N10)</f>
        <v>2</v>
      </c>
    </row>
    <row r="11" customFormat="false" ht="15" hidden="false" customHeight="false" outlineLevel="0" collapsed="false">
      <c r="A11" s="3" t="s">
        <v>121</v>
      </c>
      <c r="B11" s="8" t="s">
        <v>122</v>
      </c>
      <c r="C11" s="43" t="n">
        <f aca="false">COUNTIFS(SA_Lane,$A11,SA_Date,"&gt;="&amp;DATE(2027,1,1),SA_Date,"&lt;"&amp;DATE(2027,2,1))</f>
        <v>1</v>
      </c>
      <c r="D11" s="43" t="n">
        <f aca="false">COUNTIFS(SA_Lane,$A11,SA_Date,"&gt;="&amp;DATE(2027,2,1),SA_Date,"&lt;"&amp;DATE(2027,3,1))</f>
        <v>1</v>
      </c>
      <c r="E11" s="43" t="n">
        <f aca="false">COUNTIFS(SA_Lane,$A11,SA_Date,"&gt;="&amp;DATE(2027,3,1),SA_Date,"&lt;"&amp;DATE(2027,4,1))</f>
        <v>1</v>
      </c>
      <c r="F11" s="43" t="n">
        <f aca="false">COUNTIFS(SA_Lane,$A11,SA_Date,"&gt;="&amp;DATE(2027,4,1),SA_Date,"&lt;"&amp;DATE(2027,5,1))</f>
        <v>1</v>
      </c>
      <c r="G11" s="43" t="n">
        <f aca="false">COUNTIFS(SA_Lane,$A11,SA_Date,"&gt;="&amp;DATE(2027,5,1),SA_Date,"&lt;"&amp;DATE(2027,6,1))</f>
        <v>0</v>
      </c>
      <c r="H11" s="43" t="n">
        <f aca="false">COUNTIFS(SA_Lane,$A11,SA_Date,"&gt;="&amp;DATE(2027,6,1),SA_Date,"&lt;"&amp;DATE(2027,7,1))</f>
        <v>0</v>
      </c>
      <c r="I11" s="43" t="n">
        <f aca="false">COUNTIFS(SA_Lane,$A11,SA_Date,"&gt;="&amp;DATE(2027,7,1),SA_Date,"&lt;"&amp;DATE(2027,8,1))</f>
        <v>0</v>
      </c>
      <c r="J11" s="43" t="n">
        <f aca="false">COUNTIFS(SA_Lane,$A11,SA_Date,"&gt;="&amp;DATE(2027,8,1),SA_Date,"&lt;"&amp;DATE(2027,9,1))</f>
        <v>1</v>
      </c>
      <c r="K11" s="43" t="n">
        <f aca="false">COUNTIFS(SA_Lane,$A11,SA_Date,"&gt;="&amp;DATE(2027,9,1),SA_Date,"&lt;"&amp;DATE(2027,10,1))</f>
        <v>1</v>
      </c>
      <c r="L11" s="43" t="n">
        <f aca="false">COUNTIFS(SA_Lane,$A11,SA_Date,"&gt;="&amp;DATE(2027,10,1),SA_Date,"&lt;"&amp;DATE(2027,11,1))</f>
        <v>0</v>
      </c>
      <c r="M11" s="43" t="n">
        <f aca="false">COUNTIFS(SA_Lane,$A11,SA_Date,"&gt;="&amp;DATE(2027,11,1),SA_Date,"&lt;"&amp;DATE(2027,12,1))</f>
        <v>0</v>
      </c>
      <c r="N11" s="43" t="n">
        <f aca="false">COUNTIFS(SA_Lane,$A11,SA_Date,"&gt;="&amp;DATE(2027,12,1),SA_Date,"&lt;"&amp;DATE(2028,1,1))</f>
        <v>0</v>
      </c>
      <c r="O11" s="44" t="n">
        <f aca="false">SUM(C11:N11)</f>
        <v>6</v>
      </c>
      <c r="P11" s="44" t="n">
        <f aca="false">MAX(C11:N11)</f>
        <v>1</v>
      </c>
    </row>
    <row r="12" customFormat="false" ht="15" hidden="false" customHeight="false" outlineLevel="0" collapsed="false">
      <c r="A12" s="3" t="s">
        <v>124</v>
      </c>
      <c r="B12" s="8" t="s">
        <v>125</v>
      </c>
      <c r="C12" s="43" t="n">
        <f aca="false">COUNTIFS(SA_Lane,$A12,SA_Date,"&gt;="&amp;DATE(2027,1,1),SA_Date,"&lt;"&amp;DATE(2027,2,1))</f>
        <v>1</v>
      </c>
      <c r="D12" s="43" t="n">
        <f aca="false">COUNTIFS(SA_Lane,$A12,SA_Date,"&gt;="&amp;DATE(2027,2,1),SA_Date,"&lt;"&amp;DATE(2027,3,1))</f>
        <v>0</v>
      </c>
      <c r="E12" s="43" t="n">
        <f aca="false">COUNTIFS(SA_Lane,$A12,SA_Date,"&gt;="&amp;DATE(2027,3,1),SA_Date,"&lt;"&amp;DATE(2027,4,1))</f>
        <v>0</v>
      </c>
      <c r="F12" s="43" t="n">
        <f aca="false">COUNTIFS(SA_Lane,$A12,SA_Date,"&gt;="&amp;DATE(2027,4,1),SA_Date,"&lt;"&amp;DATE(2027,5,1))</f>
        <v>1</v>
      </c>
      <c r="G12" s="43" t="n">
        <f aca="false">COUNTIFS(SA_Lane,$A12,SA_Date,"&gt;="&amp;DATE(2027,5,1),SA_Date,"&lt;"&amp;DATE(2027,6,1))</f>
        <v>0</v>
      </c>
      <c r="H12" s="43" t="n">
        <f aca="false">COUNTIFS(SA_Lane,$A12,SA_Date,"&gt;="&amp;DATE(2027,6,1),SA_Date,"&lt;"&amp;DATE(2027,7,1))</f>
        <v>0</v>
      </c>
      <c r="I12" s="43" t="n">
        <f aca="false">COUNTIFS(SA_Lane,$A12,SA_Date,"&gt;="&amp;DATE(2027,7,1),SA_Date,"&lt;"&amp;DATE(2027,8,1))</f>
        <v>0</v>
      </c>
      <c r="J12" s="43" t="n">
        <f aca="false">COUNTIFS(SA_Lane,$A12,SA_Date,"&gt;="&amp;DATE(2027,8,1),SA_Date,"&lt;"&amp;DATE(2027,9,1))</f>
        <v>1</v>
      </c>
      <c r="K12" s="43" t="n">
        <f aca="false">COUNTIFS(SA_Lane,$A12,SA_Date,"&gt;="&amp;DATE(2027,9,1),SA_Date,"&lt;"&amp;DATE(2027,10,1))</f>
        <v>0</v>
      </c>
      <c r="L12" s="43" t="n">
        <f aca="false">COUNTIFS(SA_Lane,$A12,SA_Date,"&gt;="&amp;DATE(2027,10,1),SA_Date,"&lt;"&amp;DATE(2027,11,1))</f>
        <v>0</v>
      </c>
      <c r="M12" s="43" t="n">
        <f aca="false">COUNTIFS(SA_Lane,$A12,SA_Date,"&gt;="&amp;DATE(2027,11,1),SA_Date,"&lt;"&amp;DATE(2027,12,1))</f>
        <v>1</v>
      </c>
      <c r="N12" s="43" t="n">
        <f aca="false">COUNTIFS(SA_Lane,$A12,SA_Date,"&gt;="&amp;DATE(2027,12,1),SA_Date,"&lt;"&amp;DATE(2028,1,1))</f>
        <v>0</v>
      </c>
      <c r="O12" s="44" t="n">
        <f aca="false">SUM(C12:N12)</f>
        <v>4</v>
      </c>
      <c r="P12" s="44" t="n">
        <f aca="false">MAX(C12:N12)</f>
        <v>1</v>
      </c>
    </row>
    <row r="13" customFormat="false" ht="15" hidden="false" customHeight="false" outlineLevel="0" collapsed="false">
      <c r="A13" s="3" t="s">
        <v>126</v>
      </c>
      <c r="B13" s="8" t="s">
        <v>127</v>
      </c>
      <c r="C13" s="43" t="n">
        <f aca="false">COUNTIFS(SA_Lane,$A13,SA_Date,"&gt;="&amp;DATE(2027,1,1),SA_Date,"&lt;"&amp;DATE(2027,2,1))</f>
        <v>0</v>
      </c>
      <c r="D13" s="43" t="n">
        <f aca="false">COUNTIFS(SA_Lane,$A13,SA_Date,"&gt;="&amp;DATE(2027,2,1),SA_Date,"&lt;"&amp;DATE(2027,3,1))</f>
        <v>1</v>
      </c>
      <c r="E13" s="43" t="n">
        <f aca="false">COUNTIFS(SA_Lane,$A13,SA_Date,"&gt;="&amp;DATE(2027,3,1),SA_Date,"&lt;"&amp;DATE(2027,4,1))</f>
        <v>1</v>
      </c>
      <c r="F13" s="43" t="n">
        <f aca="false">COUNTIFS(SA_Lane,$A13,SA_Date,"&gt;="&amp;DATE(2027,4,1),SA_Date,"&lt;"&amp;DATE(2027,5,1))</f>
        <v>0</v>
      </c>
      <c r="G13" s="43" t="n">
        <f aca="false">COUNTIFS(SA_Lane,$A13,SA_Date,"&gt;="&amp;DATE(2027,5,1),SA_Date,"&lt;"&amp;DATE(2027,6,1))</f>
        <v>0</v>
      </c>
      <c r="H13" s="43" t="n">
        <f aca="false">COUNTIFS(SA_Lane,$A13,SA_Date,"&gt;="&amp;DATE(2027,6,1),SA_Date,"&lt;"&amp;DATE(2027,7,1))</f>
        <v>1</v>
      </c>
      <c r="I13" s="43" t="n">
        <f aca="false">COUNTIFS(SA_Lane,$A13,SA_Date,"&gt;="&amp;DATE(2027,7,1),SA_Date,"&lt;"&amp;DATE(2027,8,1))</f>
        <v>1</v>
      </c>
      <c r="J13" s="43" t="n">
        <f aca="false">COUNTIFS(SA_Lane,$A13,SA_Date,"&gt;="&amp;DATE(2027,8,1),SA_Date,"&lt;"&amp;DATE(2027,9,1))</f>
        <v>1</v>
      </c>
      <c r="K13" s="43" t="n">
        <f aca="false">COUNTIFS(SA_Lane,$A13,SA_Date,"&gt;="&amp;DATE(2027,9,1),SA_Date,"&lt;"&amp;DATE(2027,10,1))</f>
        <v>1</v>
      </c>
      <c r="L13" s="43" t="n">
        <f aca="false">COUNTIFS(SA_Lane,$A13,SA_Date,"&gt;="&amp;DATE(2027,10,1),SA_Date,"&lt;"&amp;DATE(2027,11,1))</f>
        <v>0</v>
      </c>
      <c r="M13" s="43" t="n">
        <f aca="false">COUNTIFS(SA_Lane,$A13,SA_Date,"&gt;="&amp;DATE(2027,11,1),SA_Date,"&lt;"&amp;DATE(2027,12,1))</f>
        <v>0</v>
      </c>
      <c r="N13" s="43" t="n">
        <f aca="false">COUNTIFS(SA_Lane,$A13,SA_Date,"&gt;="&amp;DATE(2027,12,1),SA_Date,"&lt;"&amp;DATE(2028,1,1))</f>
        <v>0</v>
      </c>
      <c r="O13" s="44" t="n">
        <f aca="false">SUM(C13:N13)</f>
        <v>6</v>
      </c>
      <c r="P13" s="44" t="n">
        <f aca="false">MAX(C13:N13)</f>
        <v>1</v>
      </c>
    </row>
    <row r="14" customFormat="false" ht="15" hidden="false" customHeight="false" outlineLevel="0" collapsed="false">
      <c r="A14" s="3" t="s">
        <v>129</v>
      </c>
      <c r="B14" s="8" t="s">
        <v>130</v>
      </c>
      <c r="C14" s="43" t="n">
        <f aca="false">COUNTIFS(SA_Lane,$A14,SA_Date,"&gt;="&amp;DATE(2027,1,1),SA_Date,"&lt;"&amp;DATE(2027,2,1))</f>
        <v>0</v>
      </c>
      <c r="D14" s="43" t="n">
        <f aca="false">COUNTIFS(SA_Lane,$A14,SA_Date,"&gt;="&amp;DATE(2027,2,1),SA_Date,"&lt;"&amp;DATE(2027,3,1))</f>
        <v>1</v>
      </c>
      <c r="E14" s="43" t="n">
        <f aca="false">COUNTIFS(SA_Lane,$A14,SA_Date,"&gt;="&amp;DATE(2027,3,1),SA_Date,"&lt;"&amp;DATE(2027,4,1))</f>
        <v>0</v>
      </c>
      <c r="F14" s="43" t="n">
        <f aca="false">COUNTIFS(SA_Lane,$A14,SA_Date,"&gt;="&amp;DATE(2027,4,1),SA_Date,"&lt;"&amp;DATE(2027,5,1))</f>
        <v>0</v>
      </c>
      <c r="G14" s="43" t="n">
        <f aca="false">COUNTIFS(SA_Lane,$A14,SA_Date,"&gt;="&amp;DATE(2027,5,1),SA_Date,"&lt;"&amp;DATE(2027,6,1))</f>
        <v>0</v>
      </c>
      <c r="H14" s="43" t="n">
        <f aca="false">COUNTIFS(SA_Lane,$A14,SA_Date,"&gt;="&amp;DATE(2027,6,1),SA_Date,"&lt;"&amp;DATE(2027,7,1))</f>
        <v>0</v>
      </c>
      <c r="I14" s="43" t="n">
        <f aca="false">COUNTIFS(SA_Lane,$A14,SA_Date,"&gt;="&amp;DATE(2027,7,1),SA_Date,"&lt;"&amp;DATE(2027,8,1))</f>
        <v>0</v>
      </c>
      <c r="J14" s="43" t="n">
        <f aca="false">COUNTIFS(SA_Lane,$A14,SA_Date,"&gt;="&amp;DATE(2027,8,1),SA_Date,"&lt;"&amp;DATE(2027,9,1))</f>
        <v>0</v>
      </c>
      <c r="K14" s="43" t="n">
        <f aca="false">COUNTIFS(SA_Lane,$A14,SA_Date,"&gt;="&amp;DATE(2027,9,1),SA_Date,"&lt;"&amp;DATE(2027,10,1))</f>
        <v>0</v>
      </c>
      <c r="L14" s="43" t="n">
        <f aca="false">COUNTIFS(SA_Lane,$A14,SA_Date,"&gt;="&amp;DATE(2027,10,1),SA_Date,"&lt;"&amp;DATE(2027,11,1))</f>
        <v>0</v>
      </c>
      <c r="M14" s="43" t="n">
        <f aca="false">COUNTIFS(SA_Lane,$A14,SA_Date,"&gt;="&amp;DATE(2027,11,1),SA_Date,"&lt;"&amp;DATE(2027,12,1))</f>
        <v>0</v>
      </c>
      <c r="N14" s="43" t="n">
        <f aca="false">COUNTIFS(SA_Lane,$A14,SA_Date,"&gt;="&amp;DATE(2027,12,1),SA_Date,"&lt;"&amp;DATE(2028,1,1))</f>
        <v>0</v>
      </c>
      <c r="O14" s="44" t="n">
        <f aca="false">SUM(C14:N14)</f>
        <v>1</v>
      </c>
      <c r="P14" s="44" t="n">
        <f aca="false">MAX(C14:N14)</f>
        <v>1</v>
      </c>
    </row>
    <row r="15" customFormat="false" ht="15" hidden="false" customHeight="false" outlineLevel="0" collapsed="false">
      <c r="A15" s="20" t="s">
        <v>160</v>
      </c>
      <c r="B15" s="21"/>
      <c r="C15" s="45" t="n">
        <f aca="false">SUM(C6:C14)</f>
        <v>13</v>
      </c>
      <c r="D15" s="45" t="n">
        <f aca="false">SUM(D6:D14)</f>
        <v>13</v>
      </c>
      <c r="E15" s="45" t="n">
        <f aca="false">SUM(E6:E14)</f>
        <v>9</v>
      </c>
      <c r="F15" s="45" t="n">
        <f aca="false">SUM(F6:F14)</f>
        <v>15</v>
      </c>
      <c r="G15" s="45" t="n">
        <f aca="false">SUM(G6:G14)</f>
        <v>10</v>
      </c>
      <c r="H15" s="45" t="n">
        <f aca="false">SUM(H6:H14)</f>
        <v>11</v>
      </c>
      <c r="I15" s="45" t="n">
        <f aca="false">SUM(I6:I14)</f>
        <v>10</v>
      </c>
      <c r="J15" s="45" t="n">
        <f aca="false">SUM(J6:J14)</f>
        <v>9</v>
      </c>
      <c r="K15" s="45" t="n">
        <f aca="false">SUM(K6:K14)</f>
        <v>16</v>
      </c>
      <c r="L15" s="45" t="n">
        <f aca="false">SUM(L6:L14)</f>
        <v>15</v>
      </c>
      <c r="M15" s="45" t="n">
        <f aca="false">SUM(M6:M14)</f>
        <v>13</v>
      </c>
      <c r="N15" s="45" t="n">
        <f aca="false">SUM(N6:N14)</f>
        <v>7</v>
      </c>
      <c r="O15" s="45" t="n">
        <f aca="false">SUM(O6:O14)</f>
        <v>141</v>
      </c>
      <c r="P15" s="45" t="n">
        <f aca="false">MAX(C15:N15)</f>
        <v>16</v>
      </c>
    </row>
    <row r="16" customFormat="false" ht="15" hidden="false" customHeight="false" outlineLevel="0" collapsed="false">
      <c r="A16" s="20" t="s">
        <v>148</v>
      </c>
      <c r="B16" s="21"/>
      <c r="C16" s="45" t="n">
        <f aca="false">SUMIFS(SA_Chg,SA_Date,"&gt;="&amp;DATE(2027,1,1),SA_Date,"&lt;"&amp;DATE(2027,2,1))</f>
        <v>3769.8222864</v>
      </c>
      <c r="D16" s="45" t="n">
        <f aca="false">SUMIFS(SA_Chg,SA_Date,"&gt;="&amp;DATE(2027,2,1),SA_Date,"&lt;"&amp;DATE(2027,3,1))</f>
        <v>3944.259144</v>
      </c>
      <c r="E16" s="45" t="n">
        <f aca="false">SUMIFS(SA_Chg,SA_Date,"&gt;="&amp;DATE(2027,3,1),SA_Date,"&lt;"&amp;DATE(2027,4,1))</f>
        <v>1905.744258</v>
      </c>
      <c r="F16" s="45" t="n">
        <f aca="false">SUMIFS(SA_Chg,SA_Date,"&gt;="&amp;DATE(2027,4,1),SA_Date,"&lt;"&amp;DATE(2027,5,1))</f>
        <v>2556.3203352</v>
      </c>
      <c r="G16" s="45" t="n">
        <f aca="false">SUMIFS(SA_Chg,SA_Date,"&gt;="&amp;DATE(2027,5,1),SA_Date,"&lt;"&amp;DATE(2027,6,1))</f>
        <v>3089.7776064</v>
      </c>
      <c r="H16" s="45" t="n">
        <f aca="false">SUMIFS(SA_Chg,SA_Date,"&gt;="&amp;DATE(2027,6,1),SA_Date,"&lt;"&amp;DATE(2027,7,1))</f>
        <v>1825.7580504</v>
      </c>
      <c r="I16" s="45" t="n">
        <f aca="false">SUMIFS(SA_Chg,SA_Date,"&gt;="&amp;DATE(2027,7,1),SA_Date,"&lt;"&amp;DATE(2027,8,1))</f>
        <v>607.0748064</v>
      </c>
      <c r="J16" s="45" t="n">
        <f aca="false">SUMIFS(SA_Chg,SA_Date,"&gt;="&amp;DATE(2027,8,1),SA_Date,"&lt;"&amp;DATE(2027,9,1))</f>
        <v>1094.2242732</v>
      </c>
      <c r="K16" s="45" t="n">
        <f aca="false">SUMIFS(SA_Chg,SA_Date,"&gt;="&amp;DATE(2027,9,1),SA_Date,"&lt;"&amp;DATE(2027,10,1))</f>
        <v>1337.3132604</v>
      </c>
      <c r="L16" s="45" t="n">
        <f aca="false">SUMIFS(SA_Chg,SA_Date,"&gt;="&amp;DATE(2027,10,1),SA_Date,"&lt;"&amp;DATE(2027,11,1))</f>
        <v>1841.8416468</v>
      </c>
      <c r="M16" s="45" t="n">
        <f aca="false">SUMIFS(SA_Chg,SA_Date,"&gt;="&amp;DATE(2027,11,1),SA_Date,"&lt;"&amp;DATE(2027,12,1))</f>
        <v>5429.4551364</v>
      </c>
      <c r="N16" s="45" t="n">
        <f aca="false">SUMIFS(SA_Chg,SA_Date,"&gt;="&amp;DATE(2027,12,1),SA_Date,"&lt;"&amp;DATE(2028,1,1))</f>
        <v>464.2654236</v>
      </c>
      <c r="O16" s="45" t="n">
        <f aca="false">SUM(C16:N16)</f>
        <v>27865.8562272</v>
      </c>
      <c r="P16" s="45" t="n">
        <f aca="false">MAX(C16:N16)</f>
        <v>5429.4551364</v>
      </c>
    </row>
    <row r="18" customFormat="false" ht="15" hidden="false" customHeight="false" outlineLevel="0" collapsed="false">
      <c r="A18" s="10" t="s">
        <v>759</v>
      </c>
    </row>
    <row r="19" customFormat="false" ht="30" hidden="false" customHeight="true" outlineLevel="0" collapsed="false">
      <c r="A19" s="11" t="s">
        <v>101</v>
      </c>
      <c r="B19" s="11" t="s">
        <v>191</v>
      </c>
      <c r="C19" s="11" t="s">
        <v>746</v>
      </c>
      <c r="D19" s="11" t="s">
        <v>747</v>
      </c>
      <c r="E19" s="11" t="s">
        <v>748</v>
      </c>
      <c r="F19" s="11" t="s">
        <v>749</v>
      </c>
      <c r="G19" s="11" t="s">
        <v>750</v>
      </c>
      <c r="H19" s="11" t="s">
        <v>751</v>
      </c>
      <c r="I19" s="11" t="s">
        <v>752</v>
      </c>
      <c r="J19" s="11" t="s">
        <v>753</v>
      </c>
      <c r="K19" s="11" t="s">
        <v>754</v>
      </c>
      <c r="L19" s="11" t="s">
        <v>755</v>
      </c>
      <c r="M19" s="11" t="s">
        <v>756</v>
      </c>
      <c r="N19" s="11" t="s">
        <v>757</v>
      </c>
      <c r="O19" s="11" t="s">
        <v>758</v>
      </c>
      <c r="P19" s="11" t="s">
        <v>214</v>
      </c>
    </row>
    <row r="20" customFormat="false" ht="15" hidden="false" customHeight="false" outlineLevel="0" collapsed="false">
      <c r="A20" s="3" t="s">
        <v>108</v>
      </c>
      <c r="B20" s="8" t="s">
        <v>109</v>
      </c>
      <c r="C20" s="43" t="n">
        <f aca="false">COUNTIFS(SB_Lane,$A20,SB_Date,"&gt;="&amp;DATE(2027,1,1),SB_Date,"&lt;"&amp;DATE(2027,2,1))</f>
        <v>10</v>
      </c>
      <c r="D20" s="43" t="n">
        <f aca="false">COUNTIFS(SB_Lane,$A20,SB_Date,"&gt;="&amp;DATE(2027,2,1),SB_Date,"&lt;"&amp;DATE(2027,3,1))</f>
        <v>9</v>
      </c>
      <c r="E20" s="43" t="n">
        <f aca="false">COUNTIFS(SB_Lane,$A20,SB_Date,"&gt;="&amp;DATE(2027,3,1),SB_Date,"&lt;"&amp;DATE(2027,4,1))</f>
        <v>8</v>
      </c>
      <c r="F20" s="43" t="n">
        <f aca="false">COUNTIFS(SB_Lane,$A20,SB_Date,"&gt;="&amp;DATE(2027,4,1),SB_Date,"&lt;"&amp;DATE(2027,5,1))</f>
        <v>10</v>
      </c>
      <c r="G20" s="43" t="n">
        <f aca="false">COUNTIFS(SB_Lane,$A20,SB_Date,"&gt;="&amp;DATE(2027,5,1),SB_Date,"&lt;"&amp;DATE(2027,6,1))</f>
        <v>9</v>
      </c>
      <c r="H20" s="43" t="n">
        <f aca="false">COUNTIFS(SB_Lane,$A20,SB_Date,"&gt;="&amp;DATE(2027,6,1),SB_Date,"&lt;"&amp;DATE(2027,7,1))</f>
        <v>10</v>
      </c>
      <c r="I20" s="43" t="n">
        <f aca="false">COUNTIFS(SB_Lane,$A20,SB_Date,"&gt;="&amp;DATE(2027,7,1),SB_Date,"&lt;"&amp;DATE(2027,8,1))</f>
        <v>7</v>
      </c>
      <c r="J20" s="43" t="n">
        <f aca="false">COUNTIFS(SB_Lane,$A20,SB_Date,"&gt;="&amp;DATE(2027,8,1),SB_Date,"&lt;"&amp;DATE(2027,9,1))</f>
        <v>8</v>
      </c>
      <c r="K20" s="43" t="n">
        <f aca="false">COUNTIFS(SB_Lane,$A20,SB_Date,"&gt;="&amp;DATE(2027,9,1),SB_Date,"&lt;"&amp;DATE(2027,10,1))</f>
        <v>12</v>
      </c>
      <c r="L20" s="43" t="n">
        <f aca="false">COUNTIFS(SB_Lane,$A20,SB_Date,"&gt;="&amp;DATE(2027,10,1),SB_Date,"&lt;"&amp;DATE(2027,11,1))</f>
        <v>14</v>
      </c>
      <c r="M20" s="43" t="n">
        <f aca="false">COUNTIFS(SB_Lane,$A20,SB_Date,"&gt;="&amp;DATE(2027,11,1),SB_Date,"&lt;"&amp;DATE(2027,12,1))</f>
        <v>12</v>
      </c>
      <c r="N20" s="43" t="n">
        <f aca="false">COUNTIFS(SB_Lane,$A20,SB_Date,"&gt;="&amp;DATE(2027,12,1),SB_Date,"&lt;"&amp;DATE(2028,1,1))</f>
        <v>8</v>
      </c>
      <c r="O20" s="44" t="n">
        <f aca="false">SUM(C20:N20)</f>
        <v>117</v>
      </c>
      <c r="P20" s="44" t="n">
        <f aca="false">MAX(C20:N20)</f>
        <v>14</v>
      </c>
    </row>
    <row r="21" customFormat="false" ht="15" hidden="false" customHeight="false" outlineLevel="0" collapsed="false">
      <c r="A21" s="3" t="s">
        <v>112</v>
      </c>
      <c r="B21" s="8" t="s">
        <v>113</v>
      </c>
      <c r="C21" s="43" t="n">
        <f aca="false">COUNTIFS(SB_Lane,$A21,SB_Date,"&gt;="&amp;DATE(2027,1,1),SB_Date,"&lt;"&amp;DATE(2027,2,1))</f>
        <v>7</v>
      </c>
      <c r="D21" s="43" t="n">
        <f aca="false">COUNTIFS(SB_Lane,$A21,SB_Date,"&gt;="&amp;DATE(2027,2,1),SB_Date,"&lt;"&amp;DATE(2027,3,1))</f>
        <v>6</v>
      </c>
      <c r="E21" s="43" t="n">
        <f aca="false">COUNTIFS(SB_Lane,$A21,SB_Date,"&gt;="&amp;DATE(2027,3,1),SB_Date,"&lt;"&amp;DATE(2027,4,1))</f>
        <v>5</v>
      </c>
      <c r="F21" s="43" t="n">
        <f aca="false">COUNTIFS(SB_Lane,$A21,SB_Date,"&gt;="&amp;DATE(2027,4,1),SB_Date,"&lt;"&amp;DATE(2027,5,1))</f>
        <v>8</v>
      </c>
      <c r="G21" s="43" t="n">
        <f aca="false">COUNTIFS(SB_Lane,$A21,SB_Date,"&gt;="&amp;DATE(2027,5,1),SB_Date,"&lt;"&amp;DATE(2027,6,1))</f>
        <v>7</v>
      </c>
      <c r="H21" s="43" t="n">
        <f aca="false">COUNTIFS(SB_Lane,$A21,SB_Date,"&gt;="&amp;DATE(2027,6,1),SB_Date,"&lt;"&amp;DATE(2027,7,1))</f>
        <v>7</v>
      </c>
      <c r="I21" s="43" t="n">
        <f aca="false">COUNTIFS(SB_Lane,$A21,SB_Date,"&gt;="&amp;DATE(2027,7,1),SB_Date,"&lt;"&amp;DATE(2027,8,1))</f>
        <v>6</v>
      </c>
      <c r="J21" s="43" t="n">
        <f aca="false">COUNTIFS(SB_Lane,$A21,SB_Date,"&gt;="&amp;DATE(2027,8,1),SB_Date,"&lt;"&amp;DATE(2027,9,1))</f>
        <v>6</v>
      </c>
      <c r="K21" s="43" t="n">
        <f aca="false">COUNTIFS(SB_Lane,$A21,SB_Date,"&gt;="&amp;DATE(2027,9,1),SB_Date,"&lt;"&amp;DATE(2027,10,1))</f>
        <v>8</v>
      </c>
      <c r="L21" s="43" t="n">
        <f aca="false">COUNTIFS(SB_Lane,$A21,SB_Date,"&gt;="&amp;DATE(2027,10,1),SB_Date,"&lt;"&amp;DATE(2027,11,1))</f>
        <v>11</v>
      </c>
      <c r="M21" s="43" t="n">
        <f aca="false">COUNTIFS(SB_Lane,$A21,SB_Date,"&gt;="&amp;DATE(2027,11,1),SB_Date,"&lt;"&amp;DATE(2027,12,1))</f>
        <v>8</v>
      </c>
      <c r="N21" s="43" t="n">
        <f aca="false">COUNTIFS(SB_Lane,$A21,SB_Date,"&gt;="&amp;DATE(2027,12,1),SB_Date,"&lt;"&amp;DATE(2028,1,1))</f>
        <v>5</v>
      </c>
      <c r="O21" s="44" t="n">
        <f aca="false">SUM(C21:N21)</f>
        <v>84</v>
      </c>
      <c r="P21" s="44" t="n">
        <f aca="false">MAX(C21:N21)</f>
        <v>11</v>
      </c>
    </row>
    <row r="22" customFormat="false" ht="15" hidden="false" customHeight="false" outlineLevel="0" collapsed="false">
      <c r="A22" s="3" t="s">
        <v>115</v>
      </c>
      <c r="B22" s="8" t="s">
        <v>116</v>
      </c>
      <c r="C22" s="43" t="n">
        <f aca="false">COUNTIFS(SB_Lane,$A22,SB_Date,"&gt;="&amp;DATE(2027,1,1),SB_Date,"&lt;"&amp;DATE(2027,2,1))</f>
        <v>3</v>
      </c>
      <c r="D22" s="43" t="n">
        <f aca="false">COUNTIFS(SB_Lane,$A22,SB_Date,"&gt;="&amp;DATE(2027,2,1),SB_Date,"&lt;"&amp;DATE(2027,3,1))</f>
        <v>2</v>
      </c>
      <c r="E22" s="43" t="n">
        <f aca="false">COUNTIFS(SB_Lane,$A22,SB_Date,"&gt;="&amp;DATE(2027,3,1),SB_Date,"&lt;"&amp;DATE(2027,4,1))</f>
        <v>2</v>
      </c>
      <c r="F22" s="43" t="n">
        <f aca="false">COUNTIFS(SB_Lane,$A22,SB_Date,"&gt;="&amp;DATE(2027,4,1),SB_Date,"&lt;"&amp;DATE(2027,5,1))</f>
        <v>3</v>
      </c>
      <c r="G22" s="43" t="n">
        <f aca="false">COUNTIFS(SB_Lane,$A22,SB_Date,"&gt;="&amp;DATE(2027,5,1),SB_Date,"&lt;"&amp;DATE(2027,6,1))</f>
        <v>3</v>
      </c>
      <c r="H22" s="43" t="n">
        <f aca="false">COUNTIFS(SB_Lane,$A22,SB_Date,"&gt;="&amp;DATE(2027,6,1),SB_Date,"&lt;"&amp;DATE(2027,7,1))</f>
        <v>2</v>
      </c>
      <c r="I22" s="43" t="n">
        <f aca="false">COUNTIFS(SB_Lane,$A22,SB_Date,"&gt;="&amp;DATE(2027,7,1),SB_Date,"&lt;"&amp;DATE(2027,8,1))</f>
        <v>1</v>
      </c>
      <c r="J22" s="43" t="n">
        <f aca="false">COUNTIFS(SB_Lane,$A22,SB_Date,"&gt;="&amp;DATE(2027,8,1),SB_Date,"&lt;"&amp;DATE(2027,9,1))</f>
        <v>2</v>
      </c>
      <c r="K22" s="43" t="n">
        <f aca="false">COUNTIFS(SB_Lane,$A22,SB_Date,"&gt;="&amp;DATE(2027,9,1),SB_Date,"&lt;"&amp;DATE(2027,10,1))</f>
        <v>3</v>
      </c>
      <c r="L22" s="43" t="n">
        <f aca="false">COUNTIFS(SB_Lane,$A22,SB_Date,"&gt;="&amp;DATE(2027,10,1),SB_Date,"&lt;"&amp;DATE(2027,11,1))</f>
        <v>3</v>
      </c>
      <c r="M22" s="43" t="n">
        <f aca="false">COUNTIFS(SB_Lane,$A22,SB_Date,"&gt;="&amp;DATE(2027,11,1),SB_Date,"&lt;"&amp;DATE(2027,12,1))</f>
        <v>3</v>
      </c>
      <c r="N22" s="43" t="n">
        <f aca="false">COUNTIFS(SB_Lane,$A22,SB_Date,"&gt;="&amp;DATE(2027,12,1),SB_Date,"&lt;"&amp;DATE(2028,1,1))</f>
        <v>2</v>
      </c>
      <c r="O22" s="44" t="n">
        <f aca="false">SUM(C22:N22)</f>
        <v>29</v>
      </c>
      <c r="P22" s="44" t="n">
        <f aca="false">MAX(C22:N22)</f>
        <v>3</v>
      </c>
    </row>
    <row r="23" customFormat="false" ht="15" hidden="false" customHeight="false" outlineLevel="0" collapsed="false">
      <c r="A23" s="3" t="s">
        <v>117</v>
      </c>
      <c r="B23" s="8" t="s">
        <v>118</v>
      </c>
      <c r="C23" s="43" t="n">
        <f aca="false">COUNTIFS(SB_Lane,$A23,SB_Date,"&gt;="&amp;DATE(2027,1,1),SB_Date,"&lt;"&amp;DATE(2027,2,1))</f>
        <v>1</v>
      </c>
      <c r="D23" s="43" t="n">
        <f aca="false">COUNTIFS(SB_Lane,$A23,SB_Date,"&gt;="&amp;DATE(2027,2,1),SB_Date,"&lt;"&amp;DATE(2027,3,1))</f>
        <v>2</v>
      </c>
      <c r="E23" s="43" t="n">
        <f aca="false">COUNTIFS(SB_Lane,$A23,SB_Date,"&gt;="&amp;DATE(2027,3,1),SB_Date,"&lt;"&amp;DATE(2027,4,1))</f>
        <v>1</v>
      </c>
      <c r="F23" s="43" t="n">
        <f aca="false">COUNTIFS(SB_Lane,$A23,SB_Date,"&gt;="&amp;DATE(2027,4,1),SB_Date,"&lt;"&amp;DATE(2027,5,1))</f>
        <v>2</v>
      </c>
      <c r="G23" s="43" t="n">
        <f aca="false">COUNTIFS(SB_Lane,$A23,SB_Date,"&gt;="&amp;DATE(2027,5,1),SB_Date,"&lt;"&amp;DATE(2027,6,1))</f>
        <v>2</v>
      </c>
      <c r="H23" s="43" t="n">
        <f aca="false">COUNTIFS(SB_Lane,$A23,SB_Date,"&gt;="&amp;DATE(2027,6,1),SB_Date,"&lt;"&amp;DATE(2027,7,1))</f>
        <v>2</v>
      </c>
      <c r="I23" s="43" t="n">
        <f aca="false">COUNTIFS(SB_Lane,$A23,SB_Date,"&gt;="&amp;DATE(2027,7,1),SB_Date,"&lt;"&amp;DATE(2027,8,1))</f>
        <v>2</v>
      </c>
      <c r="J23" s="43" t="n">
        <f aca="false">COUNTIFS(SB_Lane,$A23,SB_Date,"&gt;="&amp;DATE(2027,8,1),SB_Date,"&lt;"&amp;DATE(2027,9,1))</f>
        <v>2</v>
      </c>
      <c r="K23" s="43" t="n">
        <f aca="false">COUNTIFS(SB_Lane,$A23,SB_Date,"&gt;="&amp;DATE(2027,9,1),SB_Date,"&lt;"&amp;DATE(2027,10,1))</f>
        <v>2</v>
      </c>
      <c r="L23" s="43" t="n">
        <f aca="false">COUNTIFS(SB_Lane,$A23,SB_Date,"&gt;="&amp;DATE(2027,10,1),SB_Date,"&lt;"&amp;DATE(2027,11,1))</f>
        <v>3</v>
      </c>
      <c r="M23" s="43" t="n">
        <f aca="false">COUNTIFS(SB_Lane,$A23,SB_Date,"&gt;="&amp;DATE(2027,11,1),SB_Date,"&lt;"&amp;DATE(2027,12,1))</f>
        <v>2</v>
      </c>
      <c r="N23" s="43" t="n">
        <f aca="false">COUNTIFS(SB_Lane,$A23,SB_Date,"&gt;="&amp;DATE(2027,12,1),SB_Date,"&lt;"&amp;DATE(2028,1,1))</f>
        <v>2</v>
      </c>
      <c r="O23" s="44" t="n">
        <f aca="false">SUM(C23:N23)</f>
        <v>23</v>
      </c>
      <c r="P23" s="44" t="n">
        <f aca="false">MAX(C23:N23)</f>
        <v>3</v>
      </c>
    </row>
    <row r="24" customFormat="false" ht="15" hidden="false" customHeight="false" outlineLevel="0" collapsed="false">
      <c r="A24" s="3" t="s">
        <v>119</v>
      </c>
      <c r="B24" s="8" t="s">
        <v>120</v>
      </c>
      <c r="C24" s="43" t="n">
        <f aca="false">COUNTIFS(SB_Lane,$A24,SB_Date,"&gt;="&amp;DATE(2027,1,1),SB_Date,"&lt;"&amp;DATE(2027,2,1))</f>
        <v>4</v>
      </c>
      <c r="D24" s="43" t="n">
        <f aca="false">COUNTIFS(SB_Lane,$A24,SB_Date,"&gt;="&amp;DATE(2027,2,1),SB_Date,"&lt;"&amp;DATE(2027,3,1))</f>
        <v>2</v>
      </c>
      <c r="E24" s="43" t="n">
        <f aca="false">COUNTIFS(SB_Lane,$A24,SB_Date,"&gt;="&amp;DATE(2027,3,1),SB_Date,"&lt;"&amp;DATE(2027,4,1))</f>
        <v>2</v>
      </c>
      <c r="F24" s="43" t="n">
        <f aca="false">COUNTIFS(SB_Lane,$A24,SB_Date,"&gt;="&amp;DATE(2027,4,1),SB_Date,"&lt;"&amp;DATE(2027,5,1))</f>
        <v>3</v>
      </c>
      <c r="G24" s="43" t="n">
        <f aca="false">COUNTIFS(SB_Lane,$A24,SB_Date,"&gt;="&amp;DATE(2027,5,1),SB_Date,"&lt;"&amp;DATE(2027,6,1))</f>
        <v>3</v>
      </c>
      <c r="H24" s="43" t="n">
        <f aca="false">COUNTIFS(SB_Lane,$A24,SB_Date,"&gt;="&amp;DATE(2027,6,1),SB_Date,"&lt;"&amp;DATE(2027,7,1))</f>
        <v>3</v>
      </c>
      <c r="I24" s="43" t="n">
        <f aca="false">COUNTIFS(SB_Lane,$A24,SB_Date,"&gt;="&amp;DATE(2027,7,1),SB_Date,"&lt;"&amp;DATE(2027,8,1))</f>
        <v>3</v>
      </c>
      <c r="J24" s="43" t="n">
        <f aca="false">COUNTIFS(SB_Lane,$A24,SB_Date,"&gt;="&amp;DATE(2027,8,1),SB_Date,"&lt;"&amp;DATE(2027,9,1))</f>
        <v>3</v>
      </c>
      <c r="K24" s="43" t="n">
        <f aca="false">COUNTIFS(SB_Lane,$A24,SB_Date,"&gt;="&amp;DATE(2027,9,1),SB_Date,"&lt;"&amp;DATE(2027,10,1))</f>
        <v>3</v>
      </c>
      <c r="L24" s="43" t="n">
        <f aca="false">COUNTIFS(SB_Lane,$A24,SB_Date,"&gt;="&amp;DATE(2027,10,1),SB_Date,"&lt;"&amp;DATE(2027,11,1))</f>
        <v>5</v>
      </c>
      <c r="M24" s="43" t="n">
        <f aca="false">COUNTIFS(SB_Lane,$A24,SB_Date,"&gt;="&amp;DATE(2027,11,1),SB_Date,"&lt;"&amp;DATE(2027,12,1))</f>
        <v>3</v>
      </c>
      <c r="N24" s="43" t="n">
        <f aca="false">COUNTIFS(SB_Lane,$A24,SB_Date,"&gt;="&amp;DATE(2027,12,1),SB_Date,"&lt;"&amp;DATE(2028,1,1))</f>
        <v>3</v>
      </c>
      <c r="O24" s="44" t="n">
        <f aca="false">SUM(C24:N24)</f>
        <v>37</v>
      </c>
      <c r="P24" s="44" t="n">
        <f aca="false">MAX(C24:N24)</f>
        <v>5</v>
      </c>
    </row>
    <row r="25" customFormat="false" ht="15" hidden="false" customHeight="false" outlineLevel="0" collapsed="false">
      <c r="A25" s="3" t="s">
        <v>121</v>
      </c>
      <c r="B25" s="8" t="s">
        <v>122</v>
      </c>
      <c r="C25" s="43" t="n">
        <f aca="false">COUNTIFS(SB_Lane,$A25,SB_Date,"&gt;="&amp;DATE(2027,1,1),SB_Date,"&lt;"&amp;DATE(2027,2,1))</f>
        <v>1</v>
      </c>
      <c r="D25" s="43" t="n">
        <f aca="false">COUNTIFS(SB_Lane,$A25,SB_Date,"&gt;="&amp;DATE(2027,2,1),SB_Date,"&lt;"&amp;DATE(2027,3,1))</f>
        <v>0</v>
      </c>
      <c r="E25" s="43" t="n">
        <f aca="false">COUNTIFS(SB_Lane,$A25,SB_Date,"&gt;="&amp;DATE(2027,3,1),SB_Date,"&lt;"&amp;DATE(2027,4,1))</f>
        <v>1</v>
      </c>
      <c r="F25" s="43" t="n">
        <f aca="false">COUNTIFS(SB_Lane,$A25,SB_Date,"&gt;="&amp;DATE(2027,4,1),SB_Date,"&lt;"&amp;DATE(2027,5,1))</f>
        <v>1</v>
      </c>
      <c r="G25" s="43" t="n">
        <f aca="false">COUNTIFS(SB_Lane,$A25,SB_Date,"&gt;="&amp;DATE(2027,5,1),SB_Date,"&lt;"&amp;DATE(2027,6,1))</f>
        <v>1</v>
      </c>
      <c r="H25" s="43" t="n">
        <f aca="false">COUNTIFS(SB_Lane,$A25,SB_Date,"&gt;="&amp;DATE(2027,6,1),SB_Date,"&lt;"&amp;DATE(2027,7,1))</f>
        <v>2</v>
      </c>
      <c r="I25" s="43" t="n">
        <f aca="false">COUNTIFS(SB_Lane,$A25,SB_Date,"&gt;="&amp;DATE(2027,7,1),SB_Date,"&lt;"&amp;DATE(2027,8,1))</f>
        <v>0</v>
      </c>
      <c r="J25" s="43" t="n">
        <f aca="false">COUNTIFS(SB_Lane,$A25,SB_Date,"&gt;="&amp;DATE(2027,8,1),SB_Date,"&lt;"&amp;DATE(2027,9,1))</f>
        <v>1</v>
      </c>
      <c r="K25" s="43" t="n">
        <f aca="false">COUNTIFS(SB_Lane,$A25,SB_Date,"&gt;="&amp;DATE(2027,9,1),SB_Date,"&lt;"&amp;DATE(2027,10,1))</f>
        <v>2</v>
      </c>
      <c r="L25" s="43" t="n">
        <f aca="false">COUNTIFS(SB_Lane,$A25,SB_Date,"&gt;="&amp;DATE(2027,10,1),SB_Date,"&lt;"&amp;DATE(2027,11,1))</f>
        <v>2</v>
      </c>
      <c r="M25" s="43" t="n">
        <f aca="false">COUNTIFS(SB_Lane,$A25,SB_Date,"&gt;="&amp;DATE(2027,11,1),SB_Date,"&lt;"&amp;DATE(2027,12,1))</f>
        <v>1</v>
      </c>
      <c r="N25" s="43" t="n">
        <f aca="false">COUNTIFS(SB_Lane,$A25,SB_Date,"&gt;="&amp;DATE(2027,12,1),SB_Date,"&lt;"&amp;DATE(2028,1,1))</f>
        <v>1</v>
      </c>
      <c r="O25" s="44" t="n">
        <f aca="false">SUM(C25:N25)</f>
        <v>13</v>
      </c>
      <c r="P25" s="44" t="n">
        <f aca="false">MAX(C25:N25)</f>
        <v>2</v>
      </c>
    </row>
    <row r="26" customFormat="false" ht="15" hidden="false" customHeight="false" outlineLevel="0" collapsed="false">
      <c r="A26" s="3" t="s">
        <v>124</v>
      </c>
      <c r="B26" s="8" t="s">
        <v>125</v>
      </c>
      <c r="C26" s="43" t="n">
        <f aca="false">COUNTIFS(SB_Lane,$A26,SB_Date,"&gt;="&amp;DATE(2027,1,1),SB_Date,"&lt;"&amp;DATE(2027,2,1))</f>
        <v>1</v>
      </c>
      <c r="D26" s="43" t="n">
        <f aca="false">COUNTIFS(SB_Lane,$A26,SB_Date,"&gt;="&amp;DATE(2027,2,1),SB_Date,"&lt;"&amp;DATE(2027,3,1))</f>
        <v>1</v>
      </c>
      <c r="E26" s="43" t="n">
        <f aca="false">COUNTIFS(SB_Lane,$A26,SB_Date,"&gt;="&amp;DATE(2027,3,1),SB_Date,"&lt;"&amp;DATE(2027,4,1))</f>
        <v>0</v>
      </c>
      <c r="F26" s="43" t="n">
        <f aca="false">COUNTIFS(SB_Lane,$A26,SB_Date,"&gt;="&amp;DATE(2027,4,1),SB_Date,"&lt;"&amp;DATE(2027,5,1))</f>
        <v>1</v>
      </c>
      <c r="G26" s="43" t="n">
        <f aca="false">COUNTIFS(SB_Lane,$A26,SB_Date,"&gt;="&amp;DATE(2027,5,1),SB_Date,"&lt;"&amp;DATE(2027,6,1))</f>
        <v>0</v>
      </c>
      <c r="H26" s="43" t="n">
        <f aca="false">COUNTIFS(SB_Lane,$A26,SB_Date,"&gt;="&amp;DATE(2027,6,1),SB_Date,"&lt;"&amp;DATE(2027,7,1))</f>
        <v>1</v>
      </c>
      <c r="I26" s="43" t="n">
        <f aca="false">COUNTIFS(SB_Lane,$A26,SB_Date,"&gt;="&amp;DATE(2027,7,1),SB_Date,"&lt;"&amp;DATE(2027,8,1))</f>
        <v>1</v>
      </c>
      <c r="J26" s="43" t="n">
        <f aca="false">COUNTIFS(SB_Lane,$A26,SB_Date,"&gt;="&amp;DATE(2027,8,1),SB_Date,"&lt;"&amp;DATE(2027,9,1))</f>
        <v>1</v>
      </c>
      <c r="K26" s="43" t="n">
        <f aca="false">COUNTIFS(SB_Lane,$A26,SB_Date,"&gt;="&amp;DATE(2027,9,1),SB_Date,"&lt;"&amp;DATE(2027,10,1))</f>
        <v>1</v>
      </c>
      <c r="L26" s="43" t="n">
        <f aca="false">COUNTIFS(SB_Lane,$A26,SB_Date,"&gt;="&amp;DATE(2027,10,1),SB_Date,"&lt;"&amp;DATE(2027,11,1))</f>
        <v>1</v>
      </c>
      <c r="M26" s="43" t="n">
        <f aca="false">COUNTIFS(SB_Lane,$A26,SB_Date,"&gt;="&amp;DATE(2027,11,1),SB_Date,"&lt;"&amp;DATE(2027,12,1))</f>
        <v>1</v>
      </c>
      <c r="N26" s="43" t="n">
        <f aca="false">COUNTIFS(SB_Lane,$A26,SB_Date,"&gt;="&amp;DATE(2027,12,1),SB_Date,"&lt;"&amp;DATE(2028,1,1))</f>
        <v>0</v>
      </c>
      <c r="O26" s="44" t="n">
        <f aca="false">SUM(C26:N26)</f>
        <v>9</v>
      </c>
      <c r="P26" s="44" t="n">
        <f aca="false">MAX(C26:N26)</f>
        <v>1</v>
      </c>
    </row>
    <row r="27" customFormat="false" ht="15" hidden="false" customHeight="false" outlineLevel="0" collapsed="false">
      <c r="A27" s="3" t="s">
        <v>126</v>
      </c>
      <c r="B27" s="8" t="s">
        <v>127</v>
      </c>
      <c r="C27" s="43" t="n">
        <f aca="false">COUNTIFS(SB_Lane,$A27,SB_Date,"&gt;="&amp;DATE(2027,1,1),SB_Date,"&lt;"&amp;DATE(2027,2,1))</f>
        <v>1</v>
      </c>
      <c r="D27" s="43" t="n">
        <f aca="false">COUNTIFS(SB_Lane,$A27,SB_Date,"&gt;="&amp;DATE(2027,2,1),SB_Date,"&lt;"&amp;DATE(2027,3,1))</f>
        <v>1</v>
      </c>
      <c r="E27" s="43" t="n">
        <f aca="false">COUNTIFS(SB_Lane,$A27,SB_Date,"&gt;="&amp;DATE(2027,3,1),SB_Date,"&lt;"&amp;DATE(2027,4,1))</f>
        <v>0</v>
      </c>
      <c r="F27" s="43" t="n">
        <f aca="false">COUNTIFS(SB_Lane,$A27,SB_Date,"&gt;="&amp;DATE(2027,4,1),SB_Date,"&lt;"&amp;DATE(2027,5,1))</f>
        <v>1</v>
      </c>
      <c r="G27" s="43" t="n">
        <f aca="false">COUNTIFS(SB_Lane,$A27,SB_Date,"&gt;="&amp;DATE(2027,5,1),SB_Date,"&lt;"&amp;DATE(2027,6,1))</f>
        <v>1</v>
      </c>
      <c r="H27" s="43" t="n">
        <f aca="false">COUNTIFS(SB_Lane,$A27,SB_Date,"&gt;="&amp;DATE(2027,6,1),SB_Date,"&lt;"&amp;DATE(2027,7,1))</f>
        <v>1</v>
      </c>
      <c r="I27" s="43" t="n">
        <f aca="false">COUNTIFS(SB_Lane,$A27,SB_Date,"&gt;="&amp;DATE(2027,7,1),SB_Date,"&lt;"&amp;DATE(2027,8,1))</f>
        <v>1</v>
      </c>
      <c r="J27" s="43" t="n">
        <f aca="false">COUNTIFS(SB_Lane,$A27,SB_Date,"&gt;="&amp;DATE(2027,8,1),SB_Date,"&lt;"&amp;DATE(2027,9,1))</f>
        <v>1</v>
      </c>
      <c r="K27" s="43" t="n">
        <f aca="false">COUNTIFS(SB_Lane,$A27,SB_Date,"&gt;="&amp;DATE(2027,9,1),SB_Date,"&lt;"&amp;DATE(2027,10,1))</f>
        <v>2</v>
      </c>
      <c r="L27" s="43" t="n">
        <f aca="false">COUNTIFS(SB_Lane,$A27,SB_Date,"&gt;="&amp;DATE(2027,10,1),SB_Date,"&lt;"&amp;DATE(2027,11,1))</f>
        <v>2</v>
      </c>
      <c r="M27" s="43" t="n">
        <f aca="false">COUNTIFS(SB_Lane,$A27,SB_Date,"&gt;="&amp;DATE(2027,11,1),SB_Date,"&lt;"&amp;DATE(2027,12,1))</f>
        <v>1</v>
      </c>
      <c r="N27" s="43" t="n">
        <f aca="false">COUNTIFS(SB_Lane,$A27,SB_Date,"&gt;="&amp;DATE(2027,12,1),SB_Date,"&lt;"&amp;DATE(2028,1,1))</f>
        <v>1</v>
      </c>
      <c r="O27" s="44" t="n">
        <f aca="false">SUM(C27:N27)</f>
        <v>13</v>
      </c>
      <c r="P27" s="44" t="n">
        <f aca="false">MAX(C27:N27)</f>
        <v>2</v>
      </c>
    </row>
    <row r="28" customFormat="false" ht="15" hidden="false" customHeight="false" outlineLevel="0" collapsed="false">
      <c r="A28" s="3" t="s">
        <v>129</v>
      </c>
      <c r="B28" s="8" t="s">
        <v>130</v>
      </c>
      <c r="C28" s="43" t="n">
        <f aca="false">COUNTIFS(SB_Lane,$A28,SB_Date,"&gt;="&amp;DATE(2027,1,1),SB_Date,"&lt;"&amp;DATE(2027,2,1))</f>
        <v>1</v>
      </c>
      <c r="D28" s="43" t="n">
        <f aca="false">COUNTIFS(SB_Lane,$A28,SB_Date,"&gt;="&amp;DATE(2027,2,1),SB_Date,"&lt;"&amp;DATE(2027,3,1))</f>
        <v>0</v>
      </c>
      <c r="E28" s="43" t="n">
        <f aca="false">COUNTIFS(SB_Lane,$A28,SB_Date,"&gt;="&amp;DATE(2027,3,1),SB_Date,"&lt;"&amp;DATE(2027,4,1))</f>
        <v>0</v>
      </c>
      <c r="F28" s="43" t="n">
        <f aca="false">COUNTIFS(SB_Lane,$A28,SB_Date,"&gt;="&amp;DATE(2027,4,1),SB_Date,"&lt;"&amp;DATE(2027,5,1))</f>
        <v>0</v>
      </c>
      <c r="G28" s="43" t="n">
        <f aca="false">COUNTIFS(SB_Lane,$A28,SB_Date,"&gt;="&amp;DATE(2027,5,1),SB_Date,"&lt;"&amp;DATE(2027,6,1))</f>
        <v>0</v>
      </c>
      <c r="H28" s="43" t="n">
        <f aca="false">COUNTIFS(SB_Lane,$A28,SB_Date,"&gt;="&amp;DATE(2027,6,1),SB_Date,"&lt;"&amp;DATE(2027,7,1))</f>
        <v>0</v>
      </c>
      <c r="I28" s="43" t="n">
        <f aca="false">COUNTIFS(SB_Lane,$A28,SB_Date,"&gt;="&amp;DATE(2027,7,1),SB_Date,"&lt;"&amp;DATE(2027,8,1))</f>
        <v>0</v>
      </c>
      <c r="J28" s="43" t="n">
        <f aca="false">COUNTIFS(SB_Lane,$A28,SB_Date,"&gt;="&amp;DATE(2027,8,1),SB_Date,"&lt;"&amp;DATE(2027,9,1))</f>
        <v>1</v>
      </c>
      <c r="K28" s="43" t="n">
        <f aca="false">COUNTIFS(SB_Lane,$A28,SB_Date,"&gt;="&amp;DATE(2027,9,1),SB_Date,"&lt;"&amp;DATE(2027,10,1))</f>
        <v>1</v>
      </c>
      <c r="L28" s="43" t="n">
        <f aca="false">COUNTIFS(SB_Lane,$A28,SB_Date,"&gt;="&amp;DATE(2027,10,1),SB_Date,"&lt;"&amp;DATE(2027,11,1))</f>
        <v>1</v>
      </c>
      <c r="M28" s="43" t="n">
        <f aca="false">COUNTIFS(SB_Lane,$A28,SB_Date,"&gt;="&amp;DATE(2027,11,1),SB_Date,"&lt;"&amp;DATE(2027,12,1))</f>
        <v>0</v>
      </c>
      <c r="N28" s="43" t="n">
        <f aca="false">COUNTIFS(SB_Lane,$A28,SB_Date,"&gt;="&amp;DATE(2027,12,1),SB_Date,"&lt;"&amp;DATE(2028,1,1))</f>
        <v>0</v>
      </c>
      <c r="O28" s="44" t="n">
        <f aca="false">SUM(C28:N28)</f>
        <v>4</v>
      </c>
      <c r="P28" s="44" t="n">
        <f aca="false">MAX(C28:N28)</f>
        <v>1</v>
      </c>
    </row>
    <row r="29" customFormat="false" ht="15" hidden="false" customHeight="false" outlineLevel="0" collapsed="false">
      <c r="A29" s="20" t="s">
        <v>160</v>
      </c>
      <c r="B29" s="21"/>
      <c r="C29" s="45" t="n">
        <f aca="false">SUM(C20:C28)</f>
        <v>29</v>
      </c>
      <c r="D29" s="45" t="n">
        <f aca="false">SUM(D20:D28)</f>
        <v>23</v>
      </c>
      <c r="E29" s="45" t="n">
        <f aca="false">SUM(E20:E28)</f>
        <v>19</v>
      </c>
      <c r="F29" s="45" t="n">
        <f aca="false">SUM(F20:F28)</f>
        <v>29</v>
      </c>
      <c r="G29" s="45" t="n">
        <f aca="false">SUM(G20:G28)</f>
        <v>26</v>
      </c>
      <c r="H29" s="45" t="n">
        <f aca="false">SUM(H20:H28)</f>
        <v>28</v>
      </c>
      <c r="I29" s="45" t="n">
        <f aca="false">SUM(I20:I28)</f>
        <v>21</v>
      </c>
      <c r="J29" s="45" t="n">
        <f aca="false">SUM(J20:J28)</f>
        <v>25</v>
      </c>
      <c r="K29" s="45" t="n">
        <f aca="false">SUM(K20:K28)</f>
        <v>34</v>
      </c>
      <c r="L29" s="45" t="n">
        <f aca="false">SUM(L20:L28)</f>
        <v>42</v>
      </c>
      <c r="M29" s="45" t="n">
        <f aca="false">SUM(M20:M28)</f>
        <v>31</v>
      </c>
      <c r="N29" s="45" t="n">
        <f aca="false">SUM(N20:N28)</f>
        <v>22</v>
      </c>
      <c r="O29" s="45" t="n">
        <f aca="false">SUM(O20:O28)</f>
        <v>329</v>
      </c>
      <c r="P29" s="45" t="n">
        <f aca="false">MAX(C29:N29)</f>
        <v>42</v>
      </c>
    </row>
    <row r="30" customFormat="false" ht="15" hidden="false" customHeight="false" outlineLevel="0" collapsed="false">
      <c r="A30" s="20" t="s">
        <v>148</v>
      </c>
      <c r="B30" s="21"/>
      <c r="C30" s="45" t="n">
        <f aca="false">SUMIFS(SB_Chg,SB_Date,"&gt;="&amp;DATE(2027,1,1),SB_Date,"&lt;"&amp;DATE(2027,2,1))</f>
        <v>6421.6727076</v>
      </c>
      <c r="D30" s="45" t="n">
        <f aca="false">SUMIFS(SB_Chg,SB_Date,"&gt;="&amp;DATE(2027,2,1),SB_Date,"&lt;"&amp;DATE(2027,3,1))</f>
        <v>4134.3478236</v>
      </c>
      <c r="E30" s="45" t="n">
        <f aca="false">SUMIFS(SB_Chg,SB_Date,"&gt;="&amp;DATE(2027,3,1),SB_Date,"&lt;"&amp;DATE(2027,4,1))</f>
        <v>2932.9355556</v>
      </c>
      <c r="F30" s="45" t="n">
        <f aca="false">SUMIFS(SB_Chg,SB_Date,"&gt;="&amp;DATE(2027,4,1),SB_Date,"&lt;"&amp;DATE(2027,5,1))</f>
        <v>7746.1406796</v>
      </c>
      <c r="G30" s="45" t="n">
        <f aca="false">SUMIFS(SB_Chg,SB_Date,"&gt;="&amp;DATE(2027,5,1),SB_Date,"&lt;"&amp;DATE(2027,6,1))</f>
        <v>3989.9192868</v>
      </c>
      <c r="H30" s="45" t="n">
        <f aca="false">SUMIFS(SB_Chg,SB_Date,"&gt;="&amp;DATE(2027,6,1),SB_Date,"&lt;"&amp;DATE(2027,7,1))</f>
        <v>3329.8441728</v>
      </c>
      <c r="I30" s="45" t="n">
        <f aca="false">SUMIFS(SB_Chg,SB_Date,"&gt;="&amp;DATE(2027,7,1),SB_Date,"&lt;"&amp;DATE(2027,8,1))</f>
        <v>3606.0718452</v>
      </c>
      <c r="J30" s="45" t="n">
        <f aca="false">SUMIFS(SB_Chg,SB_Date,"&gt;="&amp;DATE(2027,8,1),SB_Date,"&lt;"&amp;DATE(2027,9,1))</f>
        <v>4906.3604508</v>
      </c>
      <c r="K30" s="45" t="n">
        <f aca="false">SUMIFS(SB_Chg,SB_Date,"&gt;="&amp;DATE(2027,9,1),SB_Date,"&lt;"&amp;DATE(2027,10,1))</f>
        <v>5732.0210472</v>
      </c>
      <c r="L30" s="45" t="n">
        <f aca="false">SUMIFS(SB_Chg,SB_Date,"&gt;="&amp;DATE(2027,10,1),SB_Date,"&lt;"&amp;DATE(2027,11,1))</f>
        <v>9471.2952948</v>
      </c>
      <c r="M30" s="45" t="n">
        <f aca="false">SUMIFS(SB_Chg,SB_Date,"&gt;="&amp;DATE(2027,11,1),SB_Date,"&lt;"&amp;DATE(2027,12,1))</f>
        <v>6152.4613692</v>
      </c>
      <c r="N30" s="45" t="n">
        <f aca="false">SUMIFS(SB_Chg,SB_Date,"&gt;="&amp;DATE(2027,12,1),SB_Date,"&lt;"&amp;DATE(2028,1,1))</f>
        <v>6850.5326304</v>
      </c>
      <c r="O30" s="45" t="n">
        <f aca="false">SUM(C30:N30)</f>
        <v>65273.6028636</v>
      </c>
      <c r="P30" s="45" t="n">
        <f aca="false">MAX(C30:N30)</f>
        <v>9471.2952948</v>
      </c>
    </row>
    <row r="32" customFormat="false" ht="15" hidden="false" customHeight="false" outlineLevel="0" collapsed="false">
      <c r="A32" s="10" t="s">
        <v>760</v>
      </c>
    </row>
    <row r="33" customFormat="false" ht="43.5" hidden="false" customHeight="true" outlineLevel="0" collapsed="false">
      <c r="A33" s="11" t="s">
        <v>101</v>
      </c>
      <c r="B33" s="11" t="s">
        <v>191</v>
      </c>
      <c r="C33" s="11" t="s">
        <v>195</v>
      </c>
      <c r="D33" s="11" t="s">
        <v>761</v>
      </c>
      <c r="E33" s="11" t="s">
        <v>762</v>
      </c>
      <c r="F33" s="11" t="s">
        <v>763</v>
      </c>
      <c r="G33" s="11" t="s">
        <v>764</v>
      </c>
      <c r="H33" s="11" t="s">
        <v>765</v>
      </c>
      <c r="I33" s="11" t="s">
        <v>766</v>
      </c>
      <c r="J33" s="11" t="s">
        <v>767</v>
      </c>
      <c r="K33" s="11" t="s">
        <v>768</v>
      </c>
      <c r="L33" s="11" t="s">
        <v>769</v>
      </c>
      <c r="M33" s="11" t="s">
        <v>770</v>
      </c>
    </row>
    <row r="34" customFormat="false" ht="15" hidden="false" customHeight="false" outlineLevel="0" collapsed="false">
      <c r="A34" s="3" t="s">
        <v>108</v>
      </c>
      <c r="B34" s="8" t="s">
        <v>109</v>
      </c>
      <c r="C34" s="8" t="str">
        <f aca="false">'Timeline Rules'!F6</f>
        <v>48 hours, next day preferred</v>
      </c>
      <c r="D34" s="46" t="n">
        <f aca="false">COUNTIF(SA_Lane,$A34)</f>
        <v>50</v>
      </c>
      <c r="E34" s="46" t="n">
        <f aca="false">COUNTIFS(SA_Lane,$A34,SA_Meet,"?*")</f>
        <v>50</v>
      </c>
      <c r="F34" s="46" t="n">
        <f aca="false">COUNTIFS(SA_Lane,$A34,SA_Meet,"Yes")</f>
        <v>30</v>
      </c>
      <c r="G34" s="47" t="n">
        <f aca="false">IFERROR(F34/E34,"")</f>
        <v>0.6</v>
      </c>
      <c r="H34" s="35" t="n">
        <f aca="false">IFERROR(SUMIFS(SA_Late,SA_Lane,$A34)/E34,"")</f>
        <v>0.68</v>
      </c>
      <c r="I34" s="46" t="n">
        <f aca="false">COUNTIF(SB_Lane,$A34)</f>
        <v>117</v>
      </c>
      <c r="J34" s="46" t="n">
        <f aca="false">COUNTIFS(SB_Lane,$A34,SB_Meet,"?*")</f>
        <v>117</v>
      </c>
      <c r="K34" s="46" t="n">
        <f aca="false">COUNTIFS(SB_Lane,$A34,SB_Meet,"Yes")</f>
        <v>70</v>
      </c>
      <c r="L34" s="47" t="n">
        <f aca="false">IFERROR(K34/J34,"")</f>
        <v>0.598290598290598</v>
      </c>
      <c r="M34" s="35" t="n">
        <f aca="false">IFERROR(SUMIFS(SB_Late,SB_Lane,$A34)/J34,"")</f>
        <v>0.692307692307692</v>
      </c>
    </row>
    <row r="35" customFormat="false" ht="15" hidden="false" customHeight="false" outlineLevel="0" collapsed="false">
      <c r="A35" s="3" t="s">
        <v>112</v>
      </c>
      <c r="B35" s="8" t="s">
        <v>113</v>
      </c>
      <c r="C35" s="8" t="str">
        <f aca="false">'Timeline Rules'!F7</f>
        <v>48 hours, next day preferred</v>
      </c>
      <c r="D35" s="46" t="n">
        <f aca="false">COUNTIF(SA_Lane,$A35)</f>
        <v>36</v>
      </c>
      <c r="E35" s="46" t="n">
        <f aca="false">COUNTIFS(SA_Lane,$A35,SA_Meet,"?*")</f>
        <v>36</v>
      </c>
      <c r="F35" s="46" t="n">
        <f aca="false">COUNTIFS(SA_Lane,$A35,SA_Meet,"Yes")</f>
        <v>32</v>
      </c>
      <c r="G35" s="47" t="n">
        <f aca="false">IFERROR(F35/E35,"")</f>
        <v>0.888888888888889</v>
      </c>
      <c r="H35" s="35" t="n">
        <f aca="false">IFERROR(SUMIFS(SA_Late,SA_Lane,$A35)/E35,"")</f>
        <v>0.111111111111111</v>
      </c>
      <c r="I35" s="46" t="n">
        <f aca="false">COUNTIF(SB_Lane,$A35)</f>
        <v>84</v>
      </c>
      <c r="J35" s="46" t="n">
        <f aca="false">COUNTIFS(SB_Lane,$A35,SB_Meet,"?*")</f>
        <v>84</v>
      </c>
      <c r="K35" s="46" t="n">
        <f aca="false">COUNTIFS(SB_Lane,$A35,SB_Meet,"Yes")</f>
        <v>75</v>
      </c>
      <c r="L35" s="47" t="n">
        <f aca="false">IFERROR(K35/J35,"")</f>
        <v>0.892857142857143</v>
      </c>
      <c r="M35" s="35" t="n">
        <f aca="false">IFERROR(SUMIFS(SB_Late,SB_Lane,$A35)/J35,"")</f>
        <v>0.107142857142857</v>
      </c>
    </row>
    <row r="36" customFormat="false" ht="15" hidden="false" customHeight="false" outlineLevel="0" collapsed="false">
      <c r="A36" s="3" t="s">
        <v>115</v>
      </c>
      <c r="B36" s="8" t="s">
        <v>116</v>
      </c>
      <c r="C36" s="8" t="str">
        <f aca="false">'Timeline Rules'!F8</f>
        <v>48 hours, next day preferred</v>
      </c>
      <c r="D36" s="46" t="n">
        <f aca="false">COUNTIF(SA_Lane,$A36)</f>
        <v>12</v>
      </c>
      <c r="E36" s="46" t="n">
        <f aca="false">COUNTIFS(SA_Lane,$A36,SA_Meet,"?*")</f>
        <v>12</v>
      </c>
      <c r="F36" s="46" t="n">
        <f aca="false">COUNTIFS(SA_Lane,$A36,SA_Meet,"Yes")</f>
        <v>2</v>
      </c>
      <c r="G36" s="47" t="n">
        <f aca="false">IFERROR(F36/E36,"")</f>
        <v>0.166666666666667</v>
      </c>
      <c r="H36" s="35" t="n">
        <f aca="false">IFERROR(SUMIFS(SA_Late,SA_Lane,$A36)/E36,"")</f>
        <v>1</v>
      </c>
      <c r="I36" s="46" t="n">
        <f aca="false">COUNTIF(SB_Lane,$A36)</f>
        <v>29</v>
      </c>
      <c r="J36" s="46" t="n">
        <f aca="false">COUNTIFS(SB_Lane,$A36,SB_Meet,"?*")</f>
        <v>29</v>
      </c>
      <c r="K36" s="46" t="n">
        <f aca="false">COUNTIFS(SB_Lane,$A36,SB_Meet,"Yes")</f>
        <v>5</v>
      </c>
      <c r="L36" s="47" t="n">
        <f aca="false">IFERROR(K36/J36,"")</f>
        <v>0.172413793103448</v>
      </c>
      <c r="M36" s="35" t="n">
        <f aca="false">IFERROR(SUMIFS(SB_Late,SB_Lane,$A36)/J36,"")</f>
        <v>1</v>
      </c>
    </row>
    <row r="37" customFormat="false" ht="15" hidden="false" customHeight="false" outlineLevel="0" collapsed="false">
      <c r="A37" s="3" t="s">
        <v>117</v>
      </c>
      <c r="B37" s="8" t="s">
        <v>118</v>
      </c>
      <c r="C37" s="8" t="str">
        <f aca="false">'Timeline Rules'!F9</f>
        <v>48 hours, next day preferred</v>
      </c>
      <c r="D37" s="46" t="n">
        <f aca="false">COUNTIF(SA_Lane,$A37)</f>
        <v>10</v>
      </c>
      <c r="E37" s="46" t="n">
        <f aca="false">COUNTIFS(SA_Lane,$A37,SA_Meet,"?*")</f>
        <v>10</v>
      </c>
      <c r="F37" s="46" t="n">
        <f aca="false">COUNTIFS(SA_Lane,$A37,SA_Meet,"Yes")</f>
        <v>10</v>
      </c>
      <c r="G37" s="47" t="n">
        <f aca="false">IFERROR(F37/E37,"")</f>
        <v>1</v>
      </c>
      <c r="H37" s="35" t="n">
        <f aca="false">IFERROR(SUMIFS(SA_Late,SA_Lane,$A37)/E37,"")</f>
        <v>0</v>
      </c>
      <c r="I37" s="46" t="n">
        <f aca="false">COUNTIF(SB_Lane,$A37)</f>
        <v>23</v>
      </c>
      <c r="J37" s="46" t="n">
        <f aca="false">COUNTIFS(SB_Lane,$A37,SB_Meet,"?*")</f>
        <v>23</v>
      </c>
      <c r="K37" s="46" t="n">
        <f aca="false">COUNTIFS(SB_Lane,$A37,SB_Meet,"Yes")</f>
        <v>23</v>
      </c>
      <c r="L37" s="47" t="n">
        <f aca="false">IFERROR(K37/J37,"")</f>
        <v>1</v>
      </c>
      <c r="M37" s="35" t="n">
        <f aca="false">IFERROR(SUMIFS(SB_Late,SB_Lane,$A37)/J37,"")</f>
        <v>0</v>
      </c>
    </row>
    <row r="38" customFormat="false" ht="15" hidden="false" customHeight="false" outlineLevel="0" collapsed="false">
      <c r="A38" s="3" t="s">
        <v>119</v>
      </c>
      <c r="B38" s="8" t="s">
        <v>120</v>
      </c>
      <c r="C38" s="8" t="str">
        <f aca="false">'Timeline Rules'!F10</f>
        <v>3 working days</v>
      </c>
      <c r="D38" s="46" t="n">
        <f aca="false">COUNTIF(SA_Lane,$A38)</f>
        <v>16</v>
      </c>
      <c r="E38" s="46" t="n">
        <f aca="false">COUNTIFS(SA_Lane,$A38,SA_Meet,"?*")</f>
        <v>16</v>
      </c>
      <c r="F38" s="46" t="n">
        <f aca="false">COUNTIFS(SA_Lane,$A38,SA_Meet,"Yes")</f>
        <v>16</v>
      </c>
      <c r="G38" s="47" t="n">
        <f aca="false">IFERROR(F38/E38,"")</f>
        <v>1</v>
      </c>
      <c r="H38" s="35" t="n">
        <f aca="false">IFERROR(SUMIFS(SA_Late,SA_Lane,$A38)/E38,"")</f>
        <v>0</v>
      </c>
      <c r="I38" s="46" t="n">
        <f aca="false">COUNTIF(SB_Lane,$A38)</f>
        <v>37</v>
      </c>
      <c r="J38" s="46" t="n">
        <f aca="false">COUNTIFS(SB_Lane,$A38,SB_Meet,"?*")</f>
        <v>37</v>
      </c>
      <c r="K38" s="46" t="n">
        <f aca="false">COUNTIFS(SB_Lane,$A38,SB_Meet,"Yes")</f>
        <v>37</v>
      </c>
      <c r="L38" s="47" t="n">
        <f aca="false">IFERROR(K38/J38,"")</f>
        <v>1</v>
      </c>
      <c r="M38" s="35" t="n">
        <f aca="false">IFERROR(SUMIFS(SB_Late,SB_Lane,$A38)/J38,"")</f>
        <v>0</v>
      </c>
    </row>
    <row r="39" customFormat="false" ht="15" hidden="false" customHeight="false" outlineLevel="0" collapsed="false">
      <c r="A39" s="3" t="s">
        <v>121</v>
      </c>
      <c r="B39" s="8" t="s">
        <v>122</v>
      </c>
      <c r="C39" s="8" t="str">
        <f aca="false">'Timeline Rules'!F11</f>
        <v>3 working days</v>
      </c>
      <c r="D39" s="46" t="n">
        <f aca="false">COUNTIF(SA_Lane,$A39)</f>
        <v>6</v>
      </c>
      <c r="E39" s="46" t="n">
        <f aca="false">COUNTIFS(SA_Lane,$A39,SA_Meet,"?*")</f>
        <v>6</v>
      </c>
      <c r="F39" s="46" t="n">
        <f aca="false">COUNTIFS(SA_Lane,$A39,SA_Meet,"Yes")</f>
        <v>5</v>
      </c>
      <c r="G39" s="47" t="n">
        <f aca="false">IFERROR(F39/E39,"")</f>
        <v>0.833333333333333</v>
      </c>
      <c r="H39" s="35" t="n">
        <f aca="false">IFERROR(SUMIFS(SA_Late,SA_Lane,$A39)/E39,"")</f>
        <v>0.166666666666667</v>
      </c>
      <c r="I39" s="46" t="n">
        <f aca="false">COUNTIF(SB_Lane,$A39)</f>
        <v>13</v>
      </c>
      <c r="J39" s="46" t="n">
        <f aca="false">COUNTIFS(SB_Lane,$A39,SB_Meet,"?*")</f>
        <v>13</v>
      </c>
      <c r="K39" s="46" t="n">
        <f aca="false">COUNTIFS(SB_Lane,$A39,SB_Meet,"Yes")</f>
        <v>12</v>
      </c>
      <c r="L39" s="47" t="n">
        <f aca="false">IFERROR(K39/J39,"")</f>
        <v>0.923076923076923</v>
      </c>
      <c r="M39" s="35" t="n">
        <f aca="false">IFERROR(SUMIFS(SB_Late,SB_Lane,$A39)/J39,"")</f>
        <v>0.0769230769230769</v>
      </c>
    </row>
    <row r="40" customFormat="false" ht="15" hidden="false" customHeight="false" outlineLevel="0" collapsed="false">
      <c r="A40" s="3" t="s">
        <v>124</v>
      </c>
      <c r="B40" s="8" t="s">
        <v>125</v>
      </c>
      <c r="C40" s="8" t="str">
        <f aca="false">'Timeline Rules'!F12</f>
        <v>5 working days</v>
      </c>
      <c r="D40" s="46" t="n">
        <f aca="false">COUNTIF(SA_Lane,$A40)</f>
        <v>4</v>
      </c>
      <c r="E40" s="46" t="n">
        <f aca="false">COUNTIFS(SA_Lane,$A40,SA_Meet,"?*")</f>
        <v>4</v>
      </c>
      <c r="F40" s="46" t="n">
        <f aca="false">COUNTIFS(SA_Lane,$A40,SA_Meet,"Yes")</f>
        <v>4</v>
      </c>
      <c r="G40" s="47" t="n">
        <f aca="false">IFERROR(F40/E40,"")</f>
        <v>1</v>
      </c>
      <c r="H40" s="35" t="n">
        <f aca="false">IFERROR(SUMIFS(SA_Late,SA_Lane,$A40)/E40,"")</f>
        <v>0</v>
      </c>
      <c r="I40" s="46" t="n">
        <f aca="false">COUNTIF(SB_Lane,$A40)</f>
        <v>9</v>
      </c>
      <c r="J40" s="46" t="n">
        <f aca="false">COUNTIFS(SB_Lane,$A40,SB_Meet,"?*")</f>
        <v>9</v>
      </c>
      <c r="K40" s="46" t="n">
        <f aca="false">COUNTIFS(SB_Lane,$A40,SB_Meet,"Yes")</f>
        <v>9</v>
      </c>
      <c r="L40" s="47" t="n">
        <f aca="false">IFERROR(K40/J40,"")</f>
        <v>1</v>
      </c>
      <c r="M40" s="35" t="n">
        <f aca="false">IFERROR(SUMIFS(SB_Late,SB_Lane,$A40)/J40,"")</f>
        <v>0</v>
      </c>
    </row>
    <row r="41" customFormat="false" ht="15" hidden="false" customHeight="false" outlineLevel="0" collapsed="false">
      <c r="A41" s="3" t="s">
        <v>126</v>
      </c>
      <c r="B41" s="8" t="s">
        <v>127</v>
      </c>
      <c r="C41" s="8" t="str">
        <f aca="false">'Timeline Rules'!F13</f>
        <v>4 working days</v>
      </c>
      <c r="D41" s="46" t="n">
        <f aca="false">COUNTIF(SA_Lane,$A41)</f>
        <v>6</v>
      </c>
      <c r="E41" s="46" t="n">
        <f aca="false">COUNTIFS(SA_Lane,$A41,SA_Meet,"?*")</f>
        <v>6</v>
      </c>
      <c r="F41" s="46" t="n">
        <f aca="false">COUNTIFS(SA_Lane,$A41,SA_Meet,"Yes")</f>
        <v>6</v>
      </c>
      <c r="G41" s="47" t="n">
        <f aca="false">IFERROR(F41/E41,"")</f>
        <v>1</v>
      </c>
      <c r="H41" s="35" t="n">
        <f aca="false">IFERROR(SUMIFS(SA_Late,SA_Lane,$A41)/E41,"")</f>
        <v>0</v>
      </c>
      <c r="I41" s="46" t="n">
        <f aca="false">COUNTIF(SB_Lane,$A41)</f>
        <v>13</v>
      </c>
      <c r="J41" s="46" t="n">
        <f aca="false">COUNTIFS(SB_Lane,$A41,SB_Meet,"?*")</f>
        <v>13</v>
      </c>
      <c r="K41" s="46" t="n">
        <f aca="false">COUNTIFS(SB_Lane,$A41,SB_Meet,"Yes")</f>
        <v>13</v>
      </c>
      <c r="L41" s="47" t="n">
        <f aca="false">IFERROR(K41/J41,"")</f>
        <v>1</v>
      </c>
      <c r="M41" s="35" t="n">
        <f aca="false">IFERROR(SUMIFS(SB_Late,SB_Lane,$A41)/J41,"")</f>
        <v>0</v>
      </c>
    </row>
    <row r="42" customFormat="false" ht="15" hidden="false" customHeight="false" outlineLevel="0" collapsed="false">
      <c r="A42" s="3" t="s">
        <v>129</v>
      </c>
      <c r="B42" s="8" t="s">
        <v>130</v>
      </c>
      <c r="C42" s="8" t="str">
        <f aca="false">'Timeline Rules'!F14</f>
        <v>4 working days</v>
      </c>
      <c r="D42" s="46" t="n">
        <f aca="false">COUNTIF(SA_Lane,$A42)</f>
        <v>1</v>
      </c>
      <c r="E42" s="46" t="n">
        <f aca="false">COUNTIFS(SA_Lane,$A42,SA_Meet,"?*")</f>
        <v>1</v>
      </c>
      <c r="F42" s="46" t="n">
        <f aca="false">COUNTIFS(SA_Lane,$A42,SA_Meet,"Yes")</f>
        <v>1</v>
      </c>
      <c r="G42" s="47" t="n">
        <f aca="false">IFERROR(F42/E42,"")</f>
        <v>1</v>
      </c>
      <c r="H42" s="35" t="n">
        <f aca="false">IFERROR(SUMIFS(SA_Late,SA_Lane,$A42)/E42,"")</f>
        <v>0</v>
      </c>
      <c r="I42" s="46" t="n">
        <f aca="false">COUNTIF(SB_Lane,$A42)</f>
        <v>4</v>
      </c>
      <c r="J42" s="46" t="n">
        <f aca="false">COUNTIFS(SB_Lane,$A42,SB_Meet,"?*")</f>
        <v>4</v>
      </c>
      <c r="K42" s="46" t="n">
        <f aca="false">COUNTIFS(SB_Lane,$A42,SB_Meet,"Yes")</f>
        <v>4</v>
      </c>
      <c r="L42" s="47" t="n">
        <f aca="false">IFERROR(K42/J42,"")</f>
        <v>1</v>
      </c>
      <c r="M42" s="35" t="n">
        <f aca="false">IFERROR(SUMIFS(SB_Late,SB_Lane,$A42)/J42,"")</f>
        <v>0</v>
      </c>
    </row>
    <row r="43" customFormat="false" ht="15" hidden="false" customHeight="false" outlineLevel="0" collapsed="false">
      <c r="A43" s="20" t="s">
        <v>160</v>
      </c>
      <c r="B43" s="21"/>
      <c r="C43" s="21"/>
      <c r="D43" s="45" t="n">
        <f aca="false">SUM(D34:D42)</f>
        <v>141</v>
      </c>
      <c r="E43" s="45" t="n">
        <f aca="false">SUM(E34:E42)</f>
        <v>141</v>
      </c>
      <c r="F43" s="45" t="n">
        <f aca="false">SUM(F34:F42)</f>
        <v>106</v>
      </c>
      <c r="G43" s="48" t="n">
        <f aca="false">IFERROR(F43/E43,"")</f>
        <v>0.75177304964539</v>
      </c>
      <c r="H43" s="49" t="n">
        <f aca="false">IFERROR(SUMPRODUCT(H34:H42,E34:E42)/E43,"")</f>
        <v>0.361702127659575</v>
      </c>
      <c r="I43" s="45" t="n">
        <f aca="false">SUM(I34:I42)</f>
        <v>329</v>
      </c>
      <c r="J43" s="45" t="n">
        <f aca="false">SUM(J34:J42)</f>
        <v>329</v>
      </c>
      <c r="K43" s="45" t="n">
        <f aca="false">SUM(K34:K42)</f>
        <v>248</v>
      </c>
      <c r="L43" s="48" t="n">
        <f aca="false">IFERROR(K43/J43,"")</f>
        <v>0.753799392097264</v>
      </c>
      <c r="M43" s="49" t="n">
        <f aca="false">IFERROR(SUMPRODUCT(M34:M42,J34:J42)/J43,"")</f>
        <v>0.364741641337386</v>
      </c>
    </row>
    <row r="47" customFormat="false" ht="15" hidden="false" customHeight="false" outlineLevel="0" collapsed="false">
      <c r="A47" s="10" t="s">
        <v>771</v>
      </c>
    </row>
    <row r="48" customFormat="false" ht="30" hidden="false" customHeight="true" outlineLevel="0" collapsed="false">
      <c r="A48" s="11" t="s">
        <v>772</v>
      </c>
      <c r="B48" s="11" t="s">
        <v>761</v>
      </c>
      <c r="C48" s="11" t="s">
        <v>773</v>
      </c>
      <c r="D48" s="11" t="s">
        <v>766</v>
      </c>
      <c r="E48" s="11" t="s">
        <v>774</v>
      </c>
    </row>
    <row r="49" customFormat="false" ht="15" hidden="false" customHeight="false" outlineLevel="0" collapsed="false">
      <c r="A49" s="50" t="n">
        <v>46384</v>
      </c>
      <c r="B49" s="46" t="n">
        <f aca="false">COUNTIF(SA_Week,A49)</f>
        <v>0</v>
      </c>
      <c r="C49" s="18" t="n">
        <f aca="false">SUMIFS(SA_Chg,SA_Week,A49)</f>
        <v>0</v>
      </c>
      <c r="D49" s="46" t="n">
        <f aca="false">COUNTIF(SB_Week,A49)</f>
        <v>0</v>
      </c>
      <c r="E49" s="18" t="n">
        <f aca="false">SUMIFS(SB_Chg,SB_Week,A49)</f>
        <v>0</v>
      </c>
    </row>
    <row r="50" customFormat="false" ht="15" hidden="false" customHeight="false" outlineLevel="0" collapsed="false">
      <c r="A50" s="50" t="n">
        <v>46391</v>
      </c>
      <c r="B50" s="46" t="n">
        <f aca="false">COUNTIF(SA_Week,A50)</f>
        <v>4</v>
      </c>
      <c r="C50" s="18" t="n">
        <f aca="false">SUMIFS(SA_Chg,SA_Week,A50)</f>
        <v>608.6939604</v>
      </c>
      <c r="D50" s="46" t="n">
        <f aca="false">COUNTIF(SB_Week,A50)</f>
        <v>5</v>
      </c>
      <c r="E50" s="18" t="n">
        <f aca="false">SUMIFS(SB_Chg,SB_Week,A50)</f>
        <v>191.7078336</v>
      </c>
    </row>
    <row r="51" customFormat="false" ht="15" hidden="false" customHeight="false" outlineLevel="0" collapsed="false">
      <c r="A51" s="50" t="n">
        <v>46398</v>
      </c>
      <c r="B51" s="46" t="n">
        <f aca="false">COUNTIF(SA_Week,A51)</f>
        <v>5</v>
      </c>
      <c r="C51" s="18" t="n">
        <f aca="false">SUMIFS(SA_Chg,SA_Week,A51)</f>
        <v>1456.2671076</v>
      </c>
      <c r="D51" s="46" t="n">
        <f aca="false">COUNTIF(SB_Week,A51)</f>
        <v>8</v>
      </c>
      <c r="E51" s="18" t="n">
        <f aca="false">SUMIFS(SB_Chg,SB_Week,A51)</f>
        <v>832.784874</v>
      </c>
    </row>
    <row r="52" customFormat="false" ht="15" hidden="false" customHeight="false" outlineLevel="0" collapsed="false">
      <c r="A52" s="50" t="n">
        <v>46405</v>
      </c>
      <c r="B52" s="46" t="n">
        <f aca="false">COUNTIF(SA_Week,A52)</f>
        <v>1</v>
      </c>
      <c r="C52" s="18" t="n">
        <f aca="false">SUMIFS(SA_Chg,SA_Week,A52)</f>
        <v>1179.823548</v>
      </c>
      <c r="D52" s="46" t="n">
        <f aca="false">COUNTIF(SB_Week,A52)</f>
        <v>7</v>
      </c>
      <c r="E52" s="18" t="n">
        <f aca="false">SUMIFS(SB_Chg,SB_Week,A52)</f>
        <v>973.3274412</v>
      </c>
    </row>
    <row r="53" customFormat="false" ht="15" hidden="false" customHeight="false" outlineLevel="0" collapsed="false">
      <c r="A53" s="50" t="n">
        <v>46412</v>
      </c>
      <c r="B53" s="46" t="n">
        <f aca="false">COUNTIF(SA_Week,A53)</f>
        <v>3</v>
      </c>
      <c r="C53" s="18" t="n">
        <f aca="false">SUMIFS(SA_Chg,SA_Week,A53)</f>
        <v>525.0376704</v>
      </c>
      <c r="D53" s="46" t="n">
        <f aca="false">COUNTIF(SB_Week,A53)</f>
        <v>9</v>
      </c>
      <c r="E53" s="18" t="n">
        <f aca="false">SUMIFS(SB_Chg,SB_Week,A53)</f>
        <v>4423.8525588</v>
      </c>
    </row>
    <row r="54" customFormat="false" ht="15" hidden="false" customHeight="false" outlineLevel="0" collapsed="false">
      <c r="A54" s="50" t="n">
        <v>46419</v>
      </c>
      <c r="B54" s="46" t="n">
        <f aca="false">COUNTIF(SA_Week,A54)</f>
        <v>3</v>
      </c>
      <c r="C54" s="18" t="n">
        <f aca="false">SUMIFS(SA_Chg,SA_Week,A54)</f>
        <v>580.9524552</v>
      </c>
      <c r="D54" s="46" t="n">
        <f aca="false">COUNTIF(SB_Week,A54)</f>
        <v>5</v>
      </c>
      <c r="E54" s="18" t="n">
        <f aca="false">SUMIFS(SB_Chg,SB_Week,A54)</f>
        <v>318.6495072</v>
      </c>
    </row>
    <row r="55" customFormat="false" ht="15" hidden="false" customHeight="false" outlineLevel="0" collapsed="false">
      <c r="A55" s="50" t="n">
        <v>46426</v>
      </c>
      <c r="B55" s="46" t="n">
        <f aca="false">COUNTIF(SA_Week,A55)</f>
        <v>3</v>
      </c>
      <c r="C55" s="18" t="n">
        <f aca="false">SUMIFS(SA_Chg,SA_Week,A55)</f>
        <v>69.623622</v>
      </c>
      <c r="D55" s="46" t="n">
        <f aca="false">COUNTIF(SB_Week,A55)</f>
        <v>4</v>
      </c>
      <c r="E55" s="18" t="n">
        <f aca="false">SUMIFS(SB_Chg,SB_Week,A55)</f>
        <v>1876.059768</v>
      </c>
    </row>
    <row r="56" customFormat="false" ht="15" hidden="false" customHeight="false" outlineLevel="0" collapsed="false">
      <c r="A56" s="50" t="n">
        <v>46433</v>
      </c>
      <c r="B56" s="46" t="n">
        <f aca="false">COUNTIF(SA_Week,A56)</f>
        <v>4</v>
      </c>
      <c r="C56" s="18" t="n">
        <f aca="false">SUMIFS(SA_Chg,SA_Week,A56)</f>
        <v>2372.7082716</v>
      </c>
      <c r="D56" s="46" t="n">
        <f aca="false">COUNTIF(SB_Week,A56)</f>
        <v>11</v>
      </c>
      <c r="E56" s="18" t="n">
        <f aca="false">SUMIFS(SB_Chg,SB_Week,A56)</f>
        <v>1631.3516268</v>
      </c>
    </row>
    <row r="57" customFormat="false" ht="15" hidden="false" customHeight="false" outlineLevel="0" collapsed="false">
      <c r="A57" s="50" t="n">
        <v>46440</v>
      </c>
      <c r="B57" s="46" t="n">
        <f aca="false">COUNTIF(SA_Week,A57)</f>
        <v>3</v>
      </c>
      <c r="C57" s="18" t="n">
        <f aca="false">SUMIFS(SA_Chg,SA_Week,A57)</f>
        <v>920.9747952</v>
      </c>
      <c r="D57" s="46" t="n">
        <f aca="false">COUNTIF(SB_Week,A57)</f>
        <v>3</v>
      </c>
      <c r="E57" s="18" t="n">
        <f aca="false">SUMIFS(SB_Chg,SB_Week,A57)</f>
        <v>308.2869216</v>
      </c>
    </row>
    <row r="58" customFormat="false" ht="15" hidden="false" customHeight="false" outlineLevel="0" collapsed="false">
      <c r="A58" s="50" t="n">
        <v>46447</v>
      </c>
      <c r="B58" s="46" t="n">
        <f aca="false">COUNTIF(SA_Week,A58)</f>
        <v>1</v>
      </c>
      <c r="C58" s="18" t="n">
        <f aca="false">SUMIFS(SA_Chg,SA_Week,A58)</f>
        <v>13.6008936</v>
      </c>
      <c r="D58" s="46" t="n">
        <f aca="false">COUNTIF(SB_Week,A58)</f>
        <v>4</v>
      </c>
      <c r="E58" s="18" t="n">
        <f aca="false">SUMIFS(SB_Chg,SB_Week,A58)</f>
        <v>347.1466176</v>
      </c>
    </row>
    <row r="59" customFormat="false" ht="15" hidden="false" customHeight="false" outlineLevel="0" collapsed="false">
      <c r="A59" s="50" t="n">
        <v>46454</v>
      </c>
      <c r="B59" s="46" t="n">
        <f aca="false">COUNTIF(SA_Week,A59)</f>
        <v>0</v>
      </c>
      <c r="C59" s="18" t="n">
        <f aca="false">SUMIFS(SA_Chg,SA_Week,A59)</f>
        <v>0</v>
      </c>
      <c r="D59" s="46" t="n">
        <f aca="false">COUNTIF(SB_Week,A59)</f>
        <v>7</v>
      </c>
      <c r="E59" s="18" t="n">
        <f aca="false">SUMIFS(SB_Chg,SB_Week,A59)</f>
        <v>860.2025484</v>
      </c>
    </row>
    <row r="60" customFormat="false" ht="15" hidden="false" customHeight="false" outlineLevel="0" collapsed="false">
      <c r="A60" s="50" t="n">
        <v>46461</v>
      </c>
      <c r="B60" s="46" t="n">
        <f aca="false">COUNTIF(SA_Week,A60)</f>
        <v>3</v>
      </c>
      <c r="C60" s="18" t="n">
        <f aca="false">SUMIFS(SA_Chg,SA_Week,A60)</f>
        <v>432.853836</v>
      </c>
      <c r="D60" s="46" t="n">
        <f aca="false">COUNTIF(SB_Week,A60)</f>
        <v>3</v>
      </c>
      <c r="E60" s="18" t="n">
        <f aca="false">SUMIFS(SB_Chg,SB_Week,A60)</f>
        <v>522.5549676</v>
      </c>
    </row>
    <row r="61" customFormat="false" ht="15" hidden="false" customHeight="false" outlineLevel="0" collapsed="false">
      <c r="A61" s="50" t="n">
        <v>46468</v>
      </c>
      <c r="B61" s="46" t="n">
        <f aca="false">COUNTIF(SA_Week,A61)</f>
        <v>4</v>
      </c>
      <c r="C61" s="18" t="n">
        <f aca="false">SUMIFS(SA_Chg,SA_Week,A61)</f>
        <v>1037.0141652</v>
      </c>
      <c r="D61" s="46" t="n">
        <f aca="false">COUNTIF(SB_Week,A61)</f>
        <v>4</v>
      </c>
      <c r="E61" s="18" t="n">
        <f aca="false">SUMIFS(SB_Chg,SB_Week,A61)</f>
        <v>1189.1066976</v>
      </c>
    </row>
    <row r="62" customFormat="false" ht="15" hidden="false" customHeight="false" outlineLevel="0" collapsed="false">
      <c r="A62" s="50" t="n">
        <v>46475</v>
      </c>
      <c r="B62" s="46" t="n">
        <f aca="false">COUNTIF(SA_Week,A62)</f>
        <v>2</v>
      </c>
      <c r="C62" s="18" t="n">
        <f aca="false">SUMIFS(SA_Chg,SA_Week,A62)</f>
        <v>436.9556928</v>
      </c>
      <c r="D62" s="46" t="n">
        <f aca="false">COUNTIF(SB_Week,A62)</f>
        <v>3</v>
      </c>
      <c r="E62" s="18" t="n">
        <f aca="false">SUMIFS(SB_Chg,SB_Week,A62)</f>
        <v>449.1533196</v>
      </c>
    </row>
    <row r="63" customFormat="false" ht="15" hidden="false" customHeight="false" outlineLevel="0" collapsed="false">
      <c r="A63" s="50" t="n">
        <v>46482</v>
      </c>
      <c r="B63" s="46" t="n">
        <f aca="false">COUNTIF(SA_Week,A63)</f>
        <v>2</v>
      </c>
      <c r="C63" s="18" t="n">
        <f aca="false">SUMIFS(SA_Chg,SA_Week,A63)</f>
        <v>60.448416</v>
      </c>
      <c r="D63" s="46" t="n">
        <f aca="false">COUNTIF(SB_Week,A63)</f>
        <v>7</v>
      </c>
      <c r="E63" s="18" t="n">
        <f aca="false">SUMIFS(SB_Chg,SB_Week,A63)</f>
        <v>1221.381834</v>
      </c>
    </row>
    <row r="64" customFormat="false" ht="15" hidden="false" customHeight="false" outlineLevel="0" collapsed="false">
      <c r="A64" s="50" t="n">
        <v>46489</v>
      </c>
      <c r="B64" s="46" t="n">
        <f aca="false">COUNTIF(SA_Week,A64)</f>
        <v>4</v>
      </c>
      <c r="C64" s="18" t="n">
        <f aca="false">SUMIFS(SA_Chg,SA_Week,A64)</f>
        <v>503.4489504</v>
      </c>
      <c r="D64" s="46" t="n">
        <f aca="false">COUNTIF(SB_Week,A64)</f>
        <v>11</v>
      </c>
      <c r="E64" s="18" t="n">
        <f aca="false">SUMIFS(SB_Chg,SB_Week,A64)</f>
        <v>2945.0252388</v>
      </c>
    </row>
    <row r="65" customFormat="false" ht="15" hidden="false" customHeight="false" outlineLevel="0" collapsed="false">
      <c r="A65" s="50" t="n">
        <v>46496</v>
      </c>
      <c r="B65" s="46" t="n">
        <f aca="false">COUNTIF(SA_Week,A65)</f>
        <v>4</v>
      </c>
      <c r="C65" s="18" t="n">
        <f aca="false">SUMIFS(SA_Chg,SA_Week,A65)</f>
        <v>1633.4025552</v>
      </c>
      <c r="D65" s="46" t="n">
        <f aca="false">COUNTIF(SB_Week,A65)</f>
        <v>3</v>
      </c>
      <c r="E65" s="18" t="n">
        <f aca="false">SUMIFS(SB_Chg,SB_Week,A65)</f>
        <v>730.778172</v>
      </c>
    </row>
    <row r="66" customFormat="false" ht="15" hidden="false" customHeight="false" outlineLevel="0" collapsed="false">
      <c r="A66" s="50" t="n">
        <v>46503</v>
      </c>
      <c r="B66" s="46" t="n">
        <f aca="false">COUNTIF(SA_Week,A66)</f>
        <v>4</v>
      </c>
      <c r="C66" s="18" t="n">
        <f aca="false">SUMIFS(SA_Chg,SA_Week,A66)</f>
        <v>344.340084</v>
      </c>
      <c r="D66" s="46" t="n">
        <f aca="false">COUNTIF(SB_Week,A66)</f>
        <v>6</v>
      </c>
      <c r="E66" s="18" t="n">
        <f aca="false">SUMIFS(SB_Chg,SB_Week,A66)</f>
        <v>2413.7268396</v>
      </c>
    </row>
    <row r="67" customFormat="false" ht="15" hidden="false" customHeight="false" outlineLevel="0" collapsed="false">
      <c r="A67" s="50" t="n">
        <v>46510</v>
      </c>
      <c r="B67" s="46" t="n">
        <f aca="false">COUNTIF(SA_Week,A67)</f>
        <v>3</v>
      </c>
      <c r="C67" s="18" t="n">
        <f aca="false">SUMIFS(SA_Chg,SA_Week,A67)</f>
        <v>1666.3253532</v>
      </c>
      <c r="D67" s="46" t="n">
        <f aca="false">COUNTIF(SB_Week,A67)</f>
        <v>4</v>
      </c>
      <c r="E67" s="18" t="n">
        <f aca="false">SUMIFS(SB_Chg,SB_Week,A67)</f>
        <v>734.8800288</v>
      </c>
    </row>
    <row r="68" customFormat="false" ht="15" hidden="false" customHeight="false" outlineLevel="0" collapsed="false">
      <c r="A68" s="50" t="n">
        <v>46517</v>
      </c>
      <c r="B68" s="46" t="n">
        <f aca="false">COUNTIF(SA_Week,A68)</f>
        <v>3</v>
      </c>
      <c r="C68" s="18" t="n">
        <f aca="false">SUMIFS(SA_Chg,SA_Week,A68)</f>
        <v>232.07874</v>
      </c>
      <c r="D68" s="46" t="n">
        <f aca="false">COUNTIF(SB_Week,A68)</f>
        <v>7</v>
      </c>
      <c r="E68" s="18" t="n">
        <f aca="false">SUMIFS(SB_Chg,SB_Week,A68)</f>
        <v>309.6901884</v>
      </c>
    </row>
    <row r="69" customFormat="false" ht="15" hidden="false" customHeight="false" outlineLevel="0" collapsed="false">
      <c r="A69" s="50" t="n">
        <v>46524</v>
      </c>
      <c r="B69" s="46" t="n">
        <f aca="false">COUNTIF(SA_Week,A69)</f>
        <v>0</v>
      </c>
      <c r="C69" s="18" t="n">
        <f aca="false">SUMIFS(SA_Chg,SA_Week,A69)</f>
        <v>0</v>
      </c>
      <c r="D69" s="46" t="n">
        <f aca="false">COUNTIF(SB_Week,A69)</f>
        <v>6</v>
      </c>
      <c r="E69" s="18" t="n">
        <f aca="false">SUMIFS(SB_Chg,SB_Week,A69)</f>
        <v>192.2475516</v>
      </c>
    </row>
    <row r="70" customFormat="false" ht="15" hidden="false" customHeight="false" outlineLevel="0" collapsed="false">
      <c r="A70" s="50" t="n">
        <v>46531</v>
      </c>
      <c r="B70" s="46" t="n">
        <f aca="false">COUNTIF(SA_Week,A70)</f>
        <v>4</v>
      </c>
      <c r="C70" s="18" t="n">
        <f aca="false">SUMIFS(SA_Chg,SA_Week,A70)</f>
        <v>1191.3735132</v>
      </c>
      <c r="D70" s="46" t="n">
        <f aca="false">COUNTIF(SB_Week,A70)</f>
        <v>6</v>
      </c>
      <c r="E70" s="18" t="n">
        <f aca="false">SUMIFS(SB_Chg,SB_Week,A70)</f>
        <v>2562.4731204</v>
      </c>
    </row>
    <row r="71" customFormat="false" ht="15" hidden="false" customHeight="false" outlineLevel="0" collapsed="false">
      <c r="A71" s="50" t="n">
        <v>46538</v>
      </c>
      <c r="B71" s="46" t="n">
        <f aca="false">COUNTIF(SA_Week,A71)</f>
        <v>2</v>
      </c>
      <c r="C71" s="18" t="n">
        <f aca="false">SUMIFS(SA_Chg,SA_Week,A71)</f>
        <v>301.2705876</v>
      </c>
      <c r="D71" s="46" t="n">
        <f aca="false">COUNTIF(SB_Week,A71)</f>
        <v>8</v>
      </c>
      <c r="E71" s="18" t="n">
        <f aca="false">SUMIFS(SB_Chg,SB_Week,A71)</f>
        <v>632.3336088</v>
      </c>
    </row>
    <row r="72" customFormat="false" ht="15" hidden="false" customHeight="false" outlineLevel="0" collapsed="false">
      <c r="A72" s="50" t="n">
        <v>46545</v>
      </c>
      <c r="B72" s="46" t="n">
        <f aca="false">COUNTIF(SA_Week,A72)</f>
        <v>1</v>
      </c>
      <c r="C72" s="18" t="n">
        <f aca="false">SUMIFS(SA_Chg,SA_Week,A72)</f>
        <v>43.8251016</v>
      </c>
      <c r="D72" s="46" t="n">
        <f aca="false">COUNTIF(SB_Week,A72)</f>
        <v>9</v>
      </c>
      <c r="E72" s="18" t="n">
        <f aca="false">SUMIFS(SB_Chg,SB_Week,A72)</f>
        <v>1337.0973732</v>
      </c>
    </row>
    <row r="73" customFormat="false" ht="15" hidden="false" customHeight="false" outlineLevel="0" collapsed="false">
      <c r="A73" s="50" t="n">
        <v>46552</v>
      </c>
      <c r="B73" s="46" t="n">
        <f aca="false">COUNTIF(SA_Week,A73)</f>
        <v>5</v>
      </c>
      <c r="C73" s="18" t="n">
        <f aca="false">SUMIFS(SA_Chg,SA_Week,A73)</f>
        <v>452.7154584</v>
      </c>
      <c r="D73" s="46" t="n">
        <f aca="false">COUNTIF(SB_Week,A73)</f>
        <v>4</v>
      </c>
      <c r="E73" s="18" t="n">
        <f aca="false">SUMIFS(SB_Chg,SB_Week,A73)</f>
        <v>760.5706056</v>
      </c>
    </row>
    <row r="74" customFormat="false" ht="15" hidden="false" customHeight="false" outlineLevel="0" collapsed="false">
      <c r="A74" s="50" t="n">
        <v>46559</v>
      </c>
      <c r="B74" s="46" t="n">
        <f aca="false">COUNTIF(SA_Week,A74)</f>
        <v>0</v>
      </c>
      <c r="C74" s="18" t="n">
        <f aca="false">SUMIFS(SA_Chg,SA_Week,A74)</f>
        <v>0</v>
      </c>
      <c r="D74" s="46" t="n">
        <f aca="false">COUNTIF(SB_Week,A74)</f>
        <v>8</v>
      </c>
      <c r="E74" s="18" t="n">
        <f aca="false">SUMIFS(SB_Chg,SB_Week,A74)</f>
        <v>621.4313052</v>
      </c>
    </row>
    <row r="75" customFormat="false" ht="15" hidden="false" customHeight="false" outlineLevel="0" collapsed="false">
      <c r="A75" s="50" t="n">
        <v>46566</v>
      </c>
      <c r="B75" s="46" t="n">
        <f aca="false">COUNTIF(SA_Week,A75)</f>
        <v>3</v>
      </c>
      <c r="C75" s="18" t="n">
        <f aca="false">SUMIFS(SA_Chg,SA_Week,A75)</f>
        <v>1027.9469028</v>
      </c>
      <c r="D75" s="46" t="n">
        <f aca="false">COUNTIF(SB_Week,A75)</f>
        <v>2</v>
      </c>
      <c r="E75" s="18" t="n">
        <f aca="false">SUMIFS(SB_Chg,SB_Week,A75)</f>
        <v>169.0396776</v>
      </c>
    </row>
    <row r="76" customFormat="false" ht="15" hidden="false" customHeight="false" outlineLevel="0" collapsed="false">
      <c r="A76" s="50" t="n">
        <v>46573</v>
      </c>
      <c r="B76" s="46" t="n">
        <f aca="false">COUNTIF(SA_Week,A76)</f>
        <v>4</v>
      </c>
      <c r="C76" s="18" t="n">
        <f aca="false">SUMIFS(SA_Chg,SA_Week,A76)</f>
        <v>444.2958576</v>
      </c>
      <c r="D76" s="46" t="n">
        <f aca="false">COUNTIF(SB_Week,A76)</f>
        <v>5</v>
      </c>
      <c r="E76" s="18" t="n">
        <f aca="false">SUMIFS(SB_Chg,SB_Week,A76)</f>
        <v>1188.8908104</v>
      </c>
    </row>
    <row r="77" customFormat="false" ht="15" hidden="false" customHeight="false" outlineLevel="0" collapsed="false">
      <c r="A77" s="50" t="n">
        <v>46580</v>
      </c>
      <c r="B77" s="46" t="n">
        <f aca="false">COUNTIF(SA_Week,A77)</f>
        <v>3</v>
      </c>
      <c r="C77" s="18" t="n">
        <f aca="false">SUMIFS(SA_Chg,SA_Week,A77)</f>
        <v>147.0191832</v>
      </c>
      <c r="D77" s="46" t="n">
        <f aca="false">COUNTIF(SB_Week,A77)</f>
        <v>8</v>
      </c>
      <c r="E77" s="18" t="n">
        <f aca="false">SUMIFS(SB_Chg,SB_Week,A77)</f>
        <v>977.1054672</v>
      </c>
    </row>
    <row r="78" customFormat="false" ht="15" hidden="false" customHeight="false" outlineLevel="0" collapsed="false">
      <c r="A78" s="50" t="n">
        <v>46587</v>
      </c>
      <c r="B78" s="46" t="n">
        <f aca="false">COUNTIF(SA_Week,A78)</f>
        <v>1</v>
      </c>
      <c r="C78" s="18" t="n">
        <f aca="false">SUMIFS(SA_Chg,SA_Week,A78)</f>
        <v>2.4827028</v>
      </c>
      <c r="D78" s="46" t="n">
        <f aca="false">COUNTIF(SB_Week,A78)</f>
        <v>4</v>
      </c>
      <c r="E78" s="18" t="n">
        <f aca="false">SUMIFS(SB_Chg,SB_Week,A78)</f>
        <v>356.5377108</v>
      </c>
    </row>
    <row r="79" customFormat="false" ht="15" hidden="false" customHeight="false" outlineLevel="0" collapsed="false">
      <c r="A79" s="50" t="n">
        <v>46594</v>
      </c>
      <c r="B79" s="46" t="n">
        <f aca="false">COUNTIF(SA_Week,A79)</f>
        <v>2</v>
      </c>
      <c r="C79" s="18" t="n">
        <f aca="false">SUMIFS(SA_Chg,SA_Week,A79)</f>
        <v>13.2770628</v>
      </c>
      <c r="D79" s="46" t="n">
        <f aca="false">COUNTIF(SB_Week,A79)</f>
        <v>4</v>
      </c>
      <c r="E79" s="18" t="n">
        <f aca="false">SUMIFS(SB_Chg,SB_Week,A79)</f>
        <v>1083.5378568</v>
      </c>
    </row>
    <row r="80" customFormat="false" ht="15" hidden="false" customHeight="false" outlineLevel="0" collapsed="false">
      <c r="A80" s="50" t="n">
        <v>46601</v>
      </c>
      <c r="B80" s="46" t="n">
        <f aca="false">COUNTIF(SA_Week,A80)</f>
        <v>2</v>
      </c>
      <c r="C80" s="18" t="n">
        <f aca="false">SUMIFS(SA_Chg,SA_Week,A80)</f>
        <v>20.0775096</v>
      </c>
      <c r="D80" s="46" t="n">
        <f aca="false">COUNTIF(SB_Week,A80)</f>
        <v>4</v>
      </c>
      <c r="E80" s="18" t="n">
        <f aca="false">SUMIFS(SB_Chg,SB_Week,A80)</f>
        <v>65.845596</v>
      </c>
    </row>
    <row r="81" customFormat="false" ht="15" hidden="false" customHeight="false" outlineLevel="0" collapsed="false">
      <c r="A81" s="50" t="n">
        <v>46608</v>
      </c>
      <c r="B81" s="46" t="n">
        <f aca="false">COUNTIF(SA_Week,A81)</f>
        <v>2</v>
      </c>
      <c r="C81" s="18" t="n">
        <f aca="false">SUMIFS(SA_Chg,SA_Week,A81)</f>
        <v>285.2949348</v>
      </c>
      <c r="D81" s="46" t="n">
        <f aca="false">COUNTIF(SB_Week,A81)</f>
        <v>4</v>
      </c>
      <c r="E81" s="18" t="n">
        <f aca="false">SUMIFS(SB_Chg,SB_Week,A81)</f>
        <v>85.7072184</v>
      </c>
    </row>
    <row r="82" customFormat="false" ht="15" hidden="false" customHeight="false" outlineLevel="0" collapsed="false">
      <c r="A82" s="50" t="n">
        <v>46615</v>
      </c>
      <c r="B82" s="46" t="n">
        <f aca="false">COUNTIF(SA_Week,A82)</f>
        <v>2</v>
      </c>
      <c r="C82" s="18" t="n">
        <f aca="false">SUMIFS(SA_Chg,SA_Week,A82)</f>
        <v>479.9172456</v>
      </c>
      <c r="D82" s="46" t="n">
        <f aca="false">COUNTIF(SB_Week,A82)</f>
        <v>4</v>
      </c>
      <c r="E82" s="18" t="n">
        <f aca="false">SUMIFS(SB_Chg,SB_Week,A82)</f>
        <v>780.2163408</v>
      </c>
    </row>
    <row r="83" customFormat="false" ht="15" hidden="false" customHeight="false" outlineLevel="0" collapsed="false">
      <c r="A83" s="50" t="n">
        <v>46622</v>
      </c>
      <c r="B83" s="46" t="n">
        <f aca="false">COUNTIF(SA_Week,A83)</f>
        <v>3</v>
      </c>
      <c r="C83" s="18" t="n">
        <f aca="false">SUMIFS(SA_Chg,SA_Week,A83)</f>
        <v>308.9345832</v>
      </c>
      <c r="D83" s="46" t="n">
        <f aca="false">COUNTIF(SB_Week,A83)</f>
        <v>11</v>
      </c>
      <c r="E83" s="18" t="n">
        <f aca="false">SUMIFS(SB_Chg,SB_Week,A83)</f>
        <v>3529.75572</v>
      </c>
    </row>
    <row r="84" customFormat="false" ht="15" hidden="false" customHeight="false" outlineLevel="0" collapsed="false">
      <c r="A84" s="50" t="n">
        <v>46629</v>
      </c>
      <c r="B84" s="46" t="n">
        <f aca="false">COUNTIF(SA_Week,A84)</f>
        <v>1</v>
      </c>
      <c r="C84" s="18" t="n">
        <f aca="false">SUMIFS(SA_Chg,SA_Week,A84)</f>
        <v>54.7274052</v>
      </c>
      <c r="D84" s="46" t="n">
        <f aca="false">COUNTIF(SB_Week,A84)</f>
        <v>14</v>
      </c>
      <c r="E84" s="18" t="n">
        <f aca="false">SUMIFS(SB_Chg,SB_Week,A84)</f>
        <v>3409.938324</v>
      </c>
    </row>
    <row r="85" customFormat="false" ht="15" hidden="false" customHeight="false" outlineLevel="0" collapsed="false">
      <c r="A85" s="50" t="n">
        <v>46636</v>
      </c>
      <c r="B85" s="46" t="n">
        <f aca="false">COUNTIF(SA_Week,A85)</f>
        <v>3</v>
      </c>
      <c r="C85" s="18" t="n">
        <f aca="false">SUMIFS(SA_Chg,SA_Week,A85)</f>
        <v>102.3305328</v>
      </c>
      <c r="D85" s="46" t="n">
        <f aca="false">COUNTIF(SB_Week,A85)</f>
        <v>3</v>
      </c>
      <c r="E85" s="18" t="n">
        <f aca="false">SUMIFS(SB_Chg,SB_Week,A85)</f>
        <v>903.7038192</v>
      </c>
    </row>
    <row r="86" customFormat="false" ht="15" hidden="false" customHeight="false" outlineLevel="0" collapsed="false">
      <c r="A86" s="50" t="n">
        <v>46643</v>
      </c>
      <c r="B86" s="46" t="n">
        <f aca="false">COUNTIF(SA_Week,A86)</f>
        <v>4</v>
      </c>
      <c r="C86" s="18" t="n">
        <f aca="false">SUMIFS(SA_Chg,SA_Week,A86)</f>
        <v>739.8454344</v>
      </c>
      <c r="D86" s="46" t="n">
        <f aca="false">COUNTIF(SB_Week,A86)</f>
        <v>5</v>
      </c>
      <c r="E86" s="18" t="n">
        <f aca="false">SUMIFS(SB_Chg,SB_Week,A86)</f>
        <v>451.3121916</v>
      </c>
    </row>
    <row r="87" customFormat="false" ht="15" hidden="false" customHeight="false" outlineLevel="0" collapsed="false">
      <c r="A87" s="50" t="n">
        <v>46650</v>
      </c>
      <c r="B87" s="46" t="n">
        <f aca="false">COUNTIF(SA_Week,A87)</f>
        <v>3</v>
      </c>
      <c r="C87" s="18" t="n">
        <f aca="false">SUMIFS(SA_Chg,SA_Week,A87)</f>
        <v>29.9003772</v>
      </c>
      <c r="D87" s="46" t="n">
        <f aca="false">COUNTIF(SB_Week,A87)</f>
        <v>6</v>
      </c>
      <c r="E87" s="18" t="n">
        <f aca="false">SUMIFS(SB_Chg,SB_Week,A87)</f>
        <v>380.9329644</v>
      </c>
    </row>
    <row r="88" customFormat="false" ht="15" hidden="false" customHeight="false" outlineLevel="0" collapsed="false">
      <c r="A88" s="50" t="n">
        <v>46657</v>
      </c>
      <c r="B88" s="46" t="n">
        <f aca="false">COUNTIF(SA_Week,A88)</f>
        <v>6</v>
      </c>
      <c r="C88" s="18" t="n">
        <f aca="false">SUMIFS(SA_Chg,SA_Week,A88)</f>
        <v>423.5706864</v>
      </c>
      <c r="D88" s="46" t="n">
        <f aca="false">COUNTIF(SB_Week,A88)</f>
        <v>10</v>
      </c>
      <c r="E88" s="18" t="n">
        <f aca="false">SUMIFS(SB_Chg,SB_Week,A88)</f>
        <v>4027.1598288</v>
      </c>
    </row>
    <row r="89" customFormat="false" ht="15" hidden="false" customHeight="false" outlineLevel="0" collapsed="false">
      <c r="A89" s="50" t="n">
        <v>46664</v>
      </c>
      <c r="B89" s="46" t="n">
        <f aca="false">COUNTIF(SA_Week,A89)</f>
        <v>3</v>
      </c>
      <c r="C89" s="18" t="n">
        <f aca="false">SUMIFS(SA_Chg,SA_Week,A89)</f>
        <v>385.5745392</v>
      </c>
      <c r="D89" s="46" t="n">
        <f aca="false">COUNTIF(SB_Week,A89)</f>
        <v>7</v>
      </c>
      <c r="E89" s="18" t="n">
        <f aca="false">SUMIFS(SB_Chg,SB_Week,A89)</f>
        <v>2827.4746584</v>
      </c>
    </row>
    <row r="90" customFormat="false" ht="15" hidden="false" customHeight="false" outlineLevel="0" collapsed="false">
      <c r="A90" s="50" t="n">
        <v>46671</v>
      </c>
      <c r="B90" s="46" t="n">
        <f aca="false">COUNTIF(SA_Week,A90)</f>
        <v>2</v>
      </c>
      <c r="C90" s="18" t="n">
        <f aca="false">SUMIFS(SA_Chg,SA_Week,A90)</f>
        <v>281.6248524</v>
      </c>
      <c r="D90" s="46" t="n">
        <f aca="false">COUNTIF(SB_Week,A90)</f>
        <v>6</v>
      </c>
      <c r="E90" s="18" t="n">
        <f aca="false">SUMIFS(SB_Chg,SB_Week,A90)</f>
        <v>43.17744</v>
      </c>
    </row>
    <row r="91" customFormat="false" ht="15" hidden="false" customHeight="false" outlineLevel="0" collapsed="false">
      <c r="A91" s="50" t="n">
        <v>46678</v>
      </c>
      <c r="B91" s="46" t="n">
        <f aca="false">COUNTIF(SA_Week,A91)</f>
        <v>5</v>
      </c>
      <c r="C91" s="18" t="n">
        <f aca="false">SUMIFS(SA_Chg,SA_Week,A91)</f>
        <v>890.4267564</v>
      </c>
      <c r="D91" s="46" t="n">
        <f aca="false">COUNTIF(SB_Week,A91)</f>
        <v>12</v>
      </c>
      <c r="E91" s="18" t="n">
        <f aca="false">SUMIFS(SB_Chg,SB_Week,A91)</f>
        <v>2084.2829724</v>
      </c>
    </row>
    <row r="92" customFormat="false" ht="15" hidden="false" customHeight="false" outlineLevel="0" collapsed="false">
      <c r="A92" s="50" t="n">
        <v>46685</v>
      </c>
      <c r="B92" s="46" t="n">
        <f aca="false">COUNTIF(SA_Week,A92)</f>
        <v>4</v>
      </c>
      <c r="C92" s="18" t="n">
        <f aca="false">SUMIFS(SA_Chg,SA_Week,A92)</f>
        <v>271.1543232</v>
      </c>
      <c r="D92" s="46" t="n">
        <f aca="false">COUNTIF(SB_Week,A92)</f>
        <v>15</v>
      </c>
      <c r="E92" s="18" t="n">
        <f aca="false">SUMIFS(SB_Chg,SB_Week,A92)</f>
        <v>1520.1697188</v>
      </c>
    </row>
    <row r="93" customFormat="false" ht="15" hidden="false" customHeight="false" outlineLevel="0" collapsed="false">
      <c r="A93" s="50" t="n">
        <v>46692</v>
      </c>
      <c r="B93" s="46" t="n">
        <f aca="false">COUNTIF(SA_Week,A93)</f>
        <v>3</v>
      </c>
      <c r="C93" s="18" t="n">
        <f aca="false">SUMIFS(SA_Chg,SA_Week,A93)</f>
        <v>1289.386302</v>
      </c>
      <c r="D93" s="46" t="n">
        <f aca="false">COUNTIF(SB_Week,A93)</f>
        <v>3</v>
      </c>
      <c r="E93" s="18" t="n">
        <f aca="false">SUMIFS(SB_Chg,SB_Week,A93)</f>
        <v>559.687566</v>
      </c>
    </row>
    <row r="94" customFormat="false" ht="15" hidden="false" customHeight="false" outlineLevel="0" collapsed="false">
      <c r="A94" s="50" t="n">
        <v>46699</v>
      </c>
      <c r="B94" s="46" t="n">
        <f aca="false">COUNTIF(SA_Week,A94)</f>
        <v>3</v>
      </c>
      <c r="C94" s="18" t="n">
        <f aca="false">SUMIFS(SA_Chg,SA_Week,A94)</f>
        <v>73.1857608</v>
      </c>
      <c r="D94" s="46" t="n">
        <f aca="false">COUNTIF(SB_Week,A94)</f>
        <v>8</v>
      </c>
      <c r="E94" s="18" t="n">
        <f aca="false">SUMIFS(SB_Chg,SB_Week,A94)</f>
        <v>1825.7580504</v>
      </c>
    </row>
    <row r="95" customFormat="false" ht="15" hidden="false" customHeight="false" outlineLevel="0" collapsed="false">
      <c r="A95" s="50" t="n">
        <v>46706</v>
      </c>
      <c r="B95" s="46" t="n">
        <f aca="false">COUNTIF(SA_Week,A95)</f>
        <v>1</v>
      </c>
      <c r="C95" s="18" t="n">
        <f aca="false">SUMIFS(SA_Chg,SA_Week,A95)</f>
        <v>0.9714924</v>
      </c>
      <c r="D95" s="46" t="n">
        <f aca="false">COUNTIF(SB_Week,A95)</f>
        <v>6</v>
      </c>
      <c r="E95" s="18" t="n">
        <f aca="false">SUMIFS(SB_Chg,SB_Week,A95)</f>
        <v>1451.301702</v>
      </c>
    </row>
    <row r="96" customFormat="false" ht="15" hidden="false" customHeight="false" outlineLevel="0" collapsed="false">
      <c r="A96" s="50" t="n">
        <v>46713</v>
      </c>
      <c r="B96" s="46" t="n">
        <f aca="false">COUNTIF(SA_Week,A96)</f>
        <v>2</v>
      </c>
      <c r="C96" s="18" t="n">
        <f aca="false">SUMIFS(SA_Chg,SA_Week,A96)</f>
        <v>2907.7846968</v>
      </c>
      <c r="D96" s="46" t="n">
        <f aca="false">COUNTIF(SB_Week,A96)</f>
        <v>8</v>
      </c>
      <c r="E96" s="18" t="n">
        <f aca="false">SUMIFS(SB_Chg,SB_Week,A96)</f>
        <v>576.418824</v>
      </c>
    </row>
    <row r="97" customFormat="false" ht="15" hidden="false" customHeight="false" outlineLevel="0" collapsed="false">
      <c r="A97" s="50" t="n">
        <v>46720</v>
      </c>
      <c r="B97" s="46" t="n">
        <f aca="false">COUNTIF(SA_Week,A97)</f>
        <v>6</v>
      </c>
      <c r="C97" s="18" t="n">
        <f aca="false">SUMIFS(SA_Chg,SA_Week,A97)</f>
        <v>1506.4608816</v>
      </c>
      <c r="D97" s="46" t="n">
        <f aca="false">COUNTIF(SB_Week,A97)</f>
        <v>9</v>
      </c>
      <c r="E97" s="18" t="n">
        <f aca="false">SUMIFS(SB_Chg,SB_Week,A97)</f>
        <v>3543.788388</v>
      </c>
    </row>
    <row r="98" customFormat="false" ht="15" hidden="false" customHeight="false" outlineLevel="0" collapsed="false">
      <c r="A98" s="50" t="n">
        <v>46727</v>
      </c>
      <c r="B98" s="46" t="n">
        <f aca="false">COUNTIF(SA_Week,A98)</f>
        <v>2</v>
      </c>
      <c r="C98" s="18" t="n">
        <f aca="false">SUMIFS(SA_Chg,SA_Week,A98)</f>
        <v>93.371214</v>
      </c>
      <c r="D98" s="46" t="n">
        <f aca="false">COUNTIF(SB_Week,A98)</f>
        <v>3</v>
      </c>
      <c r="E98" s="18" t="n">
        <f aca="false">SUMIFS(SB_Chg,SB_Week,A98)</f>
        <v>334.62516</v>
      </c>
    </row>
    <row r="99" customFormat="false" ht="15" hidden="false" customHeight="false" outlineLevel="0" collapsed="false">
      <c r="A99" s="50" t="n">
        <v>46734</v>
      </c>
      <c r="B99" s="46" t="n">
        <f aca="false">COUNTIF(SA_Week,A99)</f>
        <v>0</v>
      </c>
      <c r="C99" s="18" t="n">
        <f aca="false">SUMIFS(SA_Chg,SA_Week,A99)</f>
        <v>0</v>
      </c>
      <c r="D99" s="46" t="n">
        <f aca="false">COUNTIF(SB_Week,A99)</f>
        <v>4</v>
      </c>
      <c r="E99" s="18" t="n">
        <f aca="false">SUMIFS(SB_Chg,SB_Week,A99)</f>
        <v>3107.2644696</v>
      </c>
    </row>
    <row r="100" customFormat="false" ht="15" hidden="false" customHeight="false" outlineLevel="0" collapsed="false">
      <c r="A100" s="50" t="n">
        <v>46741</v>
      </c>
      <c r="B100" s="46" t="n">
        <f aca="false">COUNTIF(SA_Week,A100)</f>
        <v>2</v>
      </c>
      <c r="C100" s="18" t="n">
        <f aca="false">SUMIFS(SA_Chg,SA_Week,A100)</f>
        <v>12.3055704</v>
      </c>
      <c r="D100" s="46" t="n">
        <f aca="false">COUNTIF(SB_Week,A100)</f>
        <v>6</v>
      </c>
      <c r="E100" s="18" t="n">
        <f aca="false">SUMIFS(SB_Chg,SB_Week,A100)</f>
        <v>506.1475404</v>
      </c>
    </row>
    <row r="101" customFormat="false" ht="15" hidden="false" customHeight="false" outlineLevel="0" collapsed="false">
      <c r="A101" s="50" t="n">
        <v>46748</v>
      </c>
      <c r="B101" s="46" t="n">
        <f aca="false">COUNTIF(SA_Week,A101)</f>
        <v>1</v>
      </c>
      <c r="C101" s="18" t="n">
        <f aca="false">SUMIFS(SA_Chg,SA_Week,A101)</f>
        <v>10.254642</v>
      </c>
      <c r="D101" s="46" t="n">
        <f aca="false">COUNTIF(SB_Week,A101)</f>
        <v>6</v>
      </c>
      <c r="E101" s="18" t="n">
        <f aca="false">SUMIFS(SB_Chg,SB_Week,A101)</f>
        <v>1098.0022992</v>
      </c>
    </row>
    <row r="102" customFormat="false" ht="15" hidden="false" customHeight="false" outlineLevel="0" collapsed="false">
      <c r="A102" s="20" t="s">
        <v>775</v>
      </c>
      <c r="B102" s="45" t="n">
        <f aca="false">MAX(B49:B101)</f>
        <v>6</v>
      </c>
      <c r="C102" s="45" t="n">
        <f aca="false">MAX(C49:C101)</f>
        <v>2907.7846968</v>
      </c>
      <c r="D102" s="45" t="n">
        <f aca="false">MAX(D49:D101)</f>
        <v>15</v>
      </c>
      <c r="E102" s="45" t="n">
        <f aca="false">MAX(E49:E101)</f>
        <v>4423.8525588</v>
      </c>
    </row>
  </sheetData>
  <sheetProtection sheet="true" formatColumns="false" formatRows="false" sort="false" autoFilter="false"/>
  <conditionalFormatting sqref="C6:N14">
    <cfRule type="colorScale" priority="2">
      <colorScale>
        <cfvo type="num" val="0"/>
        <cfvo type="max" val="0"/>
        <color rgb="FFFFFFFF"/>
        <color rgb="FF5B9BD5"/>
      </colorScale>
    </cfRule>
  </conditionalFormatting>
  <conditionalFormatting sqref="C20:N28">
    <cfRule type="colorScale" priority="3">
      <colorScale>
        <cfvo type="num" val="0"/>
        <cfvo type="max" val="0"/>
        <color rgb="FFFFFFFF"/>
        <color rgb="FF5B9BD5"/>
      </colorScale>
    </cfRule>
  </conditionalFormatting>
  <conditionalFormatting sqref="G34:G43">
    <cfRule type="expression" priority="4" aboveAverage="0" equalAverage="0" bottom="0" percent="0" rank="0" text="" dxfId="9">
      <formula>AND(ISNUMBER(G34),G34&lt;0.9)</formula>
    </cfRule>
  </conditionalFormatting>
  <conditionalFormatting sqref="L34:L43">
    <cfRule type="expression" priority="5" aboveAverage="0" equalAverage="0" bottom="0" percent="0" rank="0" text="" dxfId="9">
      <formula>AND(ISNUMBER(L34),L34&lt;0.9)</formula>
    </cfRule>
  </conditionalFormatting>
  <conditionalFormatting sqref="B49:B101">
    <cfRule type="dataBar" priority="6">
      <dataBar showValue="1" minLength="10" maxLength="90">
        <cfvo type="num" val="0"/>
        <cfvo type="max" val="0"/>
        <color rgb="FF9DC3E6"/>
      </dataBar>
      <extLst>
        <ext xmlns:x14="http://schemas.microsoft.com/office/spreadsheetml/2009/9/main" uri="{B025F937-C7B1-47D3-B67F-A62EFF666E3E}">
          <x14:id>{852A2B9F-A64A-4F56-B672-7BB3823776A0}</x14:id>
        </ext>
      </extLst>
    </cfRule>
  </conditionalFormatting>
  <conditionalFormatting sqref="D49:D101">
    <cfRule type="dataBar" priority="7">
      <dataBar showValue="1" minLength="10" maxLength="90">
        <cfvo type="num" val="0"/>
        <cfvo type="max" val="0"/>
        <color rgb="FF1F4E79"/>
      </dataBar>
      <extLst>
        <ext xmlns:x14="http://schemas.microsoft.com/office/spreadsheetml/2009/9/main" uri="{B025F937-C7B1-47D3-B67F-A62EFF666E3E}">
          <x14:id>{27152E36-B422-482B-92C9-9C9E859514CA}</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52A2B9F-A64A-4F56-B672-7BB3823776A0}">
            <x14:dataBar minLength="10" maxLength="90" axisPosition="none" gradient="true">
              <x14:cfvo type="num">
                <xm:f>0</xm:f>
              </x14:cfvo>
              <x14:cfvo type="max"/>
              <x14:negativeFillColor rgb="FF9DC3E6"/>
              <x14:axisColor rgb="FF000000"/>
            </x14:dataBar>
          </x14:cfRule>
          <xm:sqref>B49:B101</xm:sqref>
        </x14:conditionalFormatting>
        <x14:conditionalFormatting xmlns:xm="http://schemas.microsoft.com/office/excel/2006/main">
          <x14:cfRule type="dataBar" id="{27152E36-B422-482B-92C9-9C9E859514CA}">
            <x14:dataBar minLength="10" maxLength="90" axisPosition="none" gradient="true">
              <x14:cfvo type="num">
                <xm:f>0</xm:f>
              </x14:cfvo>
              <x14:cfvo type="max"/>
              <x14:negativeFillColor rgb="FF1F4E79"/>
              <x14:axisColor rgb="FF000000"/>
            </x14:dataBar>
          </x14:cfRule>
          <xm:sqref>D49:D101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19"/>
    <col collapsed="false" customWidth="true" hidden="false" outlineLevel="0" max="5" min="4" style="0" width="10"/>
    <col collapsed="false" customWidth="true" hidden="false" outlineLevel="0" max="6" min="6" style="0" width="12"/>
    <col collapsed="false" customWidth="true" hidden="false" outlineLevel="0" max="7" min="7" style="0" width="22"/>
    <col collapsed="false" customWidth="true" hidden="false" outlineLevel="0" max="8" min="8" style="0" width="13"/>
    <col collapsed="false" customWidth="true" hidden="false" outlineLevel="0" max="10" min="9" style="0" width="11"/>
    <col collapsed="false" customWidth="true" hidden="false" outlineLevel="0" max="11" min="11" style="0" width="9"/>
    <col collapsed="false" customWidth="true" hidden="false" outlineLevel="0" max="13" min="12" style="0" width="12"/>
    <col collapsed="false" customWidth="true" hidden="false" outlineLevel="0" max="14" min="14" style="0" width="11"/>
    <col collapsed="false" customWidth="true" hidden="false" outlineLevel="0" max="15" min="15" style="0" width="30"/>
    <col collapsed="false" customWidth="true" hidden="false" outlineLevel="0" max="16" min="16" style="0" width="12"/>
    <col collapsed="false" customWidth="true" hidden="false" outlineLevel="0" max="18" min="17" style="0" width="14"/>
    <col collapsed="false" customWidth="true" hidden="false" outlineLevel="0" max="19" min="19" style="0" width="12"/>
  </cols>
  <sheetData>
    <row r="1" customFormat="false" ht="19.7" hidden="false" customHeight="false" outlineLevel="0" collapsed="false">
      <c r="A1" s="1" t="s">
        <v>776</v>
      </c>
    </row>
    <row r="2" customFormat="false" ht="15" hidden="false" customHeight="false" outlineLevel="0" collapsed="false">
      <c r="A2" s="2" t="s">
        <v>777</v>
      </c>
    </row>
    <row r="4" customFormat="false" ht="57.75" hidden="false" customHeight="true" outlineLevel="0" collapsed="false">
      <c r="A4" s="11" t="s">
        <v>101</v>
      </c>
      <c r="B4" s="11" t="s">
        <v>191</v>
      </c>
      <c r="C4" s="11" t="s">
        <v>174</v>
      </c>
      <c r="D4" s="11" t="s">
        <v>761</v>
      </c>
      <c r="E4" s="11" t="s">
        <v>766</v>
      </c>
      <c r="F4" s="11" t="s">
        <v>176</v>
      </c>
      <c r="G4" s="12" t="s">
        <v>778</v>
      </c>
      <c r="H4" s="12" t="s">
        <v>779</v>
      </c>
      <c r="I4" s="12" t="s">
        <v>780</v>
      </c>
      <c r="J4" s="12" t="s">
        <v>781</v>
      </c>
      <c r="K4" s="12" t="s">
        <v>782</v>
      </c>
      <c r="L4" s="12" t="s">
        <v>783</v>
      </c>
      <c r="M4" s="12" t="s">
        <v>784</v>
      </c>
      <c r="N4" s="12" t="s">
        <v>785</v>
      </c>
      <c r="O4" s="12" t="s">
        <v>786</v>
      </c>
      <c r="P4" s="11" t="s">
        <v>787</v>
      </c>
      <c r="Q4" s="11" t="s">
        <v>788</v>
      </c>
      <c r="R4" s="11" t="s">
        <v>789</v>
      </c>
      <c r="S4" s="12" t="s">
        <v>790</v>
      </c>
    </row>
    <row r="5" customFormat="false" ht="15" hidden="false" customHeight="false" outlineLevel="0" collapsed="false">
      <c r="A5" s="3" t="s">
        <v>108</v>
      </c>
      <c r="B5" s="8" t="s">
        <v>109</v>
      </c>
      <c r="C5" s="8" t="s">
        <v>178</v>
      </c>
      <c r="D5" s="18" t="n">
        <f aca="false">Volumes!C34</f>
        <v>22</v>
      </c>
      <c r="E5" s="18" t="n">
        <f aca="false">Volumes!H34</f>
        <v>51</v>
      </c>
      <c r="F5" s="18" t="n">
        <f aca="false">Volumes!C48</f>
        <v>8</v>
      </c>
      <c r="G5" s="4" t="s">
        <v>791</v>
      </c>
      <c r="H5" s="51" t="n">
        <v>1</v>
      </c>
      <c r="I5" s="39" t="n">
        <v>2.64</v>
      </c>
      <c r="J5" s="39" t="n">
        <v>35</v>
      </c>
      <c r="K5" s="52" t="n">
        <v>0.18</v>
      </c>
      <c r="L5" s="39" t="n">
        <v>25</v>
      </c>
      <c r="M5" s="39" t="n">
        <v>10</v>
      </c>
      <c r="N5" s="52" t="n">
        <v>0.05</v>
      </c>
      <c r="O5" s="4"/>
      <c r="P5" s="40" t="n">
        <f aca="false">IF(AND(I5="",J5=""),"",MAX(N(J5),N(I5)*F5)*(1+N(K5))+N(L5)+N(M5))</f>
        <v>76.3</v>
      </c>
      <c r="Q5" s="53" t="n">
        <f aca="false">IF(P5="",0,D5*P5)</f>
        <v>1678.6</v>
      </c>
      <c r="R5" s="53" t="n">
        <f aca="false">IF(P5="",0,E5*P5*(1-N(N5)))</f>
        <v>3696.735</v>
      </c>
      <c r="S5" s="38" t="n">
        <v>2</v>
      </c>
    </row>
    <row r="6" customFormat="false" ht="15" hidden="false" customHeight="false" outlineLevel="0" collapsed="false">
      <c r="A6" s="3" t="s">
        <v>108</v>
      </c>
      <c r="B6" s="8" t="s">
        <v>109</v>
      </c>
      <c r="C6" s="8" t="s">
        <v>180</v>
      </c>
      <c r="D6" s="18" t="n">
        <f aca="false">Volumes!D34</f>
        <v>8</v>
      </c>
      <c r="E6" s="18" t="n">
        <f aca="false">Volumes!I34</f>
        <v>19</v>
      </c>
      <c r="F6" s="18" t="n">
        <f aca="false">Volumes!C49</f>
        <v>56</v>
      </c>
      <c r="G6" s="4" t="s">
        <v>791</v>
      </c>
      <c r="H6" s="51" t="n">
        <v>2</v>
      </c>
      <c r="I6" s="39" t="n">
        <v>4.01</v>
      </c>
      <c r="J6" s="39" t="n">
        <v>60</v>
      </c>
      <c r="K6" s="52" t="n">
        <v>0.18</v>
      </c>
      <c r="L6" s="39" t="n">
        <v>25</v>
      </c>
      <c r="M6" s="39" t="n">
        <v>10</v>
      </c>
      <c r="N6" s="52" t="n">
        <v>0.05</v>
      </c>
      <c r="O6" s="4"/>
      <c r="P6" s="40" t="n">
        <f aca="false">IF(AND(I6="",J6=""),"",MAX(N(J6),N(I6)*F6)*(1+N(K6))+N(L6)+N(M6))</f>
        <v>299.9808</v>
      </c>
      <c r="Q6" s="53" t="n">
        <f aca="false">IF(P6="",0,D6*P6)</f>
        <v>2399.8464</v>
      </c>
      <c r="R6" s="53" t="n">
        <f aca="false">IF(P6="",0,E6*P6*(1-N(N6)))</f>
        <v>5414.65344</v>
      </c>
      <c r="S6" s="38" t="n">
        <v>3</v>
      </c>
    </row>
    <row r="7" customFormat="false" ht="15" hidden="false" customHeight="false" outlineLevel="0" collapsed="false">
      <c r="A7" s="3" t="s">
        <v>108</v>
      </c>
      <c r="B7" s="8" t="s">
        <v>109</v>
      </c>
      <c r="C7" s="8" t="s">
        <v>182</v>
      </c>
      <c r="D7" s="18" t="n">
        <f aca="false">Volumes!E34</f>
        <v>10</v>
      </c>
      <c r="E7" s="18" t="n">
        <f aca="false">Volumes!J34</f>
        <v>23</v>
      </c>
      <c r="F7" s="18" t="n">
        <f aca="false">Volumes!C50</f>
        <v>281</v>
      </c>
      <c r="G7" s="4" t="s">
        <v>792</v>
      </c>
      <c r="H7" s="51" t="n">
        <v>3</v>
      </c>
      <c r="I7" s="39" t="n">
        <v>3.1</v>
      </c>
      <c r="J7" s="39" t="n">
        <v>120</v>
      </c>
      <c r="K7" s="52" t="n">
        <v>0.18</v>
      </c>
      <c r="L7" s="39" t="n">
        <v>25</v>
      </c>
      <c r="M7" s="39" t="n">
        <v>10</v>
      </c>
      <c r="N7" s="52" t="n">
        <v>0.05</v>
      </c>
      <c r="O7" s="4"/>
      <c r="P7" s="40" t="n">
        <f aca="false">IF(AND(I7="",J7=""),"",MAX(N(J7),N(I7)*F7)*(1+N(K7))+N(L7)+N(M7))</f>
        <v>1062.898</v>
      </c>
      <c r="Q7" s="53" t="n">
        <f aca="false">IF(P7="",0,D7*P7)</f>
        <v>10628.98</v>
      </c>
      <c r="R7" s="53" t="n">
        <f aca="false">IF(P7="",0,E7*P7*(1-N(N7)))</f>
        <v>23224.3213</v>
      </c>
      <c r="S7" s="38" t="n">
        <v>5</v>
      </c>
    </row>
    <row r="8" customFormat="false" ht="15" hidden="false" customHeight="false" outlineLevel="0" collapsed="false">
      <c r="A8" s="3" t="s">
        <v>108</v>
      </c>
      <c r="B8" s="8" t="s">
        <v>109</v>
      </c>
      <c r="C8" s="8" t="s">
        <v>183</v>
      </c>
      <c r="D8" s="18" t="n">
        <f aca="false">Volumes!F34</f>
        <v>8</v>
      </c>
      <c r="E8" s="18" t="n">
        <f aca="false">Volumes!K34</f>
        <v>19</v>
      </c>
      <c r="F8" s="18" t="n">
        <f aca="false">Volumes!C51</f>
        <v>1016</v>
      </c>
      <c r="G8" s="4" t="s">
        <v>793</v>
      </c>
      <c r="H8" s="51" t="n">
        <v>4</v>
      </c>
      <c r="I8" s="39" t="n">
        <v>2.65</v>
      </c>
      <c r="J8" s="39" t="n">
        <v>250</v>
      </c>
      <c r="K8" s="52" t="n">
        <v>0.18</v>
      </c>
      <c r="L8" s="39" t="n">
        <v>25</v>
      </c>
      <c r="M8" s="39" t="n">
        <v>10</v>
      </c>
      <c r="N8" s="52" t="n">
        <v>0.05</v>
      </c>
      <c r="O8" s="4"/>
      <c r="P8" s="40" t="n">
        <f aca="false">IF(AND(I8="",J8=""),"",MAX(N(J8),N(I8)*F8)*(1+N(K8))+N(L8)+N(M8))</f>
        <v>3212.032</v>
      </c>
      <c r="Q8" s="53" t="n">
        <f aca="false">IF(P8="",0,D8*P8)</f>
        <v>25696.256</v>
      </c>
      <c r="R8" s="53" t="n">
        <f aca="false">IF(P8="",0,E8*P8*(1-N(N8)))</f>
        <v>57977.1776</v>
      </c>
      <c r="S8" s="38" t="n">
        <v>6</v>
      </c>
    </row>
    <row r="9" customFormat="false" ht="15" hidden="false" customHeight="false" outlineLevel="0" collapsed="false">
      <c r="A9" s="54" t="s">
        <v>108</v>
      </c>
      <c r="B9" s="55" t="s">
        <v>109</v>
      </c>
      <c r="C9" s="55" t="s">
        <v>185</v>
      </c>
      <c r="D9" s="56" t="n">
        <f aca="false">Volumes!G34</f>
        <v>2</v>
      </c>
      <c r="E9" s="56" t="n">
        <f aca="false">Volumes!L34</f>
        <v>5</v>
      </c>
      <c r="F9" s="56" t="n">
        <f aca="false">Volumes!C52</f>
        <v>2569</v>
      </c>
      <c r="G9" s="57" t="s">
        <v>81</v>
      </c>
      <c r="H9" s="58" t="n">
        <v>6</v>
      </c>
      <c r="I9" s="59" t="n">
        <v>3.1</v>
      </c>
      <c r="J9" s="59" t="n">
        <v>600</v>
      </c>
      <c r="K9" s="60" t="n">
        <v>0.18</v>
      </c>
      <c r="L9" s="59" t="n">
        <v>25</v>
      </c>
      <c r="M9" s="59" t="n">
        <v>10</v>
      </c>
      <c r="N9" s="60" t="n">
        <v>0.05</v>
      </c>
      <c r="O9" s="57"/>
      <c r="P9" s="61" t="n">
        <f aca="false">IF(AND(I9="",J9=""),"",MAX(N(J9),N(I9)*F9)*(1+N(K9))+N(L9)+N(M9))</f>
        <v>9432.402</v>
      </c>
      <c r="Q9" s="62" t="n">
        <f aca="false">IF(P9="",0,D9*P9)</f>
        <v>18864.804</v>
      </c>
      <c r="R9" s="62" t="n">
        <f aca="false">IF(P9="",0,E9*P9*(1-N(N9)))</f>
        <v>44803.9095</v>
      </c>
      <c r="S9" s="38" t="n">
        <v>9</v>
      </c>
    </row>
    <row r="10" customFormat="false" ht="15" hidden="false" customHeight="false" outlineLevel="0" collapsed="false">
      <c r="A10" s="3" t="s">
        <v>112</v>
      </c>
      <c r="B10" s="8" t="s">
        <v>113</v>
      </c>
      <c r="C10" s="8" t="s">
        <v>178</v>
      </c>
      <c r="D10" s="18" t="n">
        <f aca="false">Volumes!C35</f>
        <v>32</v>
      </c>
      <c r="E10" s="18" t="n">
        <f aca="false">Volumes!H35</f>
        <v>75</v>
      </c>
      <c r="F10" s="18" t="n">
        <f aca="false">Volumes!C48</f>
        <v>8</v>
      </c>
      <c r="G10" s="4" t="s">
        <v>791</v>
      </c>
      <c r="H10" s="51" t="n">
        <v>1</v>
      </c>
      <c r="I10" s="39" t="n">
        <v>3.7</v>
      </c>
      <c r="J10" s="39" t="n">
        <v>35</v>
      </c>
      <c r="K10" s="52" t="n">
        <v>0.18</v>
      </c>
      <c r="L10" s="39" t="n">
        <v>25</v>
      </c>
      <c r="M10" s="39" t="n">
        <v>10</v>
      </c>
      <c r="N10" s="52" t="n">
        <v>0.05</v>
      </c>
      <c r="O10" s="4"/>
      <c r="P10" s="40" t="n">
        <f aca="false">IF(AND(I10="",J10=""),"",MAX(N(J10),N(I10)*F10)*(1+N(K10))+N(L10)+N(M10))</f>
        <v>76.3</v>
      </c>
      <c r="Q10" s="53" t="n">
        <f aca="false">IF(P10="",0,D10*P10)</f>
        <v>2441.6</v>
      </c>
      <c r="R10" s="53" t="n">
        <f aca="false">IF(P10="",0,E10*P10*(1-N(N10)))</f>
        <v>5436.375</v>
      </c>
      <c r="S10" s="38" t="n">
        <v>2</v>
      </c>
    </row>
    <row r="11" customFormat="false" ht="15" hidden="false" customHeight="false" outlineLevel="0" collapsed="false">
      <c r="A11" s="3" t="s">
        <v>112</v>
      </c>
      <c r="B11" s="8" t="s">
        <v>113</v>
      </c>
      <c r="C11" s="8" t="s">
        <v>180</v>
      </c>
      <c r="D11" s="18" t="n">
        <f aca="false">Volumes!D35</f>
        <v>0</v>
      </c>
      <c r="E11" s="18" t="n">
        <f aca="false">Volumes!I35</f>
        <v>0</v>
      </c>
      <c r="F11" s="18" t="n">
        <f aca="false">Volumes!C49</f>
        <v>56</v>
      </c>
      <c r="G11" s="4" t="s">
        <v>791</v>
      </c>
      <c r="H11" s="51" t="n">
        <v>2</v>
      </c>
      <c r="I11" s="39" t="n">
        <v>1.95</v>
      </c>
      <c r="J11" s="39" t="n">
        <v>60</v>
      </c>
      <c r="K11" s="52" t="n">
        <v>0.18</v>
      </c>
      <c r="L11" s="39" t="n">
        <v>25</v>
      </c>
      <c r="M11" s="39" t="n">
        <v>10</v>
      </c>
      <c r="N11" s="52" t="n">
        <v>0.05</v>
      </c>
      <c r="O11" s="4"/>
      <c r="P11" s="40" t="n">
        <f aca="false">IF(AND(I11="",J11=""),"",MAX(N(J11),N(I11)*F11)*(1+N(K11))+N(L11)+N(M11))</f>
        <v>163.856</v>
      </c>
      <c r="Q11" s="53" t="n">
        <f aca="false">IF(P11="",0,D11*P11)</f>
        <v>0</v>
      </c>
      <c r="R11" s="53" t="n">
        <f aca="false">IF(P11="",0,E11*P11*(1-N(N11)))</f>
        <v>0</v>
      </c>
      <c r="S11" s="38" t="n">
        <v>3</v>
      </c>
    </row>
    <row r="12" customFormat="false" ht="15" hidden="false" customHeight="false" outlineLevel="0" collapsed="false">
      <c r="A12" s="3" t="s">
        <v>112</v>
      </c>
      <c r="B12" s="8" t="s">
        <v>113</v>
      </c>
      <c r="C12" s="8" t="s">
        <v>182</v>
      </c>
      <c r="D12" s="18" t="n">
        <f aca="false">Volumes!E35</f>
        <v>4</v>
      </c>
      <c r="E12" s="18" t="n">
        <f aca="false">Volumes!J35</f>
        <v>9</v>
      </c>
      <c r="F12" s="18" t="n">
        <f aca="false">Volumes!C50</f>
        <v>281</v>
      </c>
      <c r="G12" s="4" t="s">
        <v>792</v>
      </c>
      <c r="H12" s="51" t="n">
        <v>3</v>
      </c>
      <c r="I12" s="39" t="n">
        <v>4.43</v>
      </c>
      <c r="J12" s="39" t="n">
        <v>120</v>
      </c>
      <c r="K12" s="52" t="n">
        <v>0.18</v>
      </c>
      <c r="L12" s="39" t="n">
        <v>25</v>
      </c>
      <c r="M12" s="39" t="n">
        <v>10</v>
      </c>
      <c r="N12" s="52" t="n">
        <v>0.05</v>
      </c>
      <c r="O12" s="4"/>
      <c r="P12" s="40" t="n">
        <f aca="false">IF(AND(I12="",J12=""),"",MAX(N(J12),N(I12)*F12)*(1+N(K12))+N(L12)+N(M12))</f>
        <v>1503.8994</v>
      </c>
      <c r="Q12" s="53" t="n">
        <f aca="false">IF(P12="",0,D12*P12)</f>
        <v>6015.5976</v>
      </c>
      <c r="R12" s="53" t="n">
        <f aca="false">IF(P12="",0,E12*P12*(1-N(N12)))</f>
        <v>12858.33987</v>
      </c>
      <c r="S12" s="38" t="n">
        <v>5</v>
      </c>
    </row>
    <row r="13" customFormat="false" ht="15" hidden="false" customHeight="false" outlineLevel="0" collapsed="false">
      <c r="A13" s="3" t="s">
        <v>112</v>
      </c>
      <c r="B13" s="8" t="s">
        <v>113</v>
      </c>
      <c r="C13" s="8" t="s">
        <v>183</v>
      </c>
      <c r="D13" s="18" t="n">
        <f aca="false">Volumes!F35</f>
        <v>0</v>
      </c>
      <c r="E13" s="18" t="n">
        <f aca="false">Volumes!K35</f>
        <v>0</v>
      </c>
      <c r="F13" s="18" t="n">
        <f aca="false">Volumes!C51</f>
        <v>1016</v>
      </c>
      <c r="G13" s="4" t="s">
        <v>793</v>
      </c>
      <c r="H13" s="51" t="n">
        <v>4</v>
      </c>
      <c r="I13" s="39" t="n">
        <v>1.86</v>
      </c>
      <c r="J13" s="39" t="n">
        <v>250</v>
      </c>
      <c r="K13" s="52" t="n">
        <v>0.18</v>
      </c>
      <c r="L13" s="39" t="n">
        <v>25</v>
      </c>
      <c r="M13" s="39" t="n">
        <v>10</v>
      </c>
      <c r="N13" s="52" t="n">
        <v>0.05</v>
      </c>
      <c r="O13" s="4"/>
      <c r="P13" s="40" t="n">
        <f aca="false">IF(AND(I13="",J13=""),"",MAX(N(J13),N(I13)*F13)*(1+N(K13))+N(L13)+N(M13))</f>
        <v>2264.9168</v>
      </c>
      <c r="Q13" s="53" t="n">
        <f aca="false">IF(P13="",0,D13*P13)</f>
        <v>0</v>
      </c>
      <c r="R13" s="53" t="n">
        <f aca="false">IF(P13="",0,E13*P13*(1-N(N13)))</f>
        <v>0</v>
      </c>
      <c r="S13" s="38" t="n">
        <v>6</v>
      </c>
    </row>
    <row r="14" customFormat="false" ht="15" hidden="false" customHeight="false" outlineLevel="0" collapsed="false">
      <c r="A14" s="54" t="s">
        <v>112</v>
      </c>
      <c r="B14" s="55" t="s">
        <v>113</v>
      </c>
      <c r="C14" s="55" t="s">
        <v>185</v>
      </c>
      <c r="D14" s="56" t="n">
        <f aca="false">Volumes!G35</f>
        <v>0</v>
      </c>
      <c r="E14" s="56" t="n">
        <f aca="false">Volumes!L35</f>
        <v>0</v>
      </c>
      <c r="F14" s="56" t="n">
        <f aca="false">Volumes!C52</f>
        <v>2569</v>
      </c>
      <c r="G14" s="57" t="s">
        <v>81</v>
      </c>
      <c r="H14" s="58" t="n">
        <v>6</v>
      </c>
      <c r="I14" s="59" t="n">
        <v>3.82</v>
      </c>
      <c r="J14" s="59" t="n">
        <v>600</v>
      </c>
      <c r="K14" s="60" t="n">
        <v>0.18</v>
      </c>
      <c r="L14" s="59" t="n">
        <v>25</v>
      </c>
      <c r="M14" s="59" t="n">
        <v>10</v>
      </c>
      <c r="N14" s="60" t="n">
        <v>0.05</v>
      </c>
      <c r="O14" s="57"/>
      <c r="P14" s="61" t="n">
        <f aca="false">IF(AND(I14="",J14=""),"",MAX(N(J14),N(I14)*F14)*(1+N(K14))+N(L14)+N(M14))</f>
        <v>11615.0244</v>
      </c>
      <c r="Q14" s="62" t="n">
        <f aca="false">IF(P14="",0,D14*P14)</f>
        <v>0</v>
      </c>
      <c r="R14" s="62" t="n">
        <f aca="false">IF(P14="",0,E14*P14*(1-N(N14)))</f>
        <v>0</v>
      </c>
      <c r="S14" s="38" t="n">
        <v>9</v>
      </c>
    </row>
    <row r="15" customFormat="false" ht="15" hidden="false" customHeight="false" outlineLevel="0" collapsed="false">
      <c r="A15" s="3" t="s">
        <v>115</v>
      </c>
      <c r="B15" s="8" t="s">
        <v>116</v>
      </c>
      <c r="C15" s="8" t="s">
        <v>178</v>
      </c>
      <c r="D15" s="18" t="n">
        <f aca="false">Volumes!C36</f>
        <v>2</v>
      </c>
      <c r="E15" s="18" t="n">
        <f aca="false">Volumes!H36</f>
        <v>5</v>
      </c>
      <c r="F15" s="18" t="n">
        <f aca="false">Volumes!C48</f>
        <v>8</v>
      </c>
      <c r="G15" s="4" t="s">
        <v>791</v>
      </c>
      <c r="H15" s="51" t="n">
        <v>1</v>
      </c>
      <c r="I15" s="39" t="n">
        <v>4.08</v>
      </c>
      <c r="J15" s="39" t="n">
        <v>35</v>
      </c>
      <c r="K15" s="52" t="n">
        <v>0.18</v>
      </c>
      <c r="L15" s="39" t="n">
        <v>25</v>
      </c>
      <c r="M15" s="39" t="n">
        <v>10</v>
      </c>
      <c r="N15" s="52" t="n">
        <v>0.05</v>
      </c>
      <c r="O15" s="4"/>
      <c r="P15" s="40" t="n">
        <f aca="false">IF(AND(I15="",J15=""),"",MAX(N(J15),N(I15)*F15)*(1+N(K15))+N(L15)+N(M15))</f>
        <v>76.3</v>
      </c>
      <c r="Q15" s="53" t="n">
        <f aca="false">IF(P15="",0,D15*P15)</f>
        <v>152.6</v>
      </c>
      <c r="R15" s="53" t="n">
        <f aca="false">IF(P15="",0,E15*P15*(1-N(N15)))</f>
        <v>362.425</v>
      </c>
      <c r="S15" s="38" t="n">
        <v>2</v>
      </c>
    </row>
    <row r="16" customFormat="false" ht="15" hidden="false" customHeight="false" outlineLevel="0" collapsed="false">
      <c r="A16" s="3" t="s">
        <v>115</v>
      </c>
      <c r="B16" s="8" t="s">
        <v>116</v>
      </c>
      <c r="C16" s="8" t="s">
        <v>180</v>
      </c>
      <c r="D16" s="18" t="n">
        <f aca="false">Volumes!D36</f>
        <v>0</v>
      </c>
      <c r="E16" s="18" t="n">
        <f aca="false">Volumes!I36</f>
        <v>0</v>
      </c>
      <c r="F16" s="18" t="n">
        <f aca="false">Volumes!C49</f>
        <v>56</v>
      </c>
      <c r="G16" s="4" t="s">
        <v>791</v>
      </c>
      <c r="H16" s="51" t="n">
        <v>2</v>
      </c>
      <c r="I16" s="39" t="n">
        <v>1.85</v>
      </c>
      <c r="J16" s="39" t="n">
        <v>60</v>
      </c>
      <c r="K16" s="52" t="n">
        <v>0.18</v>
      </c>
      <c r="L16" s="39" t="n">
        <v>25</v>
      </c>
      <c r="M16" s="39" t="n">
        <v>10</v>
      </c>
      <c r="N16" s="52" t="n">
        <v>0.05</v>
      </c>
      <c r="O16" s="4"/>
      <c r="P16" s="40" t="n">
        <f aca="false">IF(AND(I16="",J16=""),"",MAX(N(J16),N(I16)*F16)*(1+N(K16))+N(L16)+N(M16))</f>
        <v>157.248</v>
      </c>
      <c r="Q16" s="53" t="n">
        <f aca="false">IF(P16="",0,D16*P16)</f>
        <v>0</v>
      </c>
      <c r="R16" s="53" t="n">
        <f aca="false">IF(P16="",0,E16*P16*(1-N(N16)))</f>
        <v>0</v>
      </c>
      <c r="S16" s="38" t="n">
        <v>3</v>
      </c>
    </row>
    <row r="17" customFormat="false" ht="15" hidden="false" customHeight="false" outlineLevel="0" collapsed="false">
      <c r="A17" s="3" t="s">
        <v>115</v>
      </c>
      <c r="B17" s="8" t="s">
        <v>116</v>
      </c>
      <c r="C17" s="8" t="s">
        <v>182</v>
      </c>
      <c r="D17" s="18" t="n">
        <f aca="false">Volumes!E36</f>
        <v>8</v>
      </c>
      <c r="E17" s="18" t="n">
        <f aca="false">Volumes!J36</f>
        <v>19</v>
      </c>
      <c r="F17" s="18" t="n">
        <f aca="false">Volumes!C50</f>
        <v>281</v>
      </c>
      <c r="G17" s="4" t="s">
        <v>792</v>
      </c>
      <c r="H17" s="51" t="n">
        <v>3</v>
      </c>
      <c r="I17" s="39" t="n">
        <v>3.93</v>
      </c>
      <c r="J17" s="39" t="n">
        <v>120</v>
      </c>
      <c r="K17" s="52" t="n">
        <v>0.18</v>
      </c>
      <c r="L17" s="39" t="n">
        <v>25</v>
      </c>
      <c r="M17" s="39" t="n">
        <v>10</v>
      </c>
      <c r="N17" s="52" t="n">
        <v>0.05</v>
      </c>
      <c r="O17" s="4"/>
      <c r="P17" s="40" t="n">
        <f aca="false">IF(AND(I17="",J17=""),"",MAX(N(J17),N(I17)*F17)*(1+N(K17))+N(L17)+N(M17))</f>
        <v>1338.1094</v>
      </c>
      <c r="Q17" s="53" t="n">
        <f aca="false">IF(P17="",0,D17*P17)</f>
        <v>10704.8752</v>
      </c>
      <c r="R17" s="53" t="n">
        <f aca="false">IF(P17="",0,E17*P17*(1-N(N17)))</f>
        <v>24152.87467</v>
      </c>
      <c r="S17" s="38" t="n">
        <v>5</v>
      </c>
    </row>
    <row r="18" customFormat="false" ht="15" hidden="false" customHeight="false" outlineLevel="0" collapsed="false">
      <c r="A18" s="3" t="s">
        <v>115</v>
      </c>
      <c r="B18" s="8" t="s">
        <v>116</v>
      </c>
      <c r="C18" s="8" t="s">
        <v>183</v>
      </c>
      <c r="D18" s="18" t="n">
        <f aca="false">Volumes!F36</f>
        <v>2</v>
      </c>
      <c r="E18" s="18" t="n">
        <f aca="false">Volumes!K36</f>
        <v>5</v>
      </c>
      <c r="F18" s="18" t="n">
        <f aca="false">Volumes!C51</f>
        <v>1016</v>
      </c>
      <c r="G18" s="4" t="s">
        <v>793</v>
      </c>
      <c r="H18" s="51" t="n">
        <v>4</v>
      </c>
      <c r="I18" s="39" t="n">
        <v>2.79</v>
      </c>
      <c r="J18" s="39" t="n">
        <v>250</v>
      </c>
      <c r="K18" s="52" t="n">
        <v>0.18</v>
      </c>
      <c r="L18" s="39" t="n">
        <v>25</v>
      </c>
      <c r="M18" s="39" t="n">
        <v>10</v>
      </c>
      <c r="N18" s="52" t="n">
        <v>0.05</v>
      </c>
      <c r="O18" s="4"/>
      <c r="P18" s="40" t="n">
        <f aca="false">IF(AND(I18="",J18=""),"",MAX(N(J18),N(I18)*F18)*(1+N(K18))+N(L18)+N(M18))</f>
        <v>3379.8752</v>
      </c>
      <c r="Q18" s="53" t="n">
        <f aca="false">IF(P18="",0,D18*P18)</f>
        <v>6759.7504</v>
      </c>
      <c r="R18" s="53" t="n">
        <f aca="false">IF(P18="",0,E18*P18*(1-N(N18)))</f>
        <v>16054.4072</v>
      </c>
      <c r="S18" s="38" t="n">
        <v>6</v>
      </c>
    </row>
    <row r="19" customFormat="false" ht="15" hidden="false" customHeight="false" outlineLevel="0" collapsed="false">
      <c r="A19" s="54" t="s">
        <v>115</v>
      </c>
      <c r="B19" s="55" t="s">
        <v>116</v>
      </c>
      <c r="C19" s="55" t="s">
        <v>185</v>
      </c>
      <c r="D19" s="56" t="n">
        <f aca="false">Volumes!G36</f>
        <v>0</v>
      </c>
      <c r="E19" s="56" t="n">
        <f aca="false">Volumes!L36</f>
        <v>0</v>
      </c>
      <c r="F19" s="56" t="n">
        <f aca="false">Volumes!C52</f>
        <v>2569</v>
      </c>
      <c r="G19" s="57" t="s">
        <v>81</v>
      </c>
      <c r="H19" s="58" t="n">
        <v>6</v>
      </c>
      <c r="I19" s="59" t="n">
        <v>3.36</v>
      </c>
      <c r="J19" s="59" t="n">
        <v>600</v>
      </c>
      <c r="K19" s="60" t="n">
        <v>0.18</v>
      </c>
      <c r="L19" s="59" t="n">
        <v>25</v>
      </c>
      <c r="M19" s="59" t="n">
        <v>10</v>
      </c>
      <c r="N19" s="60" t="n">
        <v>0.05</v>
      </c>
      <c r="O19" s="57"/>
      <c r="P19" s="61" t="n">
        <f aca="false">IF(AND(I19="",J19=""),"",MAX(N(J19),N(I19)*F19)*(1+N(K19))+N(L19)+N(M19))</f>
        <v>10220.5712</v>
      </c>
      <c r="Q19" s="62" t="n">
        <f aca="false">IF(P19="",0,D19*P19)</f>
        <v>0</v>
      </c>
      <c r="R19" s="62" t="n">
        <f aca="false">IF(P19="",0,E19*P19*(1-N(N19)))</f>
        <v>0</v>
      </c>
      <c r="S19" s="38" t="n">
        <v>9</v>
      </c>
    </row>
    <row r="20" customFormat="false" ht="15" hidden="false" customHeight="false" outlineLevel="0" collapsed="false">
      <c r="A20" s="3" t="s">
        <v>117</v>
      </c>
      <c r="B20" s="8" t="s">
        <v>118</v>
      </c>
      <c r="C20" s="8" t="s">
        <v>178</v>
      </c>
      <c r="D20" s="18" t="n">
        <f aca="false">Volumes!C37</f>
        <v>4</v>
      </c>
      <c r="E20" s="18" t="n">
        <f aca="false">Volumes!H37</f>
        <v>9</v>
      </c>
      <c r="F20" s="18" t="n">
        <f aca="false">Volumes!C48</f>
        <v>8</v>
      </c>
      <c r="G20" s="4" t="s">
        <v>791</v>
      </c>
      <c r="H20" s="51" t="n">
        <v>1</v>
      </c>
      <c r="I20" s="39" t="n">
        <v>1.82</v>
      </c>
      <c r="J20" s="39" t="n">
        <v>35</v>
      </c>
      <c r="K20" s="52" t="n">
        <v>0.18</v>
      </c>
      <c r="L20" s="39" t="n">
        <v>25</v>
      </c>
      <c r="M20" s="39" t="n">
        <v>10</v>
      </c>
      <c r="N20" s="52" t="n">
        <v>0.05</v>
      </c>
      <c r="O20" s="4"/>
      <c r="P20" s="40" t="n">
        <f aca="false">IF(AND(I20="",J20=""),"",MAX(N(J20),N(I20)*F20)*(1+N(K20))+N(L20)+N(M20))</f>
        <v>76.3</v>
      </c>
      <c r="Q20" s="53" t="n">
        <f aca="false">IF(P20="",0,D20*P20)</f>
        <v>305.2</v>
      </c>
      <c r="R20" s="53" t="n">
        <f aca="false">IF(P20="",0,E20*P20*(1-N(N20)))</f>
        <v>652.365</v>
      </c>
      <c r="S20" s="38" t="n">
        <v>2</v>
      </c>
    </row>
    <row r="21" customFormat="false" ht="15" hidden="false" customHeight="false" outlineLevel="0" collapsed="false">
      <c r="A21" s="3" t="s">
        <v>117</v>
      </c>
      <c r="B21" s="8" t="s">
        <v>118</v>
      </c>
      <c r="C21" s="8" t="s">
        <v>180</v>
      </c>
      <c r="D21" s="18" t="n">
        <f aca="false">Volumes!D37</f>
        <v>6</v>
      </c>
      <c r="E21" s="18" t="n">
        <f aca="false">Volumes!I37</f>
        <v>14</v>
      </c>
      <c r="F21" s="18" t="n">
        <f aca="false">Volumes!C49</f>
        <v>56</v>
      </c>
      <c r="G21" s="4" t="s">
        <v>791</v>
      </c>
      <c r="H21" s="51" t="n">
        <v>2</v>
      </c>
      <c r="I21" s="39" t="n">
        <v>1.93</v>
      </c>
      <c r="J21" s="39" t="n">
        <v>60</v>
      </c>
      <c r="K21" s="52" t="n">
        <v>0.18</v>
      </c>
      <c r="L21" s="39" t="n">
        <v>25</v>
      </c>
      <c r="M21" s="39" t="n">
        <v>10</v>
      </c>
      <c r="N21" s="52" t="n">
        <v>0.05</v>
      </c>
      <c r="O21" s="4"/>
      <c r="P21" s="40" t="n">
        <f aca="false">IF(AND(I21="",J21=""),"",MAX(N(J21),N(I21)*F21)*(1+N(K21))+N(L21)+N(M21))</f>
        <v>162.5344</v>
      </c>
      <c r="Q21" s="53" t="n">
        <f aca="false">IF(P21="",0,D21*P21)</f>
        <v>975.2064</v>
      </c>
      <c r="R21" s="53" t="n">
        <f aca="false">IF(P21="",0,E21*P21*(1-N(N21)))</f>
        <v>2161.70752</v>
      </c>
      <c r="S21" s="38" t="n">
        <v>3</v>
      </c>
    </row>
    <row r="22" customFormat="false" ht="15" hidden="false" customHeight="false" outlineLevel="0" collapsed="false">
      <c r="A22" s="3" t="s">
        <v>117</v>
      </c>
      <c r="B22" s="8" t="s">
        <v>118</v>
      </c>
      <c r="C22" s="8" t="s">
        <v>182</v>
      </c>
      <c r="D22" s="18" t="n">
        <f aca="false">Volumes!E37</f>
        <v>0</v>
      </c>
      <c r="E22" s="18" t="n">
        <f aca="false">Volumes!J37</f>
        <v>0</v>
      </c>
      <c r="F22" s="18" t="n">
        <f aca="false">Volumes!C50</f>
        <v>281</v>
      </c>
      <c r="G22" s="4" t="s">
        <v>792</v>
      </c>
      <c r="H22" s="51" t="n">
        <v>3</v>
      </c>
      <c r="I22" s="39" t="n">
        <v>2.29</v>
      </c>
      <c r="J22" s="39" t="n">
        <v>120</v>
      </c>
      <c r="K22" s="52" t="n">
        <v>0.18</v>
      </c>
      <c r="L22" s="39" t="n">
        <v>25</v>
      </c>
      <c r="M22" s="39" t="n">
        <v>10</v>
      </c>
      <c r="N22" s="52" t="n">
        <v>0.05</v>
      </c>
      <c r="O22" s="4"/>
      <c r="P22" s="40" t="n">
        <f aca="false">IF(AND(I22="",J22=""),"",MAX(N(J22),N(I22)*F22)*(1+N(K22))+N(L22)+N(M22))</f>
        <v>794.3182</v>
      </c>
      <c r="Q22" s="53" t="n">
        <f aca="false">IF(P22="",0,D22*P22)</f>
        <v>0</v>
      </c>
      <c r="R22" s="53" t="n">
        <f aca="false">IF(P22="",0,E22*P22*(1-N(N22)))</f>
        <v>0</v>
      </c>
      <c r="S22" s="38" t="n">
        <v>5</v>
      </c>
    </row>
    <row r="23" customFormat="false" ht="15" hidden="false" customHeight="false" outlineLevel="0" collapsed="false">
      <c r="A23" s="3" t="s">
        <v>117</v>
      </c>
      <c r="B23" s="8" t="s">
        <v>118</v>
      </c>
      <c r="C23" s="8" t="s">
        <v>183</v>
      </c>
      <c r="D23" s="18" t="n">
        <f aca="false">Volumes!F37</f>
        <v>0</v>
      </c>
      <c r="E23" s="18" t="n">
        <f aca="false">Volumes!K37</f>
        <v>0</v>
      </c>
      <c r="F23" s="18" t="n">
        <f aca="false">Volumes!C51</f>
        <v>1016</v>
      </c>
      <c r="G23" s="4" t="s">
        <v>793</v>
      </c>
      <c r="H23" s="51" t="n">
        <v>4</v>
      </c>
      <c r="I23" s="39" t="n">
        <v>4.38</v>
      </c>
      <c r="J23" s="39" t="n">
        <v>250</v>
      </c>
      <c r="K23" s="52" t="n">
        <v>0.18</v>
      </c>
      <c r="L23" s="39" t="n">
        <v>25</v>
      </c>
      <c r="M23" s="39" t="n">
        <v>10</v>
      </c>
      <c r="N23" s="52" t="n">
        <v>0.05</v>
      </c>
      <c r="O23" s="4"/>
      <c r="P23" s="40" t="n">
        <f aca="false">IF(AND(I23="",J23=""),"",MAX(N(J23),N(I23)*F23)*(1+N(K23))+N(L23)+N(M23))</f>
        <v>5286.0944</v>
      </c>
      <c r="Q23" s="53" t="n">
        <f aca="false">IF(P23="",0,D23*P23)</f>
        <v>0</v>
      </c>
      <c r="R23" s="53" t="n">
        <f aca="false">IF(P23="",0,E23*P23*(1-N(N23)))</f>
        <v>0</v>
      </c>
      <c r="S23" s="38" t="n">
        <v>6</v>
      </c>
    </row>
    <row r="24" customFormat="false" ht="15" hidden="false" customHeight="false" outlineLevel="0" collapsed="false">
      <c r="A24" s="54" t="s">
        <v>117</v>
      </c>
      <c r="B24" s="55" t="s">
        <v>118</v>
      </c>
      <c r="C24" s="55" t="s">
        <v>185</v>
      </c>
      <c r="D24" s="56" t="n">
        <f aca="false">Volumes!G37</f>
        <v>0</v>
      </c>
      <c r="E24" s="56" t="n">
        <f aca="false">Volumes!L37</f>
        <v>0</v>
      </c>
      <c r="F24" s="56" t="n">
        <f aca="false">Volumes!C52</f>
        <v>2569</v>
      </c>
      <c r="G24" s="57" t="s">
        <v>81</v>
      </c>
      <c r="H24" s="58" t="n">
        <v>6</v>
      </c>
      <c r="I24" s="59" t="n">
        <v>2.33</v>
      </c>
      <c r="J24" s="59" t="n">
        <v>600</v>
      </c>
      <c r="K24" s="60" t="n">
        <v>0.18</v>
      </c>
      <c r="L24" s="59" t="n">
        <v>25</v>
      </c>
      <c r="M24" s="59" t="n">
        <v>10</v>
      </c>
      <c r="N24" s="60" t="n">
        <v>0.05</v>
      </c>
      <c r="O24" s="57"/>
      <c r="P24" s="61" t="n">
        <f aca="false">IF(AND(I24="",J24=""),"",MAX(N(J24),N(I24)*F24)*(1+N(K24))+N(L24)+N(M24))</f>
        <v>7098.2086</v>
      </c>
      <c r="Q24" s="62" t="n">
        <f aca="false">IF(P24="",0,D24*P24)</f>
        <v>0</v>
      </c>
      <c r="R24" s="62" t="n">
        <f aca="false">IF(P24="",0,E24*P24*(1-N(N24)))</f>
        <v>0</v>
      </c>
      <c r="S24" s="38" t="n">
        <v>9</v>
      </c>
    </row>
    <row r="25" customFormat="false" ht="15" hidden="false" customHeight="false" outlineLevel="0" collapsed="false">
      <c r="A25" s="3" t="s">
        <v>119</v>
      </c>
      <c r="B25" s="8" t="s">
        <v>120</v>
      </c>
      <c r="C25" s="8" t="s">
        <v>178</v>
      </c>
      <c r="D25" s="18" t="n">
        <f aca="false">Volumes!C38</f>
        <v>6</v>
      </c>
      <c r="E25" s="18" t="n">
        <f aca="false">Volumes!H38</f>
        <v>14</v>
      </c>
      <c r="F25" s="18" t="n">
        <f aca="false">Volumes!C48</f>
        <v>8</v>
      </c>
      <c r="G25" s="4" t="s">
        <v>791</v>
      </c>
      <c r="H25" s="51" t="n">
        <v>1</v>
      </c>
      <c r="I25" s="39" t="n">
        <v>3.84</v>
      </c>
      <c r="J25" s="39" t="n">
        <v>35</v>
      </c>
      <c r="K25" s="52" t="n">
        <v>0.18</v>
      </c>
      <c r="L25" s="39" t="n">
        <v>25</v>
      </c>
      <c r="M25" s="39" t="n">
        <v>10</v>
      </c>
      <c r="N25" s="52" t="n">
        <v>0.05</v>
      </c>
      <c r="O25" s="4"/>
      <c r="P25" s="40" t="n">
        <f aca="false">IF(AND(I25="",J25=""),"",MAX(N(J25),N(I25)*F25)*(1+N(K25))+N(L25)+N(M25))</f>
        <v>76.3</v>
      </c>
      <c r="Q25" s="53" t="n">
        <f aca="false">IF(P25="",0,D25*P25)</f>
        <v>457.8</v>
      </c>
      <c r="R25" s="53" t="n">
        <f aca="false">IF(P25="",0,E25*P25*(1-N(N25)))</f>
        <v>1014.79</v>
      </c>
      <c r="S25" s="38" t="n">
        <v>2</v>
      </c>
    </row>
    <row r="26" customFormat="false" ht="15" hidden="false" customHeight="false" outlineLevel="0" collapsed="false">
      <c r="A26" s="3" t="s">
        <v>119</v>
      </c>
      <c r="B26" s="8" t="s">
        <v>120</v>
      </c>
      <c r="C26" s="8" t="s">
        <v>180</v>
      </c>
      <c r="D26" s="18" t="n">
        <f aca="false">Volumes!D38</f>
        <v>4</v>
      </c>
      <c r="E26" s="18" t="n">
        <f aca="false">Volumes!I38</f>
        <v>9</v>
      </c>
      <c r="F26" s="18" t="n">
        <f aca="false">Volumes!C49</f>
        <v>56</v>
      </c>
      <c r="G26" s="4" t="s">
        <v>791</v>
      </c>
      <c r="H26" s="51" t="n">
        <v>2</v>
      </c>
      <c r="I26" s="39" t="n">
        <v>4.31</v>
      </c>
      <c r="J26" s="39" t="n">
        <v>60</v>
      </c>
      <c r="K26" s="52" t="n">
        <v>0.18</v>
      </c>
      <c r="L26" s="39" t="n">
        <v>25</v>
      </c>
      <c r="M26" s="39" t="n">
        <v>10</v>
      </c>
      <c r="N26" s="52" t="n">
        <v>0.05</v>
      </c>
      <c r="O26" s="4"/>
      <c r="P26" s="40" t="n">
        <f aca="false">IF(AND(I26="",J26=""),"",MAX(N(J26),N(I26)*F26)*(1+N(K26))+N(L26)+N(M26))</f>
        <v>319.8048</v>
      </c>
      <c r="Q26" s="53" t="n">
        <f aca="false">IF(P26="",0,D26*P26)</f>
        <v>1279.2192</v>
      </c>
      <c r="R26" s="53" t="n">
        <f aca="false">IF(P26="",0,E26*P26*(1-N(N26)))</f>
        <v>2734.33104</v>
      </c>
      <c r="S26" s="38" t="n">
        <v>3</v>
      </c>
    </row>
    <row r="27" customFormat="false" ht="15" hidden="false" customHeight="false" outlineLevel="0" collapsed="false">
      <c r="A27" s="3" t="s">
        <v>119</v>
      </c>
      <c r="B27" s="8" t="s">
        <v>120</v>
      </c>
      <c r="C27" s="8" t="s">
        <v>182</v>
      </c>
      <c r="D27" s="18" t="n">
        <f aca="false">Volumes!E38</f>
        <v>6</v>
      </c>
      <c r="E27" s="18" t="n">
        <f aca="false">Volumes!J38</f>
        <v>14</v>
      </c>
      <c r="F27" s="18" t="n">
        <f aca="false">Volumes!C50</f>
        <v>281</v>
      </c>
      <c r="G27" s="4" t="s">
        <v>792</v>
      </c>
      <c r="H27" s="51" t="n">
        <v>3</v>
      </c>
      <c r="I27" s="39" t="n">
        <v>4.34</v>
      </c>
      <c r="J27" s="39" t="n">
        <v>120</v>
      </c>
      <c r="K27" s="52" t="n">
        <v>0.18</v>
      </c>
      <c r="L27" s="39" t="n">
        <v>25</v>
      </c>
      <c r="M27" s="39" t="n">
        <v>10</v>
      </c>
      <c r="N27" s="52" t="n">
        <v>0.05</v>
      </c>
      <c r="O27" s="4"/>
      <c r="P27" s="40" t="n">
        <f aca="false">IF(AND(I27="",J27=""),"",MAX(N(J27),N(I27)*F27)*(1+N(K27))+N(L27)+N(M27))</f>
        <v>1474.0572</v>
      </c>
      <c r="Q27" s="53" t="n">
        <f aca="false">IF(P27="",0,D27*P27)</f>
        <v>8844.3432</v>
      </c>
      <c r="R27" s="53" t="n">
        <f aca="false">IF(P27="",0,E27*P27*(1-N(N27)))</f>
        <v>19604.96076</v>
      </c>
      <c r="S27" s="38" t="n">
        <v>5</v>
      </c>
    </row>
    <row r="28" customFormat="false" ht="15" hidden="false" customHeight="false" outlineLevel="0" collapsed="false">
      <c r="A28" s="3" t="s">
        <v>119</v>
      </c>
      <c r="B28" s="8" t="s">
        <v>120</v>
      </c>
      <c r="C28" s="8" t="s">
        <v>183</v>
      </c>
      <c r="D28" s="18" t="n">
        <f aca="false">Volumes!F38</f>
        <v>0</v>
      </c>
      <c r="E28" s="18" t="n">
        <f aca="false">Volumes!K38</f>
        <v>0</v>
      </c>
      <c r="F28" s="18" t="n">
        <f aca="false">Volumes!C51</f>
        <v>1016</v>
      </c>
      <c r="G28" s="4" t="s">
        <v>793</v>
      </c>
      <c r="H28" s="51" t="n">
        <v>4</v>
      </c>
      <c r="I28" s="39" t="n">
        <v>2.73</v>
      </c>
      <c r="J28" s="39" t="n">
        <v>250</v>
      </c>
      <c r="K28" s="52" t="n">
        <v>0.18</v>
      </c>
      <c r="L28" s="39" t="n">
        <v>25</v>
      </c>
      <c r="M28" s="39" t="n">
        <v>10</v>
      </c>
      <c r="N28" s="52" t="n">
        <v>0.05</v>
      </c>
      <c r="O28" s="4"/>
      <c r="P28" s="40" t="n">
        <f aca="false">IF(AND(I28="",J28=""),"",MAX(N(J28),N(I28)*F28)*(1+N(K28))+N(L28)+N(M28))</f>
        <v>3307.9424</v>
      </c>
      <c r="Q28" s="53" t="n">
        <f aca="false">IF(P28="",0,D28*P28)</f>
        <v>0</v>
      </c>
      <c r="R28" s="53" t="n">
        <f aca="false">IF(P28="",0,E28*P28*(1-N(N28)))</f>
        <v>0</v>
      </c>
      <c r="S28" s="38" t="n">
        <v>6</v>
      </c>
    </row>
    <row r="29" customFormat="false" ht="15" hidden="false" customHeight="false" outlineLevel="0" collapsed="false">
      <c r="A29" s="54" t="s">
        <v>119</v>
      </c>
      <c r="B29" s="55" t="s">
        <v>120</v>
      </c>
      <c r="C29" s="55" t="s">
        <v>185</v>
      </c>
      <c r="D29" s="56" t="n">
        <f aca="false">Volumes!G38</f>
        <v>0</v>
      </c>
      <c r="E29" s="56" t="n">
        <f aca="false">Volumes!L38</f>
        <v>0</v>
      </c>
      <c r="F29" s="56" t="n">
        <f aca="false">Volumes!C52</f>
        <v>2569</v>
      </c>
      <c r="G29" s="57" t="s">
        <v>81</v>
      </c>
      <c r="H29" s="58" t="n">
        <v>6</v>
      </c>
      <c r="I29" s="59" t="n">
        <v>2.76</v>
      </c>
      <c r="J29" s="59" t="n">
        <v>600</v>
      </c>
      <c r="K29" s="60" t="n">
        <v>0.18</v>
      </c>
      <c r="L29" s="59" t="n">
        <v>25</v>
      </c>
      <c r="M29" s="59" t="n">
        <v>10</v>
      </c>
      <c r="N29" s="60" t="n">
        <v>0.05</v>
      </c>
      <c r="O29" s="57"/>
      <c r="P29" s="61" t="n">
        <f aca="false">IF(AND(I29="",J29=""),"",MAX(N(J29),N(I29)*F29)*(1+N(K29))+N(L29)+N(M29))</f>
        <v>8401.7192</v>
      </c>
      <c r="Q29" s="62" t="n">
        <f aca="false">IF(P29="",0,D29*P29)</f>
        <v>0</v>
      </c>
      <c r="R29" s="62" t="n">
        <f aca="false">IF(P29="",0,E29*P29*(1-N(N29)))</f>
        <v>0</v>
      </c>
      <c r="S29" s="38" t="n">
        <v>9</v>
      </c>
    </row>
    <row r="30" customFormat="false" ht="15" hidden="false" customHeight="false" outlineLevel="0" collapsed="false">
      <c r="A30" s="3" t="s">
        <v>121</v>
      </c>
      <c r="B30" s="8" t="s">
        <v>122</v>
      </c>
      <c r="C30" s="8" t="s">
        <v>178</v>
      </c>
      <c r="D30" s="18" t="n">
        <f aca="false">Volumes!C39</f>
        <v>3</v>
      </c>
      <c r="E30" s="18" t="n">
        <f aca="false">Volumes!H39</f>
        <v>7</v>
      </c>
      <c r="F30" s="18" t="n">
        <f aca="false">Volumes!C48</f>
        <v>8</v>
      </c>
      <c r="G30" s="4" t="s">
        <v>791</v>
      </c>
      <c r="H30" s="51" t="n">
        <v>1</v>
      </c>
      <c r="I30" s="39" t="n">
        <v>3.22</v>
      </c>
      <c r="J30" s="39" t="n">
        <v>35</v>
      </c>
      <c r="K30" s="52" t="n">
        <v>0.18</v>
      </c>
      <c r="L30" s="39" t="n">
        <v>25</v>
      </c>
      <c r="M30" s="39" t="n">
        <v>10</v>
      </c>
      <c r="N30" s="52" t="n">
        <v>0.05</v>
      </c>
      <c r="O30" s="4"/>
      <c r="P30" s="40" t="n">
        <f aca="false">IF(AND(I30="",J30=""),"",MAX(N(J30),N(I30)*F30)*(1+N(K30))+N(L30)+N(M30))</f>
        <v>76.3</v>
      </c>
      <c r="Q30" s="53" t="n">
        <f aca="false">IF(P30="",0,D30*P30)</f>
        <v>228.9</v>
      </c>
      <c r="R30" s="53" t="n">
        <f aca="false">IF(P30="",0,E30*P30*(1-N(N30)))</f>
        <v>507.395</v>
      </c>
      <c r="S30" s="38" t="n">
        <v>2</v>
      </c>
    </row>
    <row r="31" customFormat="false" ht="15" hidden="false" customHeight="false" outlineLevel="0" collapsed="false">
      <c r="A31" s="3" t="s">
        <v>121</v>
      </c>
      <c r="B31" s="8" t="s">
        <v>122</v>
      </c>
      <c r="C31" s="8" t="s">
        <v>180</v>
      </c>
      <c r="D31" s="18" t="n">
        <f aca="false">Volumes!D39</f>
        <v>1</v>
      </c>
      <c r="E31" s="18" t="n">
        <f aca="false">Volumes!I39</f>
        <v>2</v>
      </c>
      <c r="F31" s="18" t="n">
        <f aca="false">Volumes!C49</f>
        <v>56</v>
      </c>
      <c r="G31" s="4" t="s">
        <v>791</v>
      </c>
      <c r="H31" s="51" t="n">
        <v>2</v>
      </c>
      <c r="I31" s="39" t="n">
        <v>3.89</v>
      </c>
      <c r="J31" s="39" t="n">
        <v>60</v>
      </c>
      <c r="K31" s="52" t="n">
        <v>0.18</v>
      </c>
      <c r="L31" s="39" t="n">
        <v>25</v>
      </c>
      <c r="M31" s="39" t="n">
        <v>10</v>
      </c>
      <c r="N31" s="52" t="n">
        <v>0.05</v>
      </c>
      <c r="O31" s="4"/>
      <c r="P31" s="40" t="n">
        <f aca="false">IF(AND(I31="",J31=""),"",MAX(N(J31),N(I31)*F31)*(1+N(K31))+N(L31)+N(M31))</f>
        <v>292.0512</v>
      </c>
      <c r="Q31" s="53" t="n">
        <f aca="false">IF(P31="",0,D31*P31)</f>
        <v>292.0512</v>
      </c>
      <c r="R31" s="53" t="n">
        <f aca="false">IF(P31="",0,E31*P31*(1-N(N31)))</f>
        <v>554.89728</v>
      </c>
      <c r="S31" s="38" t="n">
        <v>3</v>
      </c>
    </row>
    <row r="32" customFormat="false" ht="15" hidden="false" customHeight="false" outlineLevel="0" collapsed="false">
      <c r="A32" s="3" t="s">
        <v>121</v>
      </c>
      <c r="B32" s="8" t="s">
        <v>122</v>
      </c>
      <c r="C32" s="8" t="s">
        <v>182</v>
      </c>
      <c r="D32" s="18" t="n">
        <f aca="false">Volumes!E39</f>
        <v>1</v>
      </c>
      <c r="E32" s="18" t="n">
        <f aca="false">Volumes!J39</f>
        <v>3</v>
      </c>
      <c r="F32" s="18" t="n">
        <f aca="false">Volumes!C50</f>
        <v>281</v>
      </c>
      <c r="G32" s="4" t="s">
        <v>792</v>
      </c>
      <c r="H32" s="51" t="n">
        <v>3</v>
      </c>
      <c r="I32" s="39" t="n">
        <v>2.09</v>
      </c>
      <c r="J32" s="39" t="n">
        <v>120</v>
      </c>
      <c r="K32" s="52" t="n">
        <v>0.18</v>
      </c>
      <c r="L32" s="39" t="n">
        <v>25</v>
      </c>
      <c r="M32" s="39" t="n">
        <v>10</v>
      </c>
      <c r="N32" s="52" t="n">
        <v>0.05</v>
      </c>
      <c r="O32" s="4"/>
      <c r="P32" s="40" t="n">
        <f aca="false">IF(AND(I32="",J32=""),"",MAX(N(J32),N(I32)*F32)*(1+N(K32))+N(L32)+N(M32))</f>
        <v>728.0022</v>
      </c>
      <c r="Q32" s="53" t="n">
        <f aca="false">IF(P32="",0,D32*P32)</f>
        <v>728.0022</v>
      </c>
      <c r="R32" s="53" t="n">
        <f aca="false">IF(P32="",0,E32*P32*(1-N(N32)))</f>
        <v>2074.80627</v>
      </c>
      <c r="S32" s="38" t="n">
        <v>5</v>
      </c>
    </row>
    <row r="33" customFormat="false" ht="15" hidden="false" customHeight="false" outlineLevel="0" collapsed="false">
      <c r="A33" s="3" t="s">
        <v>121</v>
      </c>
      <c r="B33" s="8" t="s">
        <v>122</v>
      </c>
      <c r="C33" s="8" t="s">
        <v>183</v>
      </c>
      <c r="D33" s="18" t="n">
        <f aca="false">Volumes!F39</f>
        <v>1</v>
      </c>
      <c r="E33" s="18" t="n">
        <f aca="false">Volumes!K39</f>
        <v>1</v>
      </c>
      <c r="F33" s="18" t="n">
        <f aca="false">Volumes!C51</f>
        <v>1016</v>
      </c>
      <c r="G33" s="4" t="s">
        <v>793</v>
      </c>
      <c r="H33" s="51" t="n">
        <v>4</v>
      </c>
      <c r="I33" s="39" t="n">
        <v>3.82</v>
      </c>
      <c r="J33" s="39" t="n">
        <v>250</v>
      </c>
      <c r="K33" s="52" t="n">
        <v>0.18</v>
      </c>
      <c r="L33" s="39" t="n">
        <v>25</v>
      </c>
      <c r="M33" s="39" t="n">
        <v>10</v>
      </c>
      <c r="N33" s="52" t="n">
        <v>0.05</v>
      </c>
      <c r="O33" s="4"/>
      <c r="P33" s="40" t="n">
        <f aca="false">IF(AND(I33="",J33=""),"",MAX(N(J33),N(I33)*F33)*(1+N(K33))+N(L33)+N(M33))</f>
        <v>4614.7216</v>
      </c>
      <c r="Q33" s="53" t="n">
        <f aca="false">IF(P33="",0,D33*P33)</f>
        <v>4614.7216</v>
      </c>
      <c r="R33" s="53" t="n">
        <f aca="false">IF(P33="",0,E33*P33*(1-N(N33)))</f>
        <v>4383.98552</v>
      </c>
      <c r="S33" s="38" t="n">
        <v>6</v>
      </c>
    </row>
    <row r="34" customFormat="false" ht="15" hidden="false" customHeight="false" outlineLevel="0" collapsed="false">
      <c r="A34" s="54" t="s">
        <v>121</v>
      </c>
      <c r="B34" s="55" t="s">
        <v>122</v>
      </c>
      <c r="C34" s="55" t="s">
        <v>185</v>
      </c>
      <c r="D34" s="56" t="n">
        <f aca="false">Volumes!G39</f>
        <v>0</v>
      </c>
      <c r="E34" s="56" t="n">
        <f aca="false">Volumes!L39</f>
        <v>0</v>
      </c>
      <c r="F34" s="56" t="n">
        <f aca="false">Volumes!C52</f>
        <v>2569</v>
      </c>
      <c r="G34" s="57" t="s">
        <v>81</v>
      </c>
      <c r="H34" s="58" t="n">
        <v>6</v>
      </c>
      <c r="I34" s="59" t="n">
        <v>3.95</v>
      </c>
      <c r="J34" s="59" t="n">
        <v>600</v>
      </c>
      <c r="K34" s="60" t="n">
        <v>0.18</v>
      </c>
      <c r="L34" s="59" t="n">
        <v>25</v>
      </c>
      <c r="M34" s="59" t="n">
        <v>10</v>
      </c>
      <c r="N34" s="60" t="n">
        <v>0.05</v>
      </c>
      <c r="O34" s="57"/>
      <c r="P34" s="61" t="n">
        <f aca="false">IF(AND(I34="",J34=""),"",MAX(N(J34),N(I34)*F34)*(1+N(K34))+N(L34)+N(M34))</f>
        <v>12009.109</v>
      </c>
      <c r="Q34" s="62" t="n">
        <f aca="false">IF(P34="",0,D34*P34)</f>
        <v>0</v>
      </c>
      <c r="R34" s="62" t="n">
        <f aca="false">IF(P34="",0,E34*P34*(1-N(N34)))</f>
        <v>0</v>
      </c>
      <c r="S34" s="38" t="n">
        <v>9</v>
      </c>
    </row>
    <row r="35" customFormat="false" ht="15" hidden="false" customHeight="false" outlineLevel="0" collapsed="false">
      <c r="A35" s="3" t="s">
        <v>124</v>
      </c>
      <c r="B35" s="8" t="s">
        <v>125</v>
      </c>
      <c r="C35" s="8" t="s">
        <v>178</v>
      </c>
      <c r="D35" s="18" t="n">
        <f aca="false">Volumes!C40</f>
        <v>2</v>
      </c>
      <c r="E35" s="18" t="n">
        <f aca="false">Volumes!H40</f>
        <v>5</v>
      </c>
      <c r="F35" s="18" t="n">
        <f aca="false">Volumes!C48</f>
        <v>8</v>
      </c>
      <c r="G35" s="4" t="s">
        <v>791</v>
      </c>
      <c r="H35" s="51" t="n">
        <v>1</v>
      </c>
      <c r="I35" s="39" t="n">
        <v>4.12</v>
      </c>
      <c r="J35" s="39" t="n">
        <v>35</v>
      </c>
      <c r="K35" s="52" t="n">
        <v>0.18</v>
      </c>
      <c r="L35" s="39" t="n">
        <v>25</v>
      </c>
      <c r="M35" s="39" t="n">
        <v>10</v>
      </c>
      <c r="N35" s="52" t="n">
        <v>0.05</v>
      </c>
      <c r="O35" s="4"/>
      <c r="P35" s="40" t="n">
        <f aca="false">IF(AND(I35="",J35=""),"",MAX(N(J35),N(I35)*F35)*(1+N(K35))+N(L35)+N(M35))</f>
        <v>76.3</v>
      </c>
      <c r="Q35" s="53" t="n">
        <f aca="false">IF(P35="",0,D35*P35)</f>
        <v>152.6</v>
      </c>
      <c r="R35" s="53" t="n">
        <f aca="false">IF(P35="",0,E35*P35*(1-N(N35)))</f>
        <v>362.425</v>
      </c>
      <c r="S35" s="38" t="n">
        <v>2</v>
      </c>
    </row>
    <row r="36" customFormat="false" ht="15" hidden="false" customHeight="false" outlineLevel="0" collapsed="false">
      <c r="A36" s="3" t="s">
        <v>124</v>
      </c>
      <c r="B36" s="8" t="s">
        <v>125</v>
      </c>
      <c r="C36" s="8" t="s">
        <v>180</v>
      </c>
      <c r="D36" s="18" t="n">
        <f aca="false">Volumes!D40</f>
        <v>1</v>
      </c>
      <c r="E36" s="18" t="n">
        <f aca="false">Volumes!I40</f>
        <v>1</v>
      </c>
      <c r="F36" s="18" t="n">
        <f aca="false">Volumes!C49</f>
        <v>56</v>
      </c>
      <c r="G36" s="4" t="s">
        <v>791</v>
      </c>
      <c r="H36" s="51" t="n">
        <v>2</v>
      </c>
      <c r="I36" s="39" t="n">
        <v>1.9</v>
      </c>
      <c r="J36" s="39" t="n">
        <v>60</v>
      </c>
      <c r="K36" s="52" t="n">
        <v>0.18</v>
      </c>
      <c r="L36" s="39" t="n">
        <v>25</v>
      </c>
      <c r="M36" s="39" t="n">
        <v>10</v>
      </c>
      <c r="N36" s="52" t="n">
        <v>0.05</v>
      </c>
      <c r="O36" s="4"/>
      <c r="P36" s="40" t="n">
        <f aca="false">IF(AND(I36="",J36=""),"",MAX(N(J36),N(I36)*F36)*(1+N(K36))+N(L36)+N(M36))</f>
        <v>160.552</v>
      </c>
      <c r="Q36" s="53" t="n">
        <f aca="false">IF(P36="",0,D36*P36)</f>
        <v>160.552</v>
      </c>
      <c r="R36" s="53" t="n">
        <f aca="false">IF(P36="",0,E36*P36*(1-N(N36)))</f>
        <v>152.5244</v>
      </c>
      <c r="S36" s="38" t="n">
        <v>3</v>
      </c>
    </row>
    <row r="37" customFormat="false" ht="15" hidden="false" customHeight="false" outlineLevel="0" collapsed="false">
      <c r="A37" s="3" t="s">
        <v>124</v>
      </c>
      <c r="B37" s="8" t="s">
        <v>125</v>
      </c>
      <c r="C37" s="8" t="s">
        <v>182</v>
      </c>
      <c r="D37" s="18" t="n">
        <f aca="false">Volumes!E40</f>
        <v>1</v>
      </c>
      <c r="E37" s="18" t="n">
        <f aca="false">Volumes!J40</f>
        <v>2</v>
      </c>
      <c r="F37" s="18" t="n">
        <f aca="false">Volumes!C50</f>
        <v>281</v>
      </c>
      <c r="G37" s="4" t="s">
        <v>792</v>
      </c>
      <c r="H37" s="51" t="n">
        <v>3</v>
      </c>
      <c r="I37" s="39" t="n">
        <v>4.35</v>
      </c>
      <c r="J37" s="39" t="n">
        <v>120</v>
      </c>
      <c r="K37" s="52" t="n">
        <v>0.18</v>
      </c>
      <c r="L37" s="39" t="n">
        <v>25</v>
      </c>
      <c r="M37" s="39" t="n">
        <v>10</v>
      </c>
      <c r="N37" s="52" t="n">
        <v>0.05</v>
      </c>
      <c r="O37" s="4"/>
      <c r="P37" s="40" t="n">
        <f aca="false">IF(AND(I37="",J37=""),"",MAX(N(J37),N(I37)*F37)*(1+N(K37))+N(L37)+N(M37))</f>
        <v>1477.373</v>
      </c>
      <c r="Q37" s="53" t="n">
        <f aca="false">IF(P37="",0,D37*P37)</f>
        <v>1477.373</v>
      </c>
      <c r="R37" s="53" t="n">
        <f aca="false">IF(P37="",0,E37*P37*(1-N(N37)))</f>
        <v>2807.0087</v>
      </c>
      <c r="S37" s="38" t="n">
        <v>5</v>
      </c>
    </row>
    <row r="38" customFormat="false" ht="15" hidden="false" customHeight="false" outlineLevel="0" collapsed="false">
      <c r="A38" s="3" t="s">
        <v>124</v>
      </c>
      <c r="B38" s="8" t="s">
        <v>125</v>
      </c>
      <c r="C38" s="8" t="s">
        <v>183</v>
      </c>
      <c r="D38" s="18" t="n">
        <f aca="false">Volumes!F40</f>
        <v>0</v>
      </c>
      <c r="E38" s="18" t="n">
        <f aca="false">Volumes!K40</f>
        <v>1</v>
      </c>
      <c r="F38" s="18" t="n">
        <f aca="false">Volumes!C51</f>
        <v>1016</v>
      </c>
      <c r="G38" s="4" t="s">
        <v>793</v>
      </c>
      <c r="H38" s="51" t="n">
        <v>4</v>
      </c>
      <c r="I38" s="39" t="n">
        <v>2.05</v>
      </c>
      <c r="J38" s="39" t="n">
        <v>250</v>
      </c>
      <c r="K38" s="52" t="n">
        <v>0.18</v>
      </c>
      <c r="L38" s="39" t="n">
        <v>25</v>
      </c>
      <c r="M38" s="39" t="n">
        <v>10</v>
      </c>
      <c r="N38" s="52" t="n">
        <v>0.05</v>
      </c>
      <c r="O38" s="4"/>
      <c r="P38" s="40" t="n">
        <f aca="false">IF(AND(I38="",J38=""),"",MAX(N(J38),N(I38)*F38)*(1+N(K38))+N(L38)+N(M38))</f>
        <v>2492.704</v>
      </c>
      <c r="Q38" s="53" t="n">
        <f aca="false">IF(P38="",0,D38*P38)</f>
        <v>0</v>
      </c>
      <c r="R38" s="53" t="n">
        <f aca="false">IF(P38="",0,E38*P38*(1-N(N38)))</f>
        <v>2368.0688</v>
      </c>
      <c r="S38" s="38" t="n">
        <v>6</v>
      </c>
    </row>
    <row r="39" customFormat="false" ht="15" hidden="false" customHeight="false" outlineLevel="0" collapsed="false">
      <c r="A39" s="54" t="s">
        <v>124</v>
      </c>
      <c r="B39" s="55" t="s">
        <v>125</v>
      </c>
      <c r="C39" s="55" t="s">
        <v>185</v>
      </c>
      <c r="D39" s="56" t="n">
        <f aca="false">Volumes!G40</f>
        <v>0</v>
      </c>
      <c r="E39" s="56" t="n">
        <f aca="false">Volumes!L40</f>
        <v>0</v>
      </c>
      <c r="F39" s="56" t="n">
        <f aca="false">Volumes!C52</f>
        <v>2569</v>
      </c>
      <c r="G39" s="57" t="s">
        <v>81</v>
      </c>
      <c r="H39" s="58" t="n">
        <v>6</v>
      </c>
      <c r="I39" s="59" t="n">
        <v>2.72</v>
      </c>
      <c r="J39" s="59" t="n">
        <v>600</v>
      </c>
      <c r="K39" s="60" t="n">
        <v>0.18</v>
      </c>
      <c r="L39" s="59" t="n">
        <v>25</v>
      </c>
      <c r="M39" s="59" t="n">
        <v>10</v>
      </c>
      <c r="N39" s="60" t="n">
        <v>0.05</v>
      </c>
      <c r="O39" s="57"/>
      <c r="P39" s="61" t="n">
        <f aca="false">IF(AND(I39="",J39=""),"",MAX(N(J39),N(I39)*F39)*(1+N(K39))+N(L39)+N(M39))</f>
        <v>8280.4624</v>
      </c>
      <c r="Q39" s="62" t="n">
        <f aca="false">IF(P39="",0,D39*P39)</f>
        <v>0</v>
      </c>
      <c r="R39" s="62" t="n">
        <f aca="false">IF(P39="",0,E39*P39*(1-N(N39)))</f>
        <v>0</v>
      </c>
      <c r="S39" s="38" t="n">
        <v>9</v>
      </c>
    </row>
    <row r="40" customFormat="false" ht="15" hidden="false" customHeight="false" outlineLevel="0" collapsed="false">
      <c r="A40" s="3" t="s">
        <v>126</v>
      </c>
      <c r="B40" s="8" t="s">
        <v>127</v>
      </c>
      <c r="C40" s="8" t="s">
        <v>178</v>
      </c>
      <c r="D40" s="18" t="n">
        <f aca="false">Volumes!C41</f>
        <v>3</v>
      </c>
      <c r="E40" s="18" t="n">
        <f aca="false">Volumes!H41</f>
        <v>7</v>
      </c>
      <c r="F40" s="18" t="n">
        <f aca="false">Volumes!C48</f>
        <v>8</v>
      </c>
      <c r="G40" s="4" t="s">
        <v>791</v>
      </c>
      <c r="H40" s="51" t="n">
        <v>1</v>
      </c>
      <c r="I40" s="39" t="n">
        <v>3.45</v>
      </c>
      <c r="J40" s="39" t="n">
        <v>35</v>
      </c>
      <c r="K40" s="52" t="n">
        <v>0.18</v>
      </c>
      <c r="L40" s="39" t="n">
        <v>25</v>
      </c>
      <c r="M40" s="39" t="n">
        <v>10</v>
      </c>
      <c r="N40" s="52" t="n">
        <v>0.05</v>
      </c>
      <c r="O40" s="4"/>
      <c r="P40" s="40" t="n">
        <f aca="false">IF(AND(I40="",J40=""),"",MAX(N(J40),N(I40)*F40)*(1+N(K40))+N(L40)+N(M40))</f>
        <v>76.3</v>
      </c>
      <c r="Q40" s="53" t="n">
        <f aca="false">IF(P40="",0,D40*P40)</f>
        <v>228.9</v>
      </c>
      <c r="R40" s="53" t="n">
        <f aca="false">IF(P40="",0,E40*P40*(1-N(N40)))</f>
        <v>507.395</v>
      </c>
      <c r="S40" s="38" t="n">
        <v>2</v>
      </c>
    </row>
    <row r="41" customFormat="false" ht="15" hidden="false" customHeight="false" outlineLevel="0" collapsed="false">
      <c r="A41" s="3" t="s">
        <v>126</v>
      </c>
      <c r="B41" s="8" t="s">
        <v>127</v>
      </c>
      <c r="C41" s="8" t="s">
        <v>180</v>
      </c>
      <c r="D41" s="18" t="n">
        <f aca="false">Volumes!D41</f>
        <v>1</v>
      </c>
      <c r="E41" s="18" t="n">
        <f aca="false">Volumes!I41</f>
        <v>2</v>
      </c>
      <c r="F41" s="18" t="n">
        <f aca="false">Volumes!C49</f>
        <v>56</v>
      </c>
      <c r="G41" s="4" t="s">
        <v>791</v>
      </c>
      <c r="H41" s="51" t="n">
        <v>2</v>
      </c>
      <c r="I41" s="39" t="n">
        <v>4.28</v>
      </c>
      <c r="J41" s="39" t="n">
        <v>60</v>
      </c>
      <c r="K41" s="52" t="n">
        <v>0.18</v>
      </c>
      <c r="L41" s="39" t="n">
        <v>25</v>
      </c>
      <c r="M41" s="39" t="n">
        <v>10</v>
      </c>
      <c r="N41" s="52" t="n">
        <v>0.05</v>
      </c>
      <c r="O41" s="4"/>
      <c r="P41" s="40" t="n">
        <f aca="false">IF(AND(I41="",J41=""),"",MAX(N(J41),N(I41)*F41)*(1+N(K41))+N(L41)+N(M41))</f>
        <v>317.8224</v>
      </c>
      <c r="Q41" s="53" t="n">
        <f aca="false">IF(P41="",0,D41*P41)</f>
        <v>317.8224</v>
      </c>
      <c r="R41" s="53" t="n">
        <f aca="false">IF(P41="",0,E41*P41*(1-N(N41)))</f>
        <v>603.86256</v>
      </c>
      <c r="S41" s="38" t="n">
        <v>3</v>
      </c>
    </row>
    <row r="42" customFormat="false" ht="15" hidden="false" customHeight="false" outlineLevel="0" collapsed="false">
      <c r="A42" s="3" t="s">
        <v>126</v>
      </c>
      <c r="B42" s="8" t="s">
        <v>127</v>
      </c>
      <c r="C42" s="8" t="s">
        <v>182</v>
      </c>
      <c r="D42" s="18" t="n">
        <f aca="false">Volumes!E41</f>
        <v>1</v>
      </c>
      <c r="E42" s="18" t="n">
        <f aca="false">Volumes!J41</f>
        <v>3</v>
      </c>
      <c r="F42" s="18" t="n">
        <f aca="false">Volumes!C50</f>
        <v>281</v>
      </c>
      <c r="G42" s="4" t="s">
        <v>792</v>
      </c>
      <c r="H42" s="51" t="n">
        <v>3</v>
      </c>
      <c r="I42" s="39" t="n">
        <v>2.72</v>
      </c>
      <c r="J42" s="39" t="n">
        <v>120</v>
      </c>
      <c r="K42" s="52" t="n">
        <v>0.18</v>
      </c>
      <c r="L42" s="39" t="n">
        <v>25</v>
      </c>
      <c r="M42" s="39" t="n">
        <v>10</v>
      </c>
      <c r="N42" s="52" t="n">
        <v>0.05</v>
      </c>
      <c r="O42" s="4"/>
      <c r="P42" s="40" t="n">
        <f aca="false">IF(AND(I42="",J42=""),"",MAX(N(J42),N(I42)*F42)*(1+N(K42))+N(L42)+N(M42))</f>
        <v>936.8976</v>
      </c>
      <c r="Q42" s="53" t="n">
        <f aca="false">IF(P42="",0,D42*P42)</f>
        <v>936.8976</v>
      </c>
      <c r="R42" s="53" t="n">
        <f aca="false">IF(P42="",0,E42*P42*(1-N(N42)))</f>
        <v>2670.15816</v>
      </c>
      <c r="S42" s="38" t="n">
        <v>5</v>
      </c>
    </row>
    <row r="43" customFormat="false" ht="15" hidden="false" customHeight="false" outlineLevel="0" collapsed="false">
      <c r="A43" s="3" t="s">
        <v>126</v>
      </c>
      <c r="B43" s="8" t="s">
        <v>127</v>
      </c>
      <c r="C43" s="8" t="s">
        <v>183</v>
      </c>
      <c r="D43" s="18" t="n">
        <f aca="false">Volumes!F41</f>
        <v>1</v>
      </c>
      <c r="E43" s="18" t="n">
        <f aca="false">Volumes!K41</f>
        <v>1</v>
      </c>
      <c r="F43" s="18" t="n">
        <f aca="false">Volumes!C51</f>
        <v>1016</v>
      </c>
      <c r="G43" s="4" t="s">
        <v>793</v>
      </c>
      <c r="H43" s="51" t="n">
        <v>4</v>
      </c>
      <c r="I43" s="39" t="n">
        <v>4.3</v>
      </c>
      <c r="J43" s="39" t="n">
        <v>250</v>
      </c>
      <c r="K43" s="52" t="n">
        <v>0.18</v>
      </c>
      <c r="L43" s="39" t="n">
        <v>25</v>
      </c>
      <c r="M43" s="39" t="n">
        <v>10</v>
      </c>
      <c r="N43" s="52" t="n">
        <v>0.05</v>
      </c>
      <c r="O43" s="4"/>
      <c r="P43" s="40" t="n">
        <f aca="false">IF(AND(I43="",J43=""),"",MAX(N(J43),N(I43)*F43)*(1+N(K43))+N(L43)+N(M43))</f>
        <v>5190.184</v>
      </c>
      <c r="Q43" s="53" t="n">
        <f aca="false">IF(P43="",0,D43*P43)</f>
        <v>5190.184</v>
      </c>
      <c r="R43" s="53" t="n">
        <f aca="false">IF(P43="",0,E43*P43*(1-N(N43)))</f>
        <v>4930.6748</v>
      </c>
      <c r="S43" s="38" t="n">
        <v>6</v>
      </c>
    </row>
    <row r="44" customFormat="false" ht="15" hidden="false" customHeight="false" outlineLevel="0" collapsed="false">
      <c r="A44" s="54" t="s">
        <v>126</v>
      </c>
      <c r="B44" s="55" t="s">
        <v>127</v>
      </c>
      <c r="C44" s="55" t="s">
        <v>185</v>
      </c>
      <c r="D44" s="56" t="n">
        <f aca="false">Volumes!G41</f>
        <v>0</v>
      </c>
      <c r="E44" s="56" t="n">
        <f aca="false">Volumes!L41</f>
        <v>0</v>
      </c>
      <c r="F44" s="56" t="n">
        <f aca="false">Volumes!C52</f>
        <v>2569</v>
      </c>
      <c r="G44" s="57" t="s">
        <v>81</v>
      </c>
      <c r="H44" s="58" t="n">
        <v>6</v>
      </c>
      <c r="I44" s="59" t="n">
        <v>3.27</v>
      </c>
      <c r="J44" s="59" t="n">
        <v>600</v>
      </c>
      <c r="K44" s="60" t="n">
        <v>0.18</v>
      </c>
      <c r="L44" s="59" t="n">
        <v>25</v>
      </c>
      <c r="M44" s="59" t="n">
        <v>10</v>
      </c>
      <c r="N44" s="60" t="n">
        <v>0.05</v>
      </c>
      <c r="O44" s="57"/>
      <c r="P44" s="61" t="n">
        <f aca="false">IF(AND(I44="",J44=""),"",MAX(N(J44),N(I44)*F44)*(1+N(K44))+N(L44)+N(M44))</f>
        <v>9947.7434</v>
      </c>
      <c r="Q44" s="62" t="n">
        <f aca="false">IF(P44="",0,D44*P44)</f>
        <v>0</v>
      </c>
      <c r="R44" s="62" t="n">
        <f aca="false">IF(P44="",0,E44*P44*(1-N(N44)))</f>
        <v>0</v>
      </c>
      <c r="S44" s="38" t="n">
        <v>9</v>
      </c>
    </row>
    <row r="45" customFormat="false" ht="15" hidden="false" customHeight="false" outlineLevel="0" collapsed="false">
      <c r="A45" s="3" t="s">
        <v>129</v>
      </c>
      <c r="B45" s="8" t="s">
        <v>130</v>
      </c>
      <c r="C45" s="8" t="s">
        <v>178</v>
      </c>
      <c r="D45" s="18" t="n">
        <f aca="false">Volumes!C42</f>
        <v>1</v>
      </c>
      <c r="E45" s="18" t="n">
        <f aca="false">Volumes!H42</f>
        <v>2</v>
      </c>
      <c r="F45" s="18" t="n">
        <f aca="false">Volumes!C48</f>
        <v>8</v>
      </c>
      <c r="G45" s="4" t="s">
        <v>791</v>
      </c>
      <c r="H45" s="51" t="n">
        <v>1</v>
      </c>
      <c r="I45" s="39" t="n">
        <v>2.64</v>
      </c>
      <c r="J45" s="39" t="n">
        <v>35</v>
      </c>
      <c r="K45" s="52" t="n">
        <v>0.18</v>
      </c>
      <c r="L45" s="39" t="n">
        <v>25</v>
      </c>
      <c r="M45" s="39" t="n">
        <v>10</v>
      </c>
      <c r="N45" s="52" t="n">
        <v>0.05</v>
      </c>
      <c r="O45" s="4"/>
      <c r="P45" s="40" t="n">
        <f aca="false">IF(AND(I45="",J45=""),"",MAX(N(J45),N(I45)*F45)*(1+N(K45))+N(L45)+N(M45))</f>
        <v>76.3</v>
      </c>
      <c r="Q45" s="53" t="n">
        <f aca="false">IF(P45="",0,D45*P45)</f>
        <v>76.3</v>
      </c>
      <c r="R45" s="53" t="n">
        <f aca="false">IF(P45="",0,E45*P45*(1-N(N45)))</f>
        <v>144.97</v>
      </c>
      <c r="S45" s="38" t="n">
        <v>2</v>
      </c>
    </row>
    <row r="46" customFormat="false" ht="15" hidden="false" customHeight="false" outlineLevel="0" collapsed="false">
      <c r="A46" s="3" t="s">
        <v>129</v>
      </c>
      <c r="B46" s="8" t="s">
        <v>130</v>
      </c>
      <c r="C46" s="8" t="s">
        <v>180</v>
      </c>
      <c r="D46" s="18" t="n">
        <f aca="false">Volumes!D42</f>
        <v>0</v>
      </c>
      <c r="E46" s="18" t="n">
        <f aca="false">Volumes!I42</f>
        <v>1</v>
      </c>
      <c r="F46" s="18" t="n">
        <f aca="false">Volumes!C49</f>
        <v>56</v>
      </c>
      <c r="G46" s="4" t="s">
        <v>791</v>
      </c>
      <c r="H46" s="51" t="n">
        <v>2</v>
      </c>
      <c r="I46" s="39" t="n">
        <v>2.66</v>
      </c>
      <c r="J46" s="39" t="n">
        <v>60</v>
      </c>
      <c r="K46" s="52" t="n">
        <v>0.18</v>
      </c>
      <c r="L46" s="39" t="n">
        <v>25</v>
      </c>
      <c r="M46" s="39" t="n">
        <v>10</v>
      </c>
      <c r="N46" s="52" t="n">
        <v>0.05</v>
      </c>
      <c r="O46" s="4"/>
      <c r="P46" s="40" t="n">
        <f aca="false">IF(AND(I46="",J46=""),"",MAX(N(J46),N(I46)*F46)*(1+N(K46))+N(L46)+N(M46))</f>
        <v>210.7728</v>
      </c>
      <c r="Q46" s="53" t="n">
        <f aca="false">IF(P46="",0,D46*P46)</f>
        <v>0</v>
      </c>
      <c r="R46" s="53" t="n">
        <f aca="false">IF(P46="",0,E46*P46*(1-N(N46)))</f>
        <v>200.23416</v>
      </c>
      <c r="S46" s="38" t="n">
        <v>3</v>
      </c>
    </row>
    <row r="47" customFormat="false" ht="15" hidden="false" customHeight="false" outlineLevel="0" collapsed="false">
      <c r="A47" s="3" t="s">
        <v>129</v>
      </c>
      <c r="B47" s="8" t="s">
        <v>130</v>
      </c>
      <c r="C47" s="8" t="s">
        <v>182</v>
      </c>
      <c r="D47" s="18" t="n">
        <f aca="false">Volumes!E42</f>
        <v>0</v>
      </c>
      <c r="E47" s="18" t="n">
        <f aca="false">Volumes!J42</f>
        <v>1</v>
      </c>
      <c r="F47" s="18" t="n">
        <f aca="false">Volumes!C50</f>
        <v>281</v>
      </c>
      <c r="G47" s="4" t="s">
        <v>792</v>
      </c>
      <c r="H47" s="51" t="n">
        <v>3</v>
      </c>
      <c r="I47" s="39" t="n">
        <v>2.28</v>
      </c>
      <c r="J47" s="39" t="n">
        <v>120</v>
      </c>
      <c r="K47" s="52" t="n">
        <v>0.18</v>
      </c>
      <c r="L47" s="39" t="n">
        <v>25</v>
      </c>
      <c r="M47" s="39" t="n">
        <v>10</v>
      </c>
      <c r="N47" s="52" t="n">
        <v>0.05</v>
      </c>
      <c r="O47" s="4"/>
      <c r="P47" s="40" t="n">
        <f aca="false">IF(AND(I47="",J47=""),"",MAX(N(J47),N(I47)*F47)*(1+N(K47))+N(L47)+N(M47))</f>
        <v>791.0024</v>
      </c>
      <c r="Q47" s="53" t="n">
        <f aca="false">IF(P47="",0,D47*P47)</f>
        <v>0</v>
      </c>
      <c r="R47" s="53" t="n">
        <f aca="false">IF(P47="",0,E47*P47*(1-N(N47)))</f>
        <v>751.45228</v>
      </c>
      <c r="S47" s="38" t="n">
        <v>5</v>
      </c>
    </row>
    <row r="48" customFormat="false" ht="15" hidden="false" customHeight="false" outlineLevel="0" collapsed="false">
      <c r="A48" s="3" t="s">
        <v>129</v>
      </c>
      <c r="B48" s="8" t="s">
        <v>130</v>
      </c>
      <c r="C48" s="8" t="s">
        <v>183</v>
      </c>
      <c r="D48" s="18" t="n">
        <f aca="false">Volumes!F42</f>
        <v>0</v>
      </c>
      <c r="E48" s="18" t="n">
        <f aca="false">Volumes!K42</f>
        <v>0</v>
      </c>
      <c r="F48" s="18" t="n">
        <f aca="false">Volumes!C51</f>
        <v>1016</v>
      </c>
      <c r="G48" s="4" t="s">
        <v>793</v>
      </c>
      <c r="H48" s="51" t="n">
        <v>4</v>
      </c>
      <c r="I48" s="39" t="n">
        <v>2.01</v>
      </c>
      <c r="J48" s="39" t="n">
        <v>250</v>
      </c>
      <c r="K48" s="52" t="n">
        <v>0.18</v>
      </c>
      <c r="L48" s="39" t="n">
        <v>25</v>
      </c>
      <c r="M48" s="39" t="n">
        <v>10</v>
      </c>
      <c r="N48" s="52" t="n">
        <v>0.05</v>
      </c>
      <c r="O48" s="4"/>
      <c r="P48" s="40" t="n">
        <f aca="false">IF(AND(I48="",J48=""),"",MAX(N(J48),N(I48)*F48)*(1+N(K48))+N(L48)+N(M48))</f>
        <v>2444.7488</v>
      </c>
      <c r="Q48" s="53" t="n">
        <f aca="false">IF(P48="",0,D48*P48)</f>
        <v>0</v>
      </c>
      <c r="R48" s="53" t="n">
        <f aca="false">IF(P48="",0,E48*P48*(1-N(N48)))</f>
        <v>0</v>
      </c>
      <c r="S48" s="38" t="n">
        <v>6</v>
      </c>
    </row>
    <row r="49" customFormat="false" ht="15" hidden="false" customHeight="false" outlineLevel="0" collapsed="false">
      <c r="A49" s="54" t="s">
        <v>129</v>
      </c>
      <c r="B49" s="55" t="s">
        <v>130</v>
      </c>
      <c r="C49" s="55" t="s">
        <v>185</v>
      </c>
      <c r="D49" s="56" t="n">
        <f aca="false">Volumes!G42</f>
        <v>0</v>
      </c>
      <c r="E49" s="56" t="n">
        <f aca="false">Volumes!L42</f>
        <v>0</v>
      </c>
      <c r="F49" s="56" t="n">
        <f aca="false">Volumes!C52</f>
        <v>2569</v>
      </c>
      <c r="G49" s="57" t="s">
        <v>81</v>
      </c>
      <c r="H49" s="58" t="n">
        <v>6</v>
      </c>
      <c r="I49" s="59" t="n">
        <v>2.2</v>
      </c>
      <c r="J49" s="59" t="n">
        <v>600</v>
      </c>
      <c r="K49" s="60" t="n">
        <v>0.18</v>
      </c>
      <c r="L49" s="59" t="n">
        <v>25</v>
      </c>
      <c r="M49" s="59" t="n">
        <v>10</v>
      </c>
      <c r="N49" s="60" t="n">
        <v>0.05</v>
      </c>
      <c r="O49" s="57"/>
      <c r="P49" s="61" t="n">
        <f aca="false">IF(AND(I49="",J49=""),"",MAX(N(J49),N(I49)*F49)*(1+N(K49))+N(L49)+N(M49))</f>
        <v>6704.124</v>
      </c>
      <c r="Q49" s="62" t="n">
        <f aca="false">IF(P49="",0,D49*P49)</f>
        <v>0</v>
      </c>
      <c r="R49" s="62" t="n">
        <f aca="false">IF(P49="",0,E49*P49*(1-N(N49)))</f>
        <v>0</v>
      </c>
      <c r="S49" s="38" t="n">
        <v>9</v>
      </c>
    </row>
    <row r="50" customFormat="false" ht="15" hidden="false" customHeight="false" outlineLevel="0" collapsed="false">
      <c r="A50" s="20" t="s">
        <v>160</v>
      </c>
      <c r="B50" s="21"/>
      <c r="C50" s="21"/>
      <c r="D50" s="22" t="n">
        <f aca="false">SUM(D5:D49)</f>
        <v>141</v>
      </c>
      <c r="E50" s="22" t="n">
        <f aca="false">SUM(E5:E49)</f>
        <v>329</v>
      </c>
      <c r="F50" s="21"/>
      <c r="G50" s="21"/>
      <c r="H50" s="21"/>
      <c r="I50" s="21"/>
      <c r="J50" s="21"/>
      <c r="K50" s="21"/>
      <c r="L50" s="21"/>
      <c r="M50" s="21"/>
      <c r="N50" s="21"/>
      <c r="O50" s="21"/>
      <c r="P50" s="21"/>
      <c r="Q50" s="42" t="n">
        <f aca="false">SUM(Q5:Q49)</f>
        <v>111608.9824</v>
      </c>
      <c r="R50" s="42" t="n">
        <f aca="false">SUM(R5:R49)</f>
        <v>243169.23083</v>
      </c>
      <c r="S50" s="21"/>
    </row>
    <row r="51" customFormat="false" ht="15" hidden="false" customHeight="false" outlineLevel="0" collapsed="false">
      <c r="A51" s="2" t="s">
        <v>794</v>
      </c>
    </row>
  </sheetData>
  <sheetProtection sheet="true" formatColumns="false" formatRows="false" sort="false" autoFilter="false"/>
  <conditionalFormatting sqref="A5:F49">
    <cfRule type="expression" priority="2" aboveAverage="0" equalAverage="0" bottom="0" percent="0" rank="0" text="" dxfId="10">
      <formula>AND($D5=0,$E5=0)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11"/>
    <col collapsed="false" customWidth="true" hidden="false" outlineLevel="0" max="13" min="12" style="0" width="12"/>
    <col collapsed="false" customWidth="true" hidden="false" outlineLevel="0" max="15" min="14" style="0" width="11"/>
    <col collapsed="false" customWidth="true" hidden="false" outlineLevel="0" max="17" min="16" style="0" width="14"/>
    <col collapsed="false" customWidth="true" hidden="false" outlineLevel="0" max="18" min="18" style="0" width="3"/>
    <col collapsed="false" customWidth="true" hidden="false" outlineLevel="0" max="19" min="19" style="0" width="40"/>
    <col collapsed="false" customWidth="true" hidden="false" outlineLevel="0" max="21" min="20" style="0" width="14"/>
  </cols>
  <sheetData>
    <row r="1" customFormat="false" ht="19.7" hidden="false" customHeight="false" outlineLevel="0" collapsed="false">
      <c r="A1" s="1" t="s">
        <v>795</v>
      </c>
    </row>
    <row r="2" customFormat="false" ht="15" hidden="false" customHeight="false" outlineLevel="0" collapsed="false">
      <c r="A2" s="2" t="s">
        <v>796</v>
      </c>
    </row>
    <row r="4" customFormat="false" ht="45.75" hidden="false" customHeight="true" outlineLevel="0" collapsed="false">
      <c r="A4" s="11" t="s">
        <v>101</v>
      </c>
      <c r="B4" s="11" t="s">
        <v>191</v>
      </c>
      <c r="C4" s="11" t="s">
        <v>761</v>
      </c>
      <c r="D4" s="11" t="s">
        <v>773</v>
      </c>
      <c r="E4" s="11" t="s">
        <v>797</v>
      </c>
      <c r="F4" s="11" t="s">
        <v>798</v>
      </c>
      <c r="G4" s="11" t="s">
        <v>799</v>
      </c>
      <c r="H4" s="11" t="s">
        <v>766</v>
      </c>
      <c r="I4" s="11" t="s">
        <v>774</v>
      </c>
      <c r="J4" s="11" t="s">
        <v>800</v>
      </c>
      <c r="K4" s="11" t="s">
        <v>801</v>
      </c>
      <c r="L4" s="11" t="s">
        <v>802</v>
      </c>
      <c r="M4" s="11" t="s">
        <v>803</v>
      </c>
      <c r="N4" s="11" t="s">
        <v>804</v>
      </c>
      <c r="O4" s="11" t="s">
        <v>805</v>
      </c>
      <c r="P4" s="11" t="s">
        <v>806</v>
      </c>
      <c r="Q4" s="11" t="s">
        <v>807</v>
      </c>
      <c r="S4" s="10" t="s">
        <v>808</v>
      </c>
    </row>
    <row r="5" customFormat="false" ht="30" hidden="false" customHeight="true" outlineLevel="0" collapsed="false">
      <c r="A5" s="3" t="s">
        <v>108</v>
      </c>
      <c r="B5" s="8" t="s">
        <v>109</v>
      </c>
      <c r="C5" s="18" t="n">
        <f aca="false">Volumes!D6</f>
        <v>50</v>
      </c>
      <c r="D5" s="18" t="n">
        <f aca="false">Volumes!G6</f>
        <v>16716</v>
      </c>
      <c r="E5" s="53" t="n">
        <f aca="false">SUMIFS('Rate Card'!$Q$5:$Q$49,'Rate Card'!$A$5:$A$49,A5)</f>
        <v>59268.4864</v>
      </c>
      <c r="F5" s="40" t="n">
        <f aca="false">IFERROR(E5/D5,0)</f>
        <v>3.54561416606844</v>
      </c>
      <c r="G5" s="40" t="n">
        <f aca="false">IFERROR(E5/C5,0)</f>
        <v>1185.369728</v>
      </c>
      <c r="H5" s="18" t="n">
        <f aca="false">Volumes!D20</f>
        <v>117</v>
      </c>
      <c r="I5" s="18" t="n">
        <f aca="false">Volumes!G20</f>
        <v>40121</v>
      </c>
      <c r="J5" s="53" t="n">
        <f aca="false">SUMIFS('Rate Card'!$R$5:$R$49,'Rate Card'!$A$5:$A$49,A5)</f>
        <v>135116.79684</v>
      </c>
      <c r="K5" s="40" t="n">
        <f aca="false">IFERROR(J5/I5,0)</f>
        <v>3.36773253009646</v>
      </c>
      <c r="L5" s="40" t="n">
        <f aca="false">IFERROR(J5/H5,0)</f>
        <v>1154.8444174359</v>
      </c>
      <c r="M5" s="63" t="n">
        <f aca="false">IFERROR(SUMPRODUCT(--('Rate Card'!$A$5:$A$49=A5),'Rate Card'!$E$5:$E$49,'Rate Card'!$H$5:$H$49)/SUMPRODUCT(--('Rate Card'!$A$5:$A$49=A5),'Rate Card'!$E$5:$E$49,--ISNUMBER('Rate Card'!$H$5:$H$49)),0)</f>
        <v>2.25641025641026</v>
      </c>
      <c r="N5" s="64" t="n">
        <f aca="false">COUNTIFS('Rate Card'!$A$5:$A$49,A5,'Rate Card'!$I$5:$I$49,"")</f>
        <v>0</v>
      </c>
      <c r="O5" s="46" t="n">
        <f aca="false">COUNTIFS(SB_Lane,A5,SB_From,"&lt;&gt;Helmond")</f>
        <v>0</v>
      </c>
      <c r="P5" s="53" t="n">
        <f aca="false">SUMIFS(SA_Cost,SA_Lane,A5,SA_From,"Helmond")</f>
        <v>59268.4864</v>
      </c>
      <c r="Q5" s="53" t="n">
        <f aca="false">SUMIFS(SB_Cost,SB_Lane,A5,SB_From,"Helmond")</f>
        <v>135116.79684</v>
      </c>
      <c r="S5" s="11" t="s">
        <v>809</v>
      </c>
      <c r="T5" s="11" t="s">
        <v>142</v>
      </c>
      <c r="U5" s="11" t="s">
        <v>161</v>
      </c>
    </row>
    <row r="6" customFormat="false" ht="15" hidden="false" customHeight="false" outlineLevel="0" collapsed="false">
      <c r="A6" s="3" t="s">
        <v>112</v>
      </c>
      <c r="B6" s="8" t="s">
        <v>113</v>
      </c>
      <c r="C6" s="18" t="n">
        <f aca="false">Volumes!D7</f>
        <v>36</v>
      </c>
      <c r="D6" s="18" t="n">
        <f aca="false">Volumes!G7</f>
        <v>1395</v>
      </c>
      <c r="E6" s="53" t="n">
        <f aca="false">SUMIFS('Rate Card'!$Q$5:$Q$49,'Rate Card'!$A$5:$A$49,A6)</f>
        <v>8457.1976</v>
      </c>
      <c r="F6" s="40" t="n">
        <f aca="false">IFERROR(E6/D6,0)</f>
        <v>6.06250724014337</v>
      </c>
      <c r="G6" s="40" t="n">
        <f aca="false">IFERROR(E6/C6,0)</f>
        <v>234.922155555556</v>
      </c>
      <c r="H6" s="18" t="n">
        <f aca="false">Volumes!D21</f>
        <v>84</v>
      </c>
      <c r="I6" s="18" t="n">
        <f aca="false">Volumes!G21</f>
        <v>3165</v>
      </c>
      <c r="J6" s="53" t="n">
        <f aca="false">SUMIFS('Rate Card'!$R$5:$R$49,'Rate Card'!$A$5:$A$49,A6)</f>
        <v>18294.71487</v>
      </c>
      <c r="K6" s="40" t="n">
        <f aca="false">IFERROR(J6/I6,0)</f>
        <v>5.78032065402844</v>
      </c>
      <c r="L6" s="40" t="n">
        <f aca="false">IFERROR(J6/H6,0)</f>
        <v>217.794224642857</v>
      </c>
      <c r="M6" s="63" t="n">
        <f aca="false">IFERROR(SUMPRODUCT(--('Rate Card'!$A$5:$A$49=A6),'Rate Card'!$E$5:$E$49,'Rate Card'!$H$5:$H$49)/SUMPRODUCT(--('Rate Card'!$A$5:$A$49=A6),'Rate Card'!$E$5:$E$49,--ISNUMBER('Rate Card'!$H$5:$H$49)),0)</f>
        <v>1.21428571428571</v>
      </c>
      <c r="N6" s="64" t="n">
        <f aca="false">COUNTIFS('Rate Card'!$A$5:$A$49,A6,'Rate Card'!$I$5:$I$49,"")</f>
        <v>0</v>
      </c>
      <c r="O6" s="46" t="n">
        <f aca="false">COUNTIFS(SB_Lane,A6,SB_From,"&lt;&gt;Helmond")</f>
        <v>0</v>
      </c>
      <c r="P6" s="53" t="n">
        <f aca="false">SUMIFS(SA_Cost,SA_Lane,A6,SA_From,"Helmond")</f>
        <v>8457.1976</v>
      </c>
      <c r="Q6" s="53" t="n">
        <f aca="false">SUMIFS(SB_Cost,SB_Lane,A6,SB_From,"Helmond")</f>
        <v>18294.71487</v>
      </c>
      <c r="S6" s="3" t="s">
        <v>810</v>
      </c>
      <c r="T6" s="53" t="n">
        <f aca="false">P14</f>
        <v>111608.9824</v>
      </c>
      <c r="U6" s="53" t="n">
        <f aca="false">Q14</f>
        <v>243169.23083</v>
      </c>
    </row>
    <row r="7" customFormat="false" ht="15" hidden="false" customHeight="false" outlineLevel="0" collapsed="false">
      <c r="A7" s="3" t="s">
        <v>115</v>
      </c>
      <c r="B7" s="8" t="s">
        <v>116</v>
      </c>
      <c r="C7" s="18" t="n">
        <f aca="false">Volumes!D8</f>
        <v>12</v>
      </c>
      <c r="D7" s="18" t="n">
        <f aca="false">Volumes!G8</f>
        <v>4300</v>
      </c>
      <c r="E7" s="53" t="n">
        <f aca="false">SUMIFS('Rate Card'!$Q$5:$Q$49,'Rate Card'!$A$5:$A$49,A7)</f>
        <v>17617.2256</v>
      </c>
      <c r="F7" s="40" t="n">
        <f aca="false">IFERROR(E7/D7,0)</f>
        <v>4.09702920930233</v>
      </c>
      <c r="G7" s="40" t="n">
        <f aca="false">IFERROR(E7/C7,0)</f>
        <v>1468.10213333333</v>
      </c>
      <c r="H7" s="18" t="n">
        <f aca="false">Volumes!D22</f>
        <v>29</v>
      </c>
      <c r="I7" s="18" t="n">
        <f aca="false">Volumes!G22</f>
        <v>10468</v>
      </c>
      <c r="J7" s="53" t="n">
        <f aca="false">SUMIFS('Rate Card'!$R$5:$R$49,'Rate Card'!$A$5:$A$49,A7)</f>
        <v>40569.70687</v>
      </c>
      <c r="K7" s="40" t="n">
        <f aca="false">IFERROR(J7/I7,0)</f>
        <v>3.87559293752388</v>
      </c>
      <c r="L7" s="40" t="n">
        <f aca="false">IFERROR(J7/H7,0)</f>
        <v>1398.95540931034</v>
      </c>
      <c r="M7" s="63" t="n">
        <f aca="false">IFERROR(SUMPRODUCT(--('Rate Card'!$A$5:$A$49=A7),'Rate Card'!$E$5:$E$49,'Rate Card'!$H$5:$H$49)/SUMPRODUCT(--('Rate Card'!$A$5:$A$49=A7),'Rate Card'!$E$5:$E$49,--ISNUMBER('Rate Card'!$H$5:$H$49)),0)</f>
        <v>2.82758620689655</v>
      </c>
      <c r="N7" s="64" t="n">
        <f aca="false">COUNTIFS('Rate Card'!$A$5:$A$49,A7,'Rate Card'!$I$5:$I$49,"")</f>
        <v>0</v>
      </c>
      <c r="O7" s="46" t="n">
        <f aca="false">COUNTIFS(SB_Lane,A7,SB_From,"&lt;&gt;Helmond")</f>
        <v>0</v>
      </c>
      <c r="P7" s="53" t="n">
        <f aca="false">SUMIFS(SA_Cost,SA_Lane,A7,SA_From,"Helmond")</f>
        <v>17617.2256</v>
      </c>
      <c r="Q7" s="53" t="n">
        <f aca="false">SUMIFS(SB_Cost,SB_Lane,A7,SB_From,"Helmond")</f>
        <v>40569.70687</v>
      </c>
      <c r="S7" s="3" t="s">
        <v>811</v>
      </c>
      <c r="T7" s="53" t="n">
        <f aca="false">RS_TotA</f>
        <v>0</v>
      </c>
      <c r="U7" s="53" t="n">
        <f aca="false">RS_TotB</f>
        <v>0</v>
      </c>
    </row>
    <row r="8" customFormat="false" ht="15" hidden="false" customHeight="false" outlineLevel="0" collapsed="false">
      <c r="A8" s="3" t="s">
        <v>117</v>
      </c>
      <c r="B8" s="8" t="s">
        <v>118</v>
      </c>
      <c r="C8" s="18" t="n">
        <f aca="false">Volumes!D9</f>
        <v>10</v>
      </c>
      <c r="D8" s="18" t="n">
        <f aca="false">Volumes!G9</f>
        <v>371</v>
      </c>
      <c r="E8" s="53" t="n">
        <f aca="false">SUMIFS('Rate Card'!$Q$5:$Q$49,'Rate Card'!$A$5:$A$49,A8)</f>
        <v>1280.4064</v>
      </c>
      <c r="F8" s="40" t="n">
        <f aca="false">IFERROR(E8/D8,0)</f>
        <v>3.45123018867925</v>
      </c>
      <c r="G8" s="40" t="n">
        <f aca="false">IFERROR(E8/C8,0)</f>
        <v>128.04064</v>
      </c>
      <c r="H8" s="18" t="n">
        <f aca="false">Volumes!D23</f>
        <v>23</v>
      </c>
      <c r="I8" s="18" t="n">
        <f aca="false">Volumes!G23</f>
        <v>862</v>
      </c>
      <c r="J8" s="53" t="n">
        <f aca="false">SUMIFS('Rate Card'!$R$5:$R$49,'Rate Card'!$A$5:$A$49,A8)</f>
        <v>2814.07252</v>
      </c>
      <c r="K8" s="40" t="n">
        <f aca="false">IFERROR(J8/I8,0)</f>
        <v>3.2645852900232</v>
      </c>
      <c r="L8" s="40" t="n">
        <f aca="false">IFERROR(J8/H8,0)</f>
        <v>122.350979130435</v>
      </c>
      <c r="M8" s="63" t="n">
        <f aca="false">IFERROR(SUMPRODUCT(--('Rate Card'!$A$5:$A$49=A8),'Rate Card'!$E$5:$E$49,'Rate Card'!$H$5:$H$49)/SUMPRODUCT(--('Rate Card'!$A$5:$A$49=A8),'Rate Card'!$E$5:$E$49,--ISNUMBER('Rate Card'!$H$5:$H$49)),0)</f>
        <v>1.60869565217391</v>
      </c>
      <c r="N8" s="64" t="n">
        <f aca="false">COUNTIFS('Rate Card'!$A$5:$A$49,A8,'Rate Card'!$I$5:$I$49,"")</f>
        <v>0</v>
      </c>
      <c r="O8" s="46" t="n">
        <f aca="false">COUNTIFS(SB_Lane,A8,SB_From,"&lt;&gt;Helmond")</f>
        <v>0</v>
      </c>
      <c r="P8" s="53" t="n">
        <f aca="false">SUMIFS(SA_Cost,SA_Lane,A8,SA_From,"Helmond")</f>
        <v>1280.4064</v>
      </c>
      <c r="Q8" s="53" t="n">
        <f aca="false">SUMIFS(SB_Cost,SB_Lane,A8,SB_From,"Helmond")</f>
        <v>2814.07252</v>
      </c>
      <c r="S8" s="20" t="s">
        <v>160</v>
      </c>
      <c r="T8" s="42" t="n">
        <f aca="false">T6+T7</f>
        <v>111608.9824</v>
      </c>
      <c r="U8" s="42" t="n">
        <f aca="false">U6+U7</f>
        <v>243169.23083</v>
      </c>
    </row>
    <row r="9" customFormat="false" ht="15" hidden="false" customHeight="false" outlineLevel="0" collapsed="false">
      <c r="A9" s="3" t="s">
        <v>119</v>
      </c>
      <c r="B9" s="8" t="s">
        <v>120</v>
      </c>
      <c r="C9" s="18" t="n">
        <f aca="false">Volumes!D10</f>
        <v>16</v>
      </c>
      <c r="D9" s="18" t="n">
        <f aca="false">Volumes!G10</f>
        <v>1963</v>
      </c>
      <c r="E9" s="53" t="n">
        <f aca="false">SUMIFS('Rate Card'!$Q$5:$Q$49,'Rate Card'!$A$5:$A$49,A9)</f>
        <v>10581.3624</v>
      </c>
      <c r="F9" s="40" t="n">
        <f aca="false">IFERROR(E9/D9,0)</f>
        <v>5.39040366785532</v>
      </c>
      <c r="G9" s="40" t="n">
        <f aca="false">IFERROR(E9/C9,0)</f>
        <v>661.33515</v>
      </c>
      <c r="H9" s="18" t="n">
        <f aca="false">Volumes!D24</f>
        <v>37</v>
      </c>
      <c r="I9" s="18" t="n">
        <f aca="false">Volumes!G24</f>
        <v>4562</v>
      </c>
      <c r="J9" s="53" t="n">
        <f aca="false">SUMIFS('Rate Card'!$R$5:$R$49,'Rate Card'!$A$5:$A$49,A9)</f>
        <v>23354.0818</v>
      </c>
      <c r="K9" s="40" t="n">
        <f aca="false">IFERROR(J9/I9,0)</f>
        <v>5.1192638754932</v>
      </c>
      <c r="L9" s="40" t="n">
        <f aca="false">IFERROR(J9/H9,0)</f>
        <v>631.1914</v>
      </c>
      <c r="M9" s="63" t="n">
        <f aca="false">IFERROR(SUMPRODUCT(--('Rate Card'!$A$5:$A$49=A9),'Rate Card'!$E$5:$E$49,'Rate Card'!$H$5:$H$49)/SUMPRODUCT(--('Rate Card'!$A$5:$A$49=A9),'Rate Card'!$E$5:$E$49,--ISNUMBER('Rate Card'!$H$5:$H$49)),0)</f>
        <v>2</v>
      </c>
      <c r="N9" s="64" t="n">
        <f aca="false">COUNTIFS('Rate Card'!$A$5:$A$49,A9,'Rate Card'!$I$5:$I$49,"")</f>
        <v>0</v>
      </c>
      <c r="O9" s="46" t="n">
        <f aca="false">COUNTIFS(SB_Lane,A9,SB_From,"&lt;&gt;Helmond")</f>
        <v>0</v>
      </c>
      <c r="P9" s="53" t="n">
        <f aca="false">SUMIFS(SA_Cost,SA_Lane,A9,SA_From,"Helmond")</f>
        <v>10581.3624</v>
      </c>
      <c r="Q9" s="53" t="n">
        <f aca="false">SUMIFS(SB_Cost,SB_Lane,A9,SB_From,"Helmond")</f>
        <v>23354.0818</v>
      </c>
      <c r="S9" s="2" t="s">
        <v>812</v>
      </c>
    </row>
    <row r="10" customFormat="false" ht="15" hidden="false" customHeight="false" outlineLevel="0" collapsed="false">
      <c r="A10" s="3" t="s">
        <v>121</v>
      </c>
      <c r="B10" s="8" t="s">
        <v>122</v>
      </c>
      <c r="C10" s="18" t="n">
        <f aca="false">Volumes!D11</f>
        <v>6</v>
      </c>
      <c r="D10" s="18" t="n">
        <f aca="false">Volumes!G11</f>
        <v>1379</v>
      </c>
      <c r="E10" s="53" t="n">
        <f aca="false">SUMIFS('Rate Card'!$Q$5:$Q$49,'Rate Card'!$A$5:$A$49,A10)</f>
        <v>5863.675</v>
      </c>
      <c r="F10" s="40" t="n">
        <f aca="false">IFERROR(E10/D10,0)</f>
        <v>4.25212110224801</v>
      </c>
      <c r="G10" s="40" t="n">
        <f aca="false">IFERROR(E10/C10,0)</f>
        <v>977.279166666667</v>
      </c>
      <c r="H10" s="18" t="n">
        <f aca="false">Volumes!D25</f>
        <v>13</v>
      </c>
      <c r="I10" s="18" t="n">
        <f aca="false">Volumes!G25</f>
        <v>2032</v>
      </c>
      <c r="J10" s="53" t="n">
        <f aca="false">SUMIFS('Rate Card'!$R$5:$R$49,'Rate Card'!$A$5:$A$49,A10)</f>
        <v>7521.08407</v>
      </c>
      <c r="K10" s="40" t="n">
        <f aca="false">IFERROR(J10/I10,0)</f>
        <v>3.70132090059055</v>
      </c>
      <c r="L10" s="40" t="n">
        <f aca="false">IFERROR(J10/H10,0)</f>
        <v>578.544928461538</v>
      </c>
      <c r="M10" s="63" t="n">
        <f aca="false">IFERROR(SUMPRODUCT(--('Rate Card'!$A$5:$A$49=A10),'Rate Card'!$E$5:$E$49,'Rate Card'!$H$5:$H$49)/SUMPRODUCT(--('Rate Card'!$A$5:$A$49=A10),'Rate Card'!$E$5:$E$49,--ISNUMBER('Rate Card'!$H$5:$H$49)),0)</f>
        <v>1.84615384615385</v>
      </c>
      <c r="N10" s="64" t="n">
        <f aca="false">COUNTIFS('Rate Card'!$A$5:$A$49,A10,'Rate Card'!$I$5:$I$49,"")</f>
        <v>0</v>
      </c>
      <c r="O10" s="46" t="n">
        <f aca="false">COUNTIFS(SB_Lane,A10,SB_From,"&lt;&gt;Helmond")</f>
        <v>0</v>
      </c>
      <c r="P10" s="53" t="n">
        <f aca="false">SUMIFS(SA_Cost,SA_Lane,A10,SA_From,"Helmond")</f>
        <v>5863.675</v>
      </c>
      <c r="Q10" s="53" t="n">
        <f aca="false">SUMIFS(SB_Cost,SB_Lane,A10,SB_From,"Helmond")</f>
        <v>7521.08407</v>
      </c>
    </row>
    <row r="11" customFormat="false" ht="15" hidden="false" customHeight="false" outlineLevel="0" collapsed="false">
      <c r="A11" s="3" t="s">
        <v>124</v>
      </c>
      <c r="B11" s="8" t="s">
        <v>125</v>
      </c>
      <c r="C11" s="18" t="n">
        <f aca="false">Volumes!D12</f>
        <v>4</v>
      </c>
      <c r="D11" s="18" t="n">
        <f aca="false">Volumes!G12</f>
        <v>354</v>
      </c>
      <c r="E11" s="53" t="n">
        <f aca="false">SUMIFS('Rate Card'!$Q$5:$Q$49,'Rate Card'!$A$5:$A$49,A11)</f>
        <v>1790.525</v>
      </c>
      <c r="F11" s="40" t="n">
        <f aca="false">IFERROR(E11/D11,0)</f>
        <v>5.0579802259887</v>
      </c>
      <c r="G11" s="40" t="n">
        <f aca="false">IFERROR(E11/C11,0)</f>
        <v>447.63125</v>
      </c>
      <c r="H11" s="18" t="n">
        <f aca="false">Volumes!D26</f>
        <v>9</v>
      </c>
      <c r="I11" s="18" t="n">
        <f aca="false">Volumes!G26</f>
        <v>1677</v>
      </c>
      <c r="J11" s="53" t="n">
        <f aca="false">SUMIFS('Rate Card'!$R$5:$R$49,'Rate Card'!$A$5:$A$49,A11)</f>
        <v>5690.0269</v>
      </c>
      <c r="K11" s="40" t="n">
        <f aca="false">IFERROR(J11/I11,0)</f>
        <v>3.39297966607036</v>
      </c>
      <c r="L11" s="40" t="n">
        <f aca="false">IFERROR(J11/H11,0)</f>
        <v>632.225211111111</v>
      </c>
      <c r="M11" s="63" t="n">
        <f aca="false">IFERROR(SUMPRODUCT(--('Rate Card'!$A$5:$A$49=A11),'Rate Card'!$E$5:$E$49,'Rate Card'!$H$5:$H$49)/SUMPRODUCT(--('Rate Card'!$A$5:$A$49=A11),'Rate Card'!$E$5:$E$49,--ISNUMBER('Rate Card'!$H$5:$H$49)),0)</f>
        <v>1.88888888888889</v>
      </c>
      <c r="N11" s="64" t="n">
        <f aca="false">COUNTIFS('Rate Card'!$A$5:$A$49,A11,'Rate Card'!$I$5:$I$49,"")</f>
        <v>0</v>
      </c>
      <c r="O11" s="46" t="n">
        <f aca="false">COUNTIFS(SB_Lane,A11,SB_From,"&lt;&gt;Helmond")</f>
        <v>0</v>
      </c>
      <c r="P11" s="53" t="n">
        <f aca="false">SUMIFS(SA_Cost,SA_Lane,A11,SA_From,"Helmond")</f>
        <v>1790.525</v>
      </c>
      <c r="Q11" s="53" t="n">
        <f aca="false">SUMIFS(SB_Cost,SB_Lane,A11,SB_From,"Helmond")</f>
        <v>5690.0269</v>
      </c>
    </row>
    <row r="12" customFormat="false" ht="15" hidden="false" customHeight="false" outlineLevel="0" collapsed="false">
      <c r="A12" s="3" t="s">
        <v>126</v>
      </c>
      <c r="B12" s="8" t="s">
        <v>127</v>
      </c>
      <c r="C12" s="18" t="n">
        <f aca="false">Volumes!D13</f>
        <v>6</v>
      </c>
      <c r="D12" s="18" t="n">
        <f aca="false">Volumes!G13</f>
        <v>1379</v>
      </c>
      <c r="E12" s="53" t="n">
        <f aca="false">SUMIFS('Rate Card'!$Q$5:$Q$49,'Rate Card'!$A$5:$A$49,A12)</f>
        <v>6673.804</v>
      </c>
      <c r="F12" s="40" t="n">
        <f aca="false">IFERROR(E12/D12,0)</f>
        <v>4.83959680928209</v>
      </c>
      <c r="G12" s="40" t="n">
        <f aca="false">IFERROR(E12/C12,0)</f>
        <v>1112.30066666667</v>
      </c>
      <c r="H12" s="18" t="n">
        <f aca="false">Volumes!D27</f>
        <v>13</v>
      </c>
      <c r="I12" s="18" t="n">
        <f aca="false">Volumes!G27</f>
        <v>2032</v>
      </c>
      <c r="J12" s="53" t="n">
        <f aca="false">SUMIFS('Rate Card'!$R$5:$R$49,'Rate Card'!$A$5:$A$49,A12)</f>
        <v>8712.09052</v>
      </c>
      <c r="K12" s="40" t="n">
        <f aca="false">IFERROR(J12/I12,0)</f>
        <v>4.28744612204724</v>
      </c>
      <c r="L12" s="40" t="n">
        <f aca="false">IFERROR(J12/H12,0)</f>
        <v>670.160809230769</v>
      </c>
      <c r="M12" s="63" t="n">
        <f aca="false">IFERROR(SUMPRODUCT(--('Rate Card'!$A$5:$A$49=A12),'Rate Card'!$E$5:$E$49,'Rate Card'!$H$5:$H$49)/SUMPRODUCT(--('Rate Card'!$A$5:$A$49=A12),'Rate Card'!$E$5:$E$49,--ISNUMBER('Rate Card'!$H$5:$H$49)),0)</f>
        <v>1.84615384615385</v>
      </c>
      <c r="N12" s="64" t="n">
        <f aca="false">COUNTIFS('Rate Card'!$A$5:$A$49,A12,'Rate Card'!$I$5:$I$49,"")</f>
        <v>0</v>
      </c>
      <c r="O12" s="46" t="n">
        <f aca="false">COUNTIFS(SB_Lane,A12,SB_From,"&lt;&gt;Helmond")</f>
        <v>0</v>
      </c>
      <c r="P12" s="53" t="n">
        <f aca="false">SUMIFS(SA_Cost,SA_Lane,A12,SA_From,"Helmond")</f>
        <v>6673.804</v>
      </c>
      <c r="Q12" s="53" t="n">
        <f aca="false">SUMIFS(SB_Cost,SB_Lane,A12,SB_From,"Helmond")</f>
        <v>8712.09052</v>
      </c>
    </row>
    <row r="13" customFormat="false" ht="15" hidden="false" customHeight="false" outlineLevel="0" collapsed="false">
      <c r="A13" s="3" t="s">
        <v>129</v>
      </c>
      <c r="B13" s="8" t="s">
        <v>130</v>
      </c>
      <c r="C13" s="18" t="n">
        <f aca="false">Volumes!D14</f>
        <v>1</v>
      </c>
      <c r="D13" s="18" t="n">
        <f aca="false">Volumes!G14</f>
        <v>8</v>
      </c>
      <c r="E13" s="53" t="n">
        <f aca="false">SUMIFS('Rate Card'!$Q$5:$Q$49,'Rate Card'!$A$5:$A$49,A13)</f>
        <v>76.3</v>
      </c>
      <c r="F13" s="40" t="n">
        <f aca="false">IFERROR(E13/D13,0)</f>
        <v>9.5375</v>
      </c>
      <c r="G13" s="40" t="n">
        <f aca="false">IFERROR(E13/C13,0)</f>
        <v>76.3</v>
      </c>
      <c r="H13" s="18" t="n">
        <f aca="false">Volumes!D28</f>
        <v>4</v>
      </c>
      <c r="I13" s="18" t="n">
        <f aca="false">Volumes!G28</f>
        <v>354</v>
      </c>
      <c r="J13" s="53" t="n">
        <f aca="false">SUMIFS('Rate Card'!$R$5:$R$49,'Rate Card'!$A$5:$A$49,A13)</f>
        <v>1096.65644</v>
      </c>
      <c r="K13" s="40" t="n">
        <f aca="false">IFERROR(J13/I13,0)</f>
        <v>3.0978995480226</v>
      </c>
      <c r="L13" s="40" t="n">
        <f aca="false">IFERROR(J13/H13,0)</f>
        <v>274.16411</v>
      </c>
      <c r="M13" s="63" t="n">
        <f aca="false">IFERROR(SUMPRODUCT(--('Rate Card'!$A$5:$A$49=A13),'Rate Card'!$E$5:$E$49,'Rate Card'!$H$5:$H$49)/SUMPRODUCT(--('Rate Card'!$A$5:$A$49=A13),'Rate Card'!$E$5:$E$49,--ISNUMBER('Rate Card'!$H$5:$H$49)),0)</f>
        <v>1.75</v>
      </c>
      <c r="N13" s="64" t="n">
        <f aca="false">COUNTIFS('Rate Card'!$A$5:$A$49,A13,'Rate Card'!$I$5:$I$49,"")</f>
        <v>0</v>
      </c>
      <c r="O13" s="46" t="n">
        <f aca="false">COUNTIFS(SB_Lane,A13,SB_From,"&lt;&gt;Helmond")</f>
        <v>0</v>
      </c>
      <c r="P13" s="53" t="n">
        <f aca="false">SUMIFS(SA_Cost,SA_Lane,A13,SA_From,"Helmond")</f>
        <v>76.3</v>
      </c>
      <c r="Q13" s="53" t="n">
        <f aca="false">SUMIFS(SB_Cost,SB_Lane,A13,SB_From,"Helmond")</f>
        <v>1096.65644</v>
      </c>
    </row>
    <row r="14" customFormat="false" ht="15" hidden="false" customHeight="false" outlineLevel="0" collapsed="false">
      <c r="A14" s="20" t="s">
        <v>160</v>
      </c>
      <c r="B14" s="21"/>
      <c r="C14" s="22" t="n">
        <f aca="false">SUM(C5:C13)</f>
        <v>141</v>
      </c>
      <c r="D14" s="22" t="n">
        <f aca="false">SUM(D5:D13)</f>
        <v>27865</v>
      </c>
      <c r="E14" s="42" t="n">
        <f aca="false">SUM(E5:E13)</f>
        <v>111608.9824</v>
      </c>
      <c r="F14" s="65" t="n">
        <f aca="false">IFERROR(E14/D14,0)</f>
        <v>4.00534657814463</v>
      </c>
      <c r="G14" s="65" t="n">
        <f aca="false">IFERROR(E14/C14,0)</f>
        <v>791.553066666667</v>
      </c>
      <c r="H14" s="22" t="n">
        <f aca="false">SUM(H5:H13)</f>
        <v>329</v>
      </c>
      <c r="I14" s="22" t="n">
        <f aca="false">SUM(I5:I13)</f>
        <v>65273</v>
      </c>
      <c r="J14" s="42" t="n">
        <f aca="false">SUM(J5:J13)</f>
        <v>243169.23083</v>
      </c>
      <c r="K14" s="65" t="n">
        <f aca="false">IFERROR(J14/I14,0)</f>
        <v>3.72541833269499</v>
      </c>
      <c r="L14" s="65" t="n">
        <f aca="false">IFERROR(J14/H14,0)</f>
        <v>739.116203130699</v>
      </c>
      <c r="M14" s="21"/>
      <c r="N14" s="66" t="n">
        <f aca="false">SUM(N5:N13)</f>
        <v>0</v>
      </c>
      <c r="O14" s="45" t="n">
        <f aca="false">SUM(O5:O13)</f>
        <v>0</v>
      </c>
      <c r="P14" s="42" t="n">
        <f aca="false">SUM(P5:P13)</f>
        <v>111608.9824</v>
      </c>
      <c r="Q14" s="42" t="n">
        <f aca="false">SUM(Q5:Q13)</f>
        <v>243169.23083</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62"/>
    <col collapsed="false" customWidth="true" hidden="false" outlineLevel="0" max="4" min="4" style="0" width="16"/>
    <col collapsed="false" customWidth="true" hidden="false" outlineLevel="0" max="5" min="5" style="0" width="14"/>
    <col collapsed="false" customWidth="true" hidden="false" outlineLevel="0" max="6" min="6" style="0" width="38"/>
    <col collapsed="false" customWidth="true" hidden="false" outlineLevel="0" max="7" min="7" style="0" width="11"/>
    <col collapsed="false" customWidth="true" hidden="false" outlineLevel="0" max="8" min="8" style="0" width="30"/>
  </cols>
  <sheetData>
    <row r="1" customFormat="false" ht="19.7" hidden="false" customHeight="false" outlineLevel="0" collapsed="false">
      <c r="A1" s="1" t="s">
        <v>813</v>
      </c>
    </row>
    <row r="2" customFormat="false" ht="15" hidden="false" customHeight="false" outlineLevel="0" collapsed="false">
      <c r="A2" s="2" t="s">
        <v>814</v>
      </c>
    </row>
    <row r="4" customFormat="false" ht="39.75" hidden="false" customHeight="true" outlineLevel="0" collapsed="false">
      <c r="A4" s="11" t="s">
        <v>815</v>
      </c>
      <c r="B4" s="11" t="s">
        <v>816</v>
      </c>
      <c r="C4" s="11" t="s">
        <v>817</v>
      </c>
      <c r="D4" s="11" t="s">
        <v>818</v>
      </c>
      <c r="E4" s="12" t="s">
        <v>39</v>
      </c>
      <c r="F4" s="12" t="s">
        <v>819</v>
      </c>
      <c r="G4" s="12" t="s">
        <v>820</v>
      </c>
      <c r="H4" s="12" t="s">
        <v>821</v>
      </c>
    </row>
    <row r="5" customFormat="false" ht="31.5" hidden="false" customHeight="true" outlineLevel="0" collapsed="false">
      <c r="A5" s="37" t="s">
        <v>822</v>
      </c>
      <c r="B5" s="3" t="s">
        <v>823</v>
      </c>
      <c r="C5" s="6" t="s">
        <v>824</v>
      </c>
      <c r="D5" s="67" t="s">
        <v>825</v>
      </c>
      <c r="E5" s="68" t="n">
        <v>0.94</v>
      </c>
      <c r="F5" s="69"/>
      <c r="G5" s="17" t="s">
        <v>73</v>
      </c>
      <c r="H5" s="69"/>
    </row>
    <row r="6" customFormat="false" ht="31.5" hidden="false" customHeight="true" outlineLevel="0" collapsed="false">
      <c r="A6" s="37" t="s">
        <v>826</v>
      </c>
      <c r="B6" s="3" t="s">
        <v>823</v>
      </c>
      <c r="C6" s="6" t="s">
        <v>827</v>
      </c>
      <c r="D6" s="67" t="s">
        <v>825</v>
      </c>
      <c r="E6" s="68" t="n">
        <v>0.854</v>
      </c>
      <c r="F6" s="69"/>
      <c r="G6" s="17" t="s">
        <v>73</v>
      </c>
      <c r="H6" s="69"/>
    </row>
    <row r="7" customFormat="false" ht="31.5" hidden="false" customHeight="true" outlineLevel="0" collapsed="false">
      <c r="A7" s="37" t="s">
        <v>828</v>
      </c>
      <c r="B7" s="3" t="s">
        <v>823</v>
      </c>
      <c r="C7" s="6" t="s">
        <v>829</v>
      </c>
      <c r="D7" s="67" t="s">
        <v>830</v>
      </c>
      <c r="E7" s="70" t="n">
        <v>2</v>
      </c>
      <c r="F7" s="69"/>
      <c r="G7" s="17" t="s">
        <v>71</v>
      </c>
      <c r="H7" s="69"/>
    </row>
    <row r="8" customFormat="false" ht="31.5" hidden="false" customHeight="true" outlineLevel="0" collapsed="false">
      <c r="A8" s="37" t="s">
        <v>831</v>
      </c>
      <c r="B8" s="3" t="s">
        <v>823</v>
      </c>
      <c r="C8" s="6" t="s">
        <v>832</v>
      </c>
      <c r="D8" s="67" t="s">
        <v>833</v>
      </c>
      <c r="E8" s="17" t="s">
        <v>71</v>
      </c>
      <c r="F8" s="69"/>
      <c r="G8" s="17" t="s">
        <v>71</v>
      </c>
      <c r="H8" s="69"/>
    </row>
    <row r="9" customFormat="false" ht="31.5" hidden="false" customHeight="true" outlineLevel="0" collapsed="false">
      <c r="A9" s="37" t="s">
        <v>834</v>
      </c>
      <c r="B9" s="3" t="s">
        <v>823</v>
      </c>
      <c r="C9" s="6" t="s">
        <v>835</v>
      </c>
      <c r="D9" s="67" t="s">
        <v>833</v>
      </c>
      <c r="E9" s="17" t="s">
        <v>836</v>
      </c>
      <c r="F9" s="69"/>
      <c r="G9" s="17" t="s">
        <v>71</v>
      </c>
      <c r="H9" s="69"/>
    </row>
    <row r="10" customFormat="false" ht="31.5" hidden="false" customHeight="true" outlineLevel="0" collapsed="false">
      <c r="A10" s="37" t="s">
        <v>837</v>
      </c>
      <c r="B10" s="3" t="s">
        <v>823</v>
      </c>
      <c r="C10" s="6" t="s">
        <v>838</v>
      </c>
      <c r="D10" s="67" t="s">
        <v>839</v>
      </c>
      <c r="E10" s="38" t="n">
        <v>4.9</v>
      </c>
      <c r="F10" s="69"/>
      <c r="G10" s="17" t="s">
        <v>73</v>
      </c>
      <c r="H10" s="69"/>
    </row>
    <row r="11" customFormat="false" ht="31.5" hidden="false" customHeight="true" outlineLevel="0" collapsed="false">
      <c r="A11" s="37" t="s">
        <v>840</v>
      </c>
      <c r="B11" s="3" t="s">
        <v>823</v>
      </c>
      <c r="C11" s="6" t="s">
        <v>841</v>
      </c>
      <c r="D11" s="67" t="s">
        <v>825</v>
      </c>
      <c r="E11" s="68" t="n">
        <v>0.912</v>
      </c>
      <c r="F11" s="69"/>
      <c r="G11" s="17" t="s">
        <v>73</v>
      </c>
      <c r="H11" s="69"/>
    </row>
    <row r="12" customFormat="false" ht="31.5" hidden="false" customHeight="true" outlineLevel="0" collapsed="false">
      <c r="A12" s="37" t="s">
        <v>842</v>
      </c>
      <c r="B12" s="3" t="s">
        <v>823</v>
      </c>
      <c r="C12" s="6" t="s">
        <v>843</v>
      </c>
      <c r="D12" s="67" t="s">
        <v>833</v>
      </c>
      <c r="E12" s="17" t="s">
        <v>836</v>
      </c>
      <c r="F12" s="69"/>
      <c r="G12" s="17" t="s">
        <v>71</v>
      </c>
      <c r="H12" s="69"/>
    </row>
    <row r="13" customFormat="false" ht="31.5" hidden="false" customHeight="true" outlineLevel="0" collapsed="false">
      <c r="A13" s="37" t="s">
        <v>844</v>
      </c>
      <c r="B13" s="3" t="s">
        <v>845</v>
      </c>
      <c r="C13" s="6" t="s">
        <v>846</v>
      </c>
      <c r="D13" s="67" t="s">
        <v>825</v>
      </c>
      <c r="E13" s="68" t="n">
        <v>0.862</v>
      </c>
      <c r="F13" s="69"/>
      <c r="G13" s="17" t="s">
        <v>73</v>
      </c>
      <c r="H13" s="69"/>
    </row>
    <row r="14" customFormat="false" ht="31.5" hidden="false" customHeight="true" outlineLevel="0" collapsed="false">
      <c r="A14" s="37" t="s">
        <v>847</v>
      </c>
      <c r="B14" s="3" t="s">
        <v>845</v>
      </c>
      <c r="C14" s="6" t="s">
        <v>848</v>
      </c>
      <c r="D14" s="67" t="s">
        <v>839</v>
      </c>
      <c r="E14" s="38" t="n">
        <v>4</v>
      </c>
      <c r="F14" s="69"/>
      <c r="G14" s="17" t="s">
        <v>73</v>
      </c>
      <c r="H14" s="69"/>
    </row>
    <row r="15" customFormat="false" ht="31.5" hidden="false" customHeight="true" outlineLevel="0" collapsed="false">
      <c r="A15" s="37" t="s">
        <v>849</v>
      </c>
      <c r="B15" s="3" t="s">
        <v>845</v>
      </c>
      <c r="C15" s="6" t="s">
        <v>850</v>
      </c>
      <c r="D15" s="67" t="s">
        <v>830</v>
      </c>
      <c r="E15" s="70" t="n">
        <v>6</v>
      </c>
      <c r="F15" s="69"/>
      <c r="G15" s="17" t="s">
        <v>71</v>
      </c>
      <c r="H15" s="69"/>
    </row>
    <row r="16" customFormat="false" ht="31.5" hidden="false" customHeight="true" outlineLevel="0" collapsed="false">
      <c r="A16" s="37" t="s">
        <v>851</v>
      </c>
      <c r="B16" s="3" t="s">
        <v>845</v>
      </c>
      <c r="C16" s="6" t="s">
        <v>852</v>
      </c>
      <c r="D16" s="67" t="s">
        <v>833</v>
      </c>
      <c r="E16" s="17" t="s">
        <v>836</v>
      </c>
      <c r="F16" s="69"/>
      <c r="G16" s="17" t="s">
        <v>73</v>
      </c>
      <c r="H16" s="69"/>
    </row>
    <row r="17" customFormat="false" ht="31.5" hidden="false" customHeight="true" outlineLevel="0" collapsed="false">
      <c r="A17" s="37" t="s">
        <v>853</v>
      </c>
      <c r="B17" s="3" t="s">
        <v>845</v>
      </c>
      <c r="C17" s="6" t="s">
        <v>854</v>
      </c>
      <c r="D17" s="67" t="s">
        <v>833</v>
      </c>
      <c r="E17" s="17" t="s">
        <v>836</v>
      </c>
      <c r="F17" s="69"/>
      <c r="G17" s="17" t="s">
        <v>73</v>
      </c>
      <c r="H17" s="69"/>
    </row>
    <row r="18" customFormat="false" ht="31.5" hidden="false" customHeight="true" outlineLevel="0" collapsed="false">
      <c r="A18" s="37" t="s">
        <v>855</v>
      </c>
      <c r="B18" s="3" t="s">
        <v>845</v>
      </c>
      <c r="C18" s="6" t="s">
        <v>856</v>
      </c>
      <c r="D18" s="67" t="s">
        <v>833</v>
      </c>
      <c r="E18" s="17" t="s">
        <v>73</v>
      </c>
      <c r="F18" s="69"/>
      <c r="G18" s="17" t="s">
        <v>73</v>
      </c>
      <c r="H18" s="69"/>
    </row>
    <row r="19" customFormat="false" ht="31.5" hidden="false" customHeight="true" outlineLevel="0" collapsed="false">
      <c r="A19" s="37" t="s">
        <v>857</v>
      </c>
      <c r="B19" s="3" t="s">
        <v>845</v>
      </c>
      <c r="C19" s="6" t="s">
        <v>858</v>
      </c>
      <c r="D19" s="67" t="s">
        <v>859</v>
      </c>
      <c r="E19" s="17" t="s">
        <v>71</v>
      </c>
      <c r="F19" s="69"/>
      <c r="G19" s="17" t="s">
        <v>73</v>
      </c>
      <c r="H19" s="69"/>
    </row>
    <row r="20" customFormat="false" ht="31.5" hidden="false" customHeight="true" outlineLevel="0" collapsed="false">
      <c r="A20" s="37" t="s">
        <v>860</v>
      </c>
      <c r="B20" s="3" t="s">
        <v>845</v>
      </c>
      <c r="C20" s="6" t="s">
        <v>861</v>
      </c>
      <c r="D20" s="67" t="s">
        <v>833</v>
      </c>
      <c r="E20" s="17" t="s">
        <v>73</v>
      </c>
      <c r="F20" s="69"/>
      <c r="G20" s="17" t="s">
        <v>73</v>
      </c>
      <c r="H20" s="69"/>
    </row>
    <row r="21" customFormat="false" ht="31.5" hidden="false" customHeight="true" outlineLevel="0" collapsed="false">
      <c r="A21" s="37" t="s">
        <v>862</v>
      </c>
      <c r="B21" s="3" t="s">
        <v>863</v>
      </c>
      <c r="C21" s="6" t="s">
        <v>864</v>
      </c>
      <c r="D21" s="67" t="s">
        <v>833</v>
      </c>
      <c r="E21" s="17" t="s">
        <v>836</v>
      </c>
      <c r="F21" s="69"/>
      <c r="G21" s="17" t="s">
        <v>73</v>
      </c>
      <c r="H21" s="69"/>
    </row>
    <row r="22" customFormat="false" ht="31.5" hidden="false" customHeight="true" outlineLevel="0" collapsed="false">
      <c r="A22" s="37" t="s">
        <v>865</v>
      </c>
      <c r="B22" s="3" t="s">
        <v>863</v>
      </c>
      <c r="C22" s="6" t="s">
        <v>866</v>
      </c>
      <c r="D22" s="67" t="s">
        <v>833</v>
      </c>
      <c r="E22" s="17" t="s">
        <v>73</v>
      </c>
      <c r="F22" s="69"/>
      <c r="G22" s="17" t="s">
        <v>71</v>
      </c>
      <c r="H22" s="69"/>
    </row>
    <row r="23" customFormat="false" ht="31.5" hidden="false" customHeight="true" outlineLevel="0" collapsed="false">
      <c r="A23" s="37" t="s">
        <v>867</v>
      </c>
      <c r="B23" s="3" t="s">
        <v>863</v>
      </c>
      <c r="C23" s="6" t="s">
        <v>868</v>
      </c>
      <c r="D23" s="67" t="s">
        <v>833</v>
      </c>
      <c r="E23" s="17" t="s">
        <v>836</v>
      </c>
      <c r="F23" s="69"/>
      <c r="G23" s="17" t="s">
        <v>71</v>
      </c>
      <c r="H23" s="69"/>
    </row>
    <row r="24" customFormat="false" ht="31.5" hidden="false" customHeight="true" outlineLevel="0" collapsed="false">
      <c r="A24" s="37" t="s">
        <v>869</v>
      </c>
      <c r="B24" s="3" t="s">
        <v>863</v>
      </c>
      <c r="C24" s="6" t="s">
        <v>870</v>
      </c>
      <c r="D24" s="67" t="s">
        <v>833</v>
      </c>
      <c r="E24" s="17" t="s">
        <v>836</v>
      </c>
      <c r="F24" s="69"/>
      <c r="G24" s="17" t="s">
        <v>71</v>
      </c>
      <c r="H24" s="69"/>
    </row>
    <row r="25" customFormat="false" ht="31.5" hidden="false" customHeight="true" outlineLevel="0" collapsed="false">
      <c r="A25" s="37" t="s">
        <v>871</v>
      </c>
      <c r="B25" s="3" t="s">
        <v>872</v>
      </c>
      <c r="C25" s="6" t="s">
        <v>873</v>
      </c>
      <c r="D25" s="67" t="s">
        <v>830</v>
      </c>
      <c r="E25" s="70" t="n">
        <v>8</v>
      </c>
      <c r="F25" s="69"/>
      <c r="G25" s="17" t="s">
        <v>71</v>
      </c>
      <c r="H25" s="69"/>
    </row>
    <row r="26" customFormat="false" ht="31.5" hidden="false" customHeight="true" outlineLevel="0" collapsed="false">
      <c r="A26" s="37" t="s">
        <v>874</v>
      </c>
      <c r="B26" s="3" t="s">
        <v>872</v>
      </c>
      <c r="C26" s="6" t="s">
        <v>875</v>
      </c>
      <c r="D26" s="67" t="s">
        <v>859</v>
      </c>
      <c r="E26" s="17" t="s">
        <v>73</v>
      </c>
      <c r="F26" s="69"/>
      <c r="G26" s="17" t="s">
        <v>73</v>
      </c>
      <c r="H26" s="69"/>
    </row>
    <row r="27" customFormat="false" ht="31.5" hidden="false" customHeight="true" outlineLevel="0" collapsed="false">
      <c r="A27" s="37" t="s">
        <v>876</v>
      </c>
      <c r="B27" s="3" t="s">
        <v>872</v>
      </c>
      <c r="C27" s="6" t="s">
        <v>877</v>
      </c>
      <c r="D27" s="67" t="s">
        <v>839</v>
      </c>
      <c r="E27" s="38" t="n">
        <v>4.4</v>
      </c>
      <c r="F27" s="69"/>
      <c r="G27" s="17" t="s">
        <v>73</v>
      </c>
      <c r="H27" s="69"/>
    </row>
    <row r="28" customFormat="false" ht="31.5" hidden="false" customHeight="true" outlineLevel="0" collapsed="false">
      <c r="A28" s="37" t="s">
        <v>878</v>
      </c>
      <c r="B28" s="3" t="s">
        <v>872</v>
      </c>
      <c r="C28" s="6" t="s">
        <v>879</v>
      </c>
      <c r="D28" s="67" t="s">
        <v>825</v>
      </c>
      <c r="E28" s="68" t="n">
        <v>0.975</v>
      </c>
      <c r="F28" s="69"/>
      <c r="G28" s="17" t="s">
        <v>73</v>
      </c>
      <c r="H28" s="69"/>
    </row>
    <row r="29" customFormat="false" ht="31.5" hidden="false" customHeight="true" outlineLevel="0" collapsed="false">
      <c r="A29" s="37" t="s">
        <v>880</v>
      </c>
      <c r="B29" s="3" t="s">
        <v>872</v>
      </c>
      <c r="C29" s="6" t="s">
        <v>881</v>
      </c>
      <c r="D29" s="67" t="s">
        <v>833</v>
      </c>
      <c r="E29" s="17" t="s">
        <v>836</v>
      </c>
      <c r="F29" s="69"/>
      <c r="G29" s="17" t="s">
        <v>73</v>
      </c>
      <c r="H29" s="69"/>
    </row>
    <row r="30" customFormat="false" ht="31.5" hidden="false" customHeight="true" outlineLevel="0" collapsed="false">
      <c r="A30" s="37" t="s">
        <v>882</v>
      </c>
      <c r="B30" s="3" t="s">
        <v>883</v>
      </c>
      <c r="C30" s="6" t="s">
        <v>884</v>
      </c>
      <c r="D30" s="67" t="s">
        <v>833</v>
      </c>
      <c r="E30" s="17" t="s">
        <v>71</v>
      </c>
      <c r="F30" s="69"/>
      <c r="G30" s="17" t="s">
        <v>73</v>
      </c>
      <c r="H30" s="69"/>
    </row>
    <row r="31" customFormat="false" ht="31.5" hidden="false" customHeight="true" outlineLevel="0" collapsed="false">
      <c r="A31" s="37" t="s">
        <v>885</v>
      </c>
      <c r="B31" s="3" t="s">
        <v>886</v>
      </c>
      <c r="C31" s="6" t="s">
        <v>887</v>
      </c>
      <c r="D31" s="67" t="s">
        <v>888</v>
      </c>
      <c r="E31" s="17" t="s">
        <v>889</v>
      </c>
      <c r="F31" s="69"/>
      <c r="G31" s="17" t="s">
        <v>71</v>
      </c>
      <c r="H31" s="69"/>
    </row>
    <row r="32" customFormat="false" ht="31.5" hidden="false" customHeight="true" outlineLevel="0" collapsed="false">
      <c r="A32" s="37" t="s">
        <v>890</v>
      </c>
      <c r="B32" s="3" t="s">
        <v>886</v>
      </c>
      <c r="C32" s="6" t="s">
        <v>891</v>
      </c>
      <c r="D32" s="67" t="s">
        <v>830</v>
      </c>
      <c r="E32" s="70" t="n">
        <v>7</v>
      </c>
      <c r="F32" s="69"/>
      <c r="G32" s="17" t="s">
        <v>73</v>
      </c>
      <c r="H32" s="69"/>
    </row>
    <row r="33" customFormat="false" ht="31.5" hidden="false" customHeight="true" outlineLevel="0" collapsed="false">
      <c r="A33" s="37" t="s">
        <v>892</v>
      </c>
      <c r="B33" s="3" t="s">
        <v>886</v>
      </c>
      <c r="C33" s="6" t="s">
        <v>893</v>
      </c>
      <c r="D33" s="67" t="s">
        <v>859</v>
      </c>
      <c r="E33" s="17" t="s">
        <v>73</v>
      </c>
      <c r="F33" s="69"/>
      <c r="G33" s="17" t="s">
        <v>73</v>
      </c>
      <c r="H33" s="69"/>
    </row>
    <row r="34" customFormat="false" ht="31.5" hidden="false" customHeight="true" outlineLevel="0" collapsed="false">
      <c r="A34" s="37" t="s">
        <v>894</v>
      </c>
      <c r="B34" s="3" t="s">
        <v>886</v>
      </c>
      <c r="C34" s="6" t="s">
        <v>895</v>
      </c>
      <c r="D34" s="67" t="s">
        <v>859</v>
      </c>
      <c r="E34" s="17" t="s">
        <v>73</v>
      </c>
      <c r="F34" s="69"/>
      <c r="G34" s="17" t="s">
        <v>73</v>
      </c>
      <c r="H34" s="69"/>
    </row>
    <row r="35" customFormat="false" ht="31.5" hidden="false" customHeight="true" outlineLevel="0" collapsed="false">
      <c r="A35" s="37" t="s">
        <v>896</v>
      </c>
      <c r="B35" s="3" t="s">
        <v>886</v>
      </c>
      <c r="C35" s="6" t="s">
        <v>897</v>
      </c>
      <c r="D35" s="67" t="s">
        <v>859</v>
      </c>
      <c r="E35" s="17" t="s">
        <v>73</v>
      </c>
      <c r="F35" s="69"/>
      <c r="G35" s="17" t="s">
        <v>73</v>
      </c>
      <c r="H35" s="69"/>
    </row>
  </sheetData>
  <sheetProtection sheet="true" formatColumns="false" formatRows="false" sort="false" autoFilter="false"/>
  <dataValidations count="6">
    <dataValidation allowBlank="true" errorStyle="stop" operator="between" showDropDown="false" showErrorMessage="false" showInputMessage="false" sqref="B21:B27 B31:B49 F53:G61 B65:B70" type="list">
      <formula1>"Yes,No"</formula1>
      <formula2>0</formula2>
    </dataValidation>
    <dataValidation allowBlank="true" errorStyle="stop" operator="between" showDropDown="false" showErrorMessage="false" showInputMessage="false" sqref="G5:G35 E19 E26 E33:E35" type="list">
      <formula1>"Yes,No"</formula1>
      <formula2>0</formula2>
    </dataValidation>
    <dataValidation allowBlank="true" errorStyle="stop" operator="between" showDropDown="false" showErrorMessage="false" showInputMessage="false" sqref="E8:E9 E12 E16:E18 E20:E24 E29:E30" type="list">
      <formula1>"Yes,Partial,No"</formula1>
      <formula2>0</formula2>
    </dataValidation>
    <dataValidation allowBlank="true" errorStyle="stop" operator="between" showDropDown="false" showErrorMessage="false" showInputMessage="false" sqref="E31" type="list">
      <formula1>"Provider,Consignee broker,Mixed by country"</formula1>
      <formula2>0</formula2>
    </dataValidation>
    <dataValidation allowBlank="true" error="Enter a percentage between 0% and 100%" errorStyle="stop" operator="between" showDropDown="false" showErrorMessage="true" showInputMessage="false" sqref="E5:E6 E11 E13 E28" type="decimal">
      <formula1>0</formula1>
      <formula2>1</formula2>
    </dataValidation>
    <dataValidation allowBlank="true" error="Enter a number of 0 or more" errorStyle="stop" operator="greaterThanOrEqual" showDropDown="false" showErrorMessage="true" showInputMessage="false" sqref="E7 E10 E14:E15 E25 E27 E32"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20"/>
    <col collapsed="false" customWidth="true" hidden="false" outlineLevel="0" max="4" min="4" style="0" width="22"/>
    <col collapsed="false" customWidth="true" hidden="false" outlineLevel="0" max="6" min="5" style="0" width="26"/>
    <col collapsed="false" customWidth="true" hidden="false" outlineLevel="0" max="7" min="7" style="0" width="12"/>
    <col collapsed="false" customWidth="true" hidden="false" outlineLevel="0" max="8" min="8" style="0" width="10"/>
    <col collapsed="false" customWidth="true" hidden="false" outlineLevel="0" max="11" min="9" style="0" width="12"/>
    <col collapsed="false" customWidth="true" hidden="false" outlineLevel="0" max="14" min="12" style="0" width="14"/>
    <col collapsed="false" customWidth="true" hidden="false" outlineLevel="0" max="20" min="15" style="0" width="12"/>
  </cols>
  <sheetData>
    <row r="1" customFormat="false" ht="19.7" hidden="false" customHeight="false" outlineLevel="0" collapsed="false">
      <c r="A1" s="1" t="s">
        <v>898</v>
      </c>
    </row>
    <row r="2" customFormat="false" ht="15" hidden="false" customHeight="false" outlineLevel="0" collapsed="false">
      <c r="A2" s="2" t="s">
        <v>899</v>
      </c>
    </row>
    <row r="4" customFormat="false" ht="15" hidden="false" customHeight="false" outlineLevel="0" collapsed="false">
      <c r="A4" s="10" t="s">
        <v>900</v>
      </c>
    </row>
    <row r="5" customFormat="false" ht="43.5" hidden="false" customHeight="true" outlineLevel="0" collapsed="false">
      <c r="A5" s="11" t="s">
        <v>815</v>
      </c>
      <c r="B5" s="12" t="s">
        <v>901</v>
      </c>
      <c r="C5" s="12" t="s">
        <v>902</v>
      </c>
      <c r="D5" s="12" t="s">
        <v>903</v>
      </c>
      <c r="E5" s="12" t="s">
        <v>904</v>
      </c>
      <c r="F5" s="12" t="s">
        <v>905</v>
      </c>
    </row>
    <row r="6" customFormat="false" ht="30" hidden="false" customHeight="true" outlineLevel="0" collapsed="false">
      <c r="A6" s="37" t="s">
        <v>906</v>
      </c>
      <c r="B6" s="69"/>
      <c r="C6" s="69"/>
      <c r="D6" s="69"/>
      <c r="E6" s="69"/>
      <c r="F6" s="69"/>
    </row>
    <row r="7" customFormat="false" ht="30" hidden="false" customHeight="true" outlineLevel="0" collapsed="false">
      <c r="A7" s="37" t="s">
        <v>907</v>
      </c>
      <c r="B7" s="69"/>
      <c r="C7" s="69"/>
      <c r="D7" s="69"/>
      <c r="E7" s="69"/>
      <c r="F7" s="69"/>
    </row>
    <row r="8" customFormat="false" ht="30" hidden="false" customHeight="true" outlineLevel="0" collapsed="false">
      <c r="A8" s="37" t="s">
        <v>908</v>
      </c>
      <c r="B8" s="69"/>
      <c r="C8" s="69"/>
      <c r="D8" s="69"/>
      <c r="E8" s="69"/>
      <c r="F8" s="69"/>
    </row>
    <row r="11" customFormat="false" ht="15" hidden="false" customHeight="false" outlineLevel="0" collapsed="false">
      <c r="A11" s="10" t="s">
        <v>909</v>
      </c>
    </row>
    <row r="12" customFormat="false" ht="15" hidden="false" customHeight="false" outlineLevel="0" collapsed="false">
      <c r="A12" s="2" t="s">
        <v>910</v>
      </c>
    </row>
    <row r="13" customFormat="false" ht="57.75" hidden="false" customHeight="true" outlineLevel="0" collapsed="false">
      <c r="A13" s="11" t="s">
        <v>101</v>
      </c>
      <c r="B13" s="11" t="s">
        <v>191</v>
      </c>
      <c r="C13" s="11" t="s">
        <v>911</v>
      </c>
      <c r="D13" s="11" t="s">
        <v>912</v>
      </c>
      <c r="E13" s="11" t="s">
        <v>913</v>
      </c>
      <c r="F13" s="11" t="s">
        <v>914</v>
      </c>
      <c r="G13" s="11" t="s">
        <v>915</v>
      </c>
      <c r="H13" s="11" t="s">
        <v>916</v>
      </c>
      <c r="I13" s="12" t="s">
        <v>917</v>
      </c>
      <c r="J13" s="12" t="s">
        <v>918</v>
      </c>
      <c r="K13" s="12" t="s">
        <v>919</v>
      </c>
      <c r="L13" s="12" t="s">
        <v>920</v>
      </c>
      <c r="M13" s="11" t="s">
        <v>921</v>
      </c>
      <c r="N13" s="11" t="s">
        <v>922</v>
      </c>
      <c r="O13" s="11" t="s">
        <v>923</v>
      </c>
      <c r="P13" s="11" t="s">
        <v>924</v>
      </c>
      <c r="Q13" s="11" t="s">
        <v>925</v>
      </c>
      <c r="R13" s="11" t="s">
        <v>926</v>
      </c>
      <c r="S13" s="11" t="s">
        <v>927</v>
      </c>
      <c r="T13" s="11" t="s">
        <v>928</v>
      </c>
    </row>
    <row r="14" customFormat="false" ht="15" hidden="false" customHeight="false" outlineLevel="0" collapsed="false">
      <c r="A14" s="3" t="s">
        <v>108</v>
      </c>
      <c r="B14" s="8" t="s">
        <v>109</v>
      </c>
      <c r="C14" s="18" t="n">
        <f aca="false">Volumes!D6</f>
        <v>50</v>
      </c>
      <c r="D14" s="18" t="n">
        <v>308</v>
      </c>
      <c r="E14" s="19" t="n">
        <f aca="false">Volumes!F6</f>
        <v>100.3</v>
      </c>
      <c r="F14" s="18" t="n">
        <f aca="false">Volumes!D20</f>
        <v>117</v>
      </c>
      <c r="G14" s="18" t="n">
        <v>721</v>
      </c>
      <c r="H14" s="19" t="n">
        <f aca="false">Volumes!F20</f>
        <v>240.7</v>
      </c>
      <c r="I14" s="17"/>
      <c r="J14" s="17"/>
      <c r="K14" s="38"/>
      <c r="L14" s="39"/>
      <c r="M14" s="53" t="n">
        <f aca="false">SUMIFS(SA_Cost,SA_Lane,A14,SA_From,"&lt;&gt;Helmond")</f>
        <v>0</v>
      </c>
      <c r="N14" s="53" t="n">
        <f aca="false">SUMIFS(SB_Cost,SB_Lane,A14,SB_From,"&lt;&gt;Helmond")</f>
        <v>0</v>
      </c>
      <c r="O14" s="18" t="n">
        <f aca="false">COUNTIFS(SA_Lane,A14,SA_From,"&lt;&gt;Helmond",SA_From,"&lt;&gt;Other")</f>
        <v>0</v>
      </c>
      <c r="P14" s="18" t="n">
        <f aca="false">COUNTIFS(SB_Lane,A14,SB_From,"&lt;&gt;Helmond",SB_From,"&lt;&gt;Other")</f>
        <v>0</v>
      </c>
      <c r="Q14" s="19" t="n">
        <f aca="false">SUMIFS(SA_M3,SA_Lane,A14,SA_From,"&lt;&gt;Helmond",SA_From,"&lt;&gt;Other")</f>
        <v>0</v>
      </c>
      <c r="R14" s="19" t="n">
        <f aca="false">SUMIFS(SB_M3,SB_Lane,A14,SB_From,"&lt;&gt;Helmond",SB_From,"&lt;&gt;Other")</f>
        <v>0</v>
      </c>
      <c r="S14" s="18" t="n">
        <f aca="false">IFERROR(ROUND(O14*D14/C14,0),0)</f>
        <v>0</v>
      </c>
      <c r="T14" s="18" t="n">
        <f aca="false">IFERROR(ROUND(P14*G14/F14,0),0)</f>
        <v>0</v>
      </c>
    </row>
    <row r="15" customFormat="false" ht="15" hidden="false" customHeight="false" outlineLevel="0" collapsed="false">
      <c r="A15" s="3" t="s">
        <v>112</v>
      </c>
      <c r="B15" s="8" t="s">
        <v>113</v>
      </c>
      <c r="C15" s="18" t="n">
        <f aca="false">Volumes!D7</f>
        <v>36</v>
      </c>
      <c r="D15" s="18" t="n">
        <v>160</v>
      </c>
      <c r="E15" s="19" t="n">
        <f aca="false">Volumes!F7</f>
        <v>8.4</v>
      </c>
      <c r="F15" s="18" t="n">
        <f aca="false">Volumes!D21</f>
        <v>84</v>
      </c>
      <c r="G15" s="18" t="n">
        <v>373</v>
      </c>
      <c r="H15" s="19" t="n">
        <f aca="false">Volumes!F21</f>
        <v>19</v>
      </c>
      <c r="I15" s="17"/>
      <c r="J15" s="17"/>
      <c r="K15" s="38"/>
      <c r="L15" s="39"/>
      <c r="M15" s="53" t="n">
        <f aca="false">SUMIFS(SA_Cost,SA_Lane,A15,SA_From,"&lt;&gt;Helmond")</f>
        <v>0</v>
      </c>
      <c r="N15" s="53" t="n">
        <f aca="false">SUMIFS(SB_Cost,SB_Lane,A15,SB_From,"&lt;&gt;Helmond")</f>
        <v>0</v>
      </c>
      <c r="O15" s="18" t="n">
        <f aca="false">COUNTIFS(SA_Lane,A15,SA_From,"&lt;&gt;Helmond",SA_From,"&lt;&gt;Other")</f>
        <v>0</v>
      </c>
      <c r="P15" s="18" t="n">
        <f aca="false">COUNTIFS(SB_Lane,A15,SB_From,"&lt;&gt;Helmond",SB_From,"&lt;&gt;Other")</f>
        <v>0</v>
      </c>
      <c r="Q15" s="19" t="n">
        <f aca="false">SUMIFS(SA_M3,SA_Lane,A15,SA_From,"&lt;&gt;Helmond",SA_From,"&lt;&gt;Other")</f>
        <v>0</v>
      </c>
      <c r="R15" s="19" t="n">
        <f aca="false">SUMIFS(SB_M3,SB_Lane,A15,SB_From,"&lt;&gt;Helmond",SB_From,"&lt;&gt;Other")</f>
        <v>0</v>
      </c>
      <c r="S15" s="18" t="n">
        <f aca="false">IFERROR(ROUND(O15*D15/C15,0),0)</f>
        <v>0</v>
      </c>
      <c r="T15" s="18" t="n">
        <f aca="false">IFERROR(ROUND(P15*G15/F15,0),0)</f>
        <v>0</v>
      </c>
    </row>
    <row r="16" customFormat="false" ht="15" hidden="false" customHeight="false" outlineLevel="0" collapsed="false">
      <c r="A16" s="3" t="s">
        <v>115</v>
      </c>
      <c r="B16" s="8" t="s">
        <v>116</v>
      </c>
      <c r="C16" s="18" t="n">
        <f aca="false">Volumes!D8</f>
        <v>12</v>
      </c>
      <c r="D16" s="18" t="n">
        <v>64</v>
      </c>
      <c r="E16" s="19" t="n">
        <f aca="false">Volumes!F8</f>
        <v>25.8</v>
      </c>
      <c r="F16" s="18" t="n">
        <f aca="false">Volumes!D22</f>
        <v>29</v>
      </c>
      <c r="G16" s="18" t="n">
        <v>155</v>
      </c>
      <c r="H16" s="19" t="n">
        <f aca="false">Volumes!F22</f>
        <v>62.8</v>
      </c>
      <c r="I16" s="17"/>
      <c r="J16" s="17"/>
      <c r="K16" s="38"/>
      <c r="L16" s="39"/>
      <c r="M16" s="53" t="n">
        <f aca="false">SUMIFS(SA_Cost,SA_Lane,A16,SA_From,"&lt;&gt;Helmond")</f>
        <v>0</v>
      </c>
      <c r="N16" s="53" t="n">
        <f aca="false">SUMIFS(SB_Cost,SB_Lane,A16,SB_From,"&lt;&gt;Helmond")</f>
        <v>0</v>
      </c>
      <c r="O16" s="18" t="n">
        <f aca="false">COUNTIFS(SA_Lane,A16,SA_From,"&lt;&gt;Helmond",SA_From,"&lt;&gt;Other")</f>
        <v>0</v>
      </c>
      <c r="P16" s="18" t="n">
        <f aca="false">COUNTIFS(SB_Lane,A16,SB_From,"&lt;&gt;Helmond",SB_From,"&lt;&gt;Other")</f>
        <v>0</v>
      </c>
      <c r="Q16" s="19" t="n">
        <f aca="false">SUMIFS(SA_M3,SA_Lane,A16,SA_From,"&lt;&gt;Helmond",SA_From,"&lt;&gt;Other")</f>
        <v>0</v>
      </c>
      <c r="R16" s="19" t="n">
        <f aca="false">SUMIFS(SB_M3,SB_Lane,A16,SB_From,"&lt;&gt;Helmond",SB_From,"&lt;&gt;Other")</f>
        <v>0</v>
      </c>
      <c r="S16" s="18" t="n">
        <f aca="false">IFERROR(ROUND(O16*D16/C16,0),0)</f>
        <v>0</v>
      </c>
      <c r="T16" s="18" t="n">
        <f aca="false">IFERROR(ROUND(P16*G16/F16,0),0)</f>
        <v>0</v>
      </c>
    </row>
    <row r="17" customFormat="false" ht="15" hidden="false" customHeight="false" outlineLevel="0" collapsed="false">
      <c r="A17" s="3" t="s">
        <v>117</v>
      </c>
      <c r="B17" s="8" t="s">
        <v>118</v>
      </c>
      <c r="C17" s="18" t="n">
        <f aca="false">Volumes!D9</f>
        <v>10</v>
      </c>
      <c r="D17" s="18" t="n">
        <v>42</v>
      </c>
      <c r="E17" s="19" t="n">
        <f aca="false">Volumes!F9</f>
        <v>2.2</v>
      </c>
      <c r="F17" s="18" t="n">
        <f aca="false">Volumes!D23</f>
        <v>23</v>
      </c>
      <c r="G17" s="18" t="n">
        <v>97</v>
      </c>
      <c r="H17" s="19" t="n">
        <f aca="false">Volumes!F23</f>
        <v>5.2</v>
      </c>
      <c r="I17" s="17"/>
      <c r="J17" s="17"/>
      <c r="K17" s="38"/>
      <c r="L17" s="39"/>
      <c r="M17" s="53" t="n">
        <f aca="false">SUMIFS(SA_Cost,SA_Lane,A17,SA_From,"&lt;&gt;Helmond")</f>
        <v>0</v>
      </c>
      <c r="N17" s="53" t="n">
        <f aca="false">SUMIFS(SB_Cost,SB_Lane,A17,SB_From,"&lt;&gt;Helmond")</f>
        <v>0</v>
      </c>
      <c r="O17" s="18" t="n">
        <f aca="false">COUNTIFS(SA_Lane,A17,SA_From,"&lt;&gt;Helmond",SA_From,"&lt;&gt;Other")</f>
        <v>0</v>
      </c>
      <c r="P17" s="18" t="n">
        <f aca="false">COUNTIFS(SB_Lane,A17,SB_From,"&lt;&gt;Helmond",SB_From,"&lt;&gt;Other")</f>
        <v>0</v>
      </c>
      <c r="Q17" s="19" t="n">
        <f aca="false">SUMIFS(SA_M3,SA_Lane,A17,SA_From,"&lt;&gt;Helmond",SA_From,"&lt;&gt;Other")</f>
        <v>0</v>
      </c>
      <c r="R17" s="19" t="n">
        <f aca="false">SUMIFS(SB_M3,SB_Lane,A17,SB_From,"&lt;&gt;Helmond",SB_From,"&lt;&gt;Other")</f>
        <v>0</v>
      </c>
      <c r="S17" s="18" t="n">
        <f aca="false">IFERROR(ROUND(O17*D17/C17,0),0)</f>
        <v>0</v>
      </c>
      <c r="T17" s="18" t="n">
        <f aca="false">IFERROR(ROUND(P17*G17/F17,0),0)</f>
        <v>0</v>
      </c>
    </row>
    <row r="18" customFormat="false" ht="15" hidden="false" customHeight="false" outlineLevel="0" collapsed="false">
      <c r="A18" s="3" t="s">
        <v>119</v>
      </c>
      <c r="B18" s="8" t="s">
        <v>120</v>
      </c>
      <c r="C18" s="18" t="n">
        <f aca="false">Volumes!D10</f>
        <v>16</v>
      </c>
      <c r="D18" s="18" t="n">
        <v>58</v>
      </c>
      <c r="E18" s="19" t="n">
        <f aca="false">Volumes!F10</f>
        <v>11.8</v>
      </c>
      <c r="F18" s="18" t="n">
        <f aca="false">Volumes!D24</f>
        <v>37</v>
      </c>
      <c r="G18" s="18" t="n">
        <v>134</v>
      </c>
      <c r="H18" s="19" t="n">
        <f aca="false">Volumes!F24</f>
        <v>27.4</v>
      </c>
      <c r="I18" s="17"/>
      <c r="J18" s="17"/>
      <c r="K18" s="38"/>
      <c r="L18" s="39"/>
      <c r="M18" s="53" t="n">
        <f aca="false">SUMIFS(SA_Cost,SA_Lane,A18,SA_From,"&lt;&gt;Helmond")</f>
        <v>0</v>
      </c>
      <c r="N18" s="53" t="n">
        <f aca="false">SUMIFS(SB_Cost,SB_Lane,A18,SB_From,"&lt;&gt;Helmond")</f>
        <v>0</v>
      </c>
      <c r="O18" s="18" t="n">
        <f aca="false">COUNTIFS(SA_Lane,A18,SA_From,"&lt;&gt;Helmond",SA_From,"&lt;&gt;Other")</f>
        <v>0</v>
      </c>
      <c r="P18" s="18" t="n">
        <f aca="false">COUNTIFS(SB_Lane,A18,SB_From,"&lt;&gt;Helmond",SB_From,"&lt;&gt;Other")</f>
        <v>0</v>
      </c>
      <c r="Q18" s="19" t="n">
        <f aca="false">SUMIFS(SA_M3,SA_Lane,A18,SA_From,"&lt;&gt;Helmond",SA_From,"&lt;&gt;Other")</f>
        <v>0</v>
      </c>
      <c r="R18" s="19" t="n">
        <f aca="false">SUMIFS(SB_M3,SB_Lane,A18,SB_From,"&lt;&gt;Helmond",SB_From,"&lt;&gt;Other")</f>
        <v>0</v>
      </c>
      <c r="S18" s="18" t="n">
        <f aca="false">IFERROR(ROUND(O18*D18/C18,0),0)</f>
        <v>0</v>
      </c>
      <c r="T18" s="18" t="n">
        <f aca="false">IFERROR(ROUND(P18*G18/F18,0),0)</f>
        <v>0</v>
      </c>
    </row>
    <row r="19" customFormat="false" ht="15" hidden="false" customHeight="false" outlineLevel="0" collapsed="false">
      <c r="A19" s="3" t="s">
        <v>121</v>
      </c>
      <c r="B19" s="8" t="s">
        <v>122</v>
      </c>
      <c r="C19" s="18" t="n">
        <f aca="false">Volumes!D11</f>
        <v>6</v>
      </c>
      <c r="D19" s="18" t="n">
        <v>48</v>
      </c>
      <c r="E19" s="19" t="n">
        <f aca="false">Volumes!F11</f>
        <v>8.3</v>
      </c>
      <c r="F19" s="18" t="n">
        <f aca="false">Volumes!D25</f>
        <v>13</v>
      </c>
      <c r="G19" s="18" t="n">
        <v>104</v>
      </c>
      <c r="H19" s="19" t="n">
        <f aca="false">Volumes!F25</f>
        <v>12.2</v>
      </c>
      <c r="I19" s="17"/>
      <c r="J19" s="17"/>
      <c r="K19" s="38"/>
      <c r="L19" s="39"/>
      <c r="M19" s="53" t="n">
        <f aca="false">SUMIFS(SA_Cost,SA_Lane,A19,SA_From,"&lt;&gt;Helmond")</f>
        <v>0</v>
      </c>
      <c r="N19" s="53" t="n">
        <f aca="false">SUMIFS(SB_Cost,SB_Lane,A19,SB_From,"&lt;&gt;Helmond")</f>
        <v>0</v>
      </c>
      <c r="O19" s="18" t="n">
        <f aca="false">COUNTIFS(SA_Lane,A19,SA_From,"&lt;&gt;Helmond",SA_From,"&lt;&gt;Other")</f>
        <v>0</v>
      </c>
      <c r="P19" s="18" t="n">
        <f aca="false">COUNTIFS(SB_Lane,A19,SB_From,"&lt;&gt;Helmond",SB_From,"&lt;&gt;Other")</f>
        <v>0</v>
      </c>
      <c r="Q19" s="19" t="n">
        <f aca="false">SUMIFS(SA_M3,SA_Lane,A19,SA_From,"&lt;&gt;Helmond",SA_From,"&lt;&gt;Other")</f>
        <v>0</v>
      </c>
      <c r="R19" s="19" t="n">
        <f aca="false">SUMIFS(SB_M3,SB_Lane,A19,SB_From,"&lt;&gt;Helmond",SB_From,"&lt;&gt;Other")</f>
        <v>0</v>
      </c>
      <c r="S19" s="18" t="n">
        <f aca="false">IFERROR(ROUND(O19*D19/C19,0),0)</f>
        <v>0</v>
      </c>
      <c r="T19" s="18" t="n">
        <f aca="false">IFERROR(ROUND(P19*G19/F19,0),0)</f>
        <v>0</v>
      </c>
    </row>
    <row r="20" customFormat="false" ht="15" hidden="false" customHeight="false" outlineLevel="0" collapsed="false">
      <c r="A20" s="3" t="s">
        <v>124</v>
      </c>
      <c r="B20" s="8" t="s">
        <v>125</v>
      </c>
      <c r="C20" s="18" t="n">
        <f aca="false">Volumes!D12</f>
        <v>4</v>
      </c>
      <c r="D20" s="18" t="n">
        <v>128</v>
      </c>
      <c r="E20" s="19" t="n">
        <f aca="false">Volumes!F12</f>
        <v>2.1</v>
      </c>
      <c r="F20" s="18" t="n">
        <f aca="false">Volumes!D26</f>
        <v>9</v>
      </c>
      <c r="G20" s="18" t="n">
        <v>288</v>
      </c>
      <c r="H20" s="19" t="n">
        <f aca="false">Volumes!F26</f>
        <v>10.1</v>
      </c>
      <c r="I20" s="17"/>
      <c r="J20" s="17"/>
      <c r="K20" s="38"/>
      <c r="L20" s="39"/>
      <c r="M20" s="53" t="n">
        <f aca="false">SUMIFS(SA_Cost,SA_Lane,A20,SA_From,"&lt;&gt;Helmond")</f>
        <v>0</v>
      </c>
      <c r="N20" s="53" t="n">
        <f aca="false">SUMIFS(SB_Cost,SB_Lane,A20,SB_From,"&lt;&gt;Helmond")</f>
        <v>0</v>
      </c>
      <c r="O20" s="18" t="n">
        <f aca="false">COUNTIFS(SA_Lane,A20,SA_From,"&lt;&gt;Helmond",SA_From,"&lt;&gt;Other")</f>
        <v>0</v>
      </c>
      <c r="P20" s="18" t="n">
        <f aca="false">COUNTIFS(SB_Lane,A20,SB_From,"&lt;&gt;Helmond",SB_From,"&lt;&gt;Other")</f>
        <v>0</v>
      </c>
      <c r="Q20" s="19" t="n">
        <f aca="false">SUMIFS(SA_M3,SA_Lane,A20,SA_From,"&lt;&gt;Helmond",SA_From,"&lt;&gt;Other")</f>
        <v>0</v>
      </c>
      <c r="R20" s="19" t="n">
        <f aca="false">SUMIFS(SB_M3,SB_Lane,A20,SB_From,"&lt;&gt;Helmond",SB_From,"&lt;&gt;Other")</f>
        <v>0</v>
      </c>
      <c r="S20" s="18" t="n">
        <f aca="false">IFERROR(ROUND(O20*D20/C20,0),0)</f>
        <v>0</v>
      </c>
      <c r="T20" s="18" t="n">
        <f aca="false">IFERROR(ROUND(P20*G20/F20,0),0)</f>
        <v>0</v>
      </c>
    </row>
    <row r="21" customFormat="false" ht="15" hidden="false" customHeight="false" outlineLevel="0" collapsed="false">
      <c r="A21" s="3" t="s">
        <v>126</v>
      </c>
      <c r="B21" s="8" t="s">
        <v>127</v>
      </c>
      <c r="C21" s="18" t="n">
        <f aca="false">Volumes!D13</f>
        <v>6</v>
      </c>
      <c r="D21" s="18" t="n">
        <v>26</v>
      </c>
      <c r="E21" s="19" t="n">
        <f aca="false">Volumes!F13</f>
        <v>8.3</v>
      </c>
      <c r="F21" s="18" t="n">
        <f aca="false">Volumes!D27</f>
        <v>13</v>
      </c>
      <c r="G21" s="18" t="n">
        <v>56</v>
      </c>
      <c r="H21" s="19" t="n">
        <f aca="false">Volumes!F27</f>
        <v>12.2</v>
      </c>
      <c r="I21" s="17"/>
      <c r="J21" s="17"/>
      <c r="K21" s="38"/>
      <c r="L21" s="39"/>
      <c r="M21" s="53" t="n">
        <f aca="false">SUMIFS(SA_Cost,SA_Lane,A21,SA_From,"&lt;&gt;Helmond")</f>
        <v>0</v>
      </c>
      <c r="N21" s="53" t="n">
        <f aca="false">SUMIFS(SB_Cost,SB_Lane,A21,SB_From,"&lt;&gt;Helmond")</f>
        <v>0</v>
      </c>
      <c r="O21" s="18" t="n">
        <f aca="false">COUNTIFS(SA_Lane,A21,SA_From,"&lt;&gt;Helmond",SA_From,"&lt;&gt;Other")</f>
        <v>0</v>
      </c>
      <c r="P21" s="18" t="n">
        <f aca="false">COUNTIFS(SB_Lane,A21,SB_From,"&lt;&gt;Helmond",SB_From,"&lt;&gt;Other")</f>
        <v>0</v>
      </c>
      <c r="Q21" s="19" t="n">
        <f aca="false">SUMIFS(SA_M3,SA_Lane,A21,SA_From,"&lt;&gt;Helmond",SA_From,"&lt;&gt;Other")</f>
        <v>0</v>
      </c>
      <c r="R21" s="19" t="n">
        <f aca="false">SUMIFS(SB_M3,SB_Lane,A21,SB_From,"&lt;&gt;Helmond",SB_From,"&lt;&gt;Other")</f>
        <v>0</v>
      </c>
      <c r="S21" s="18" t="n">
        <f aca="false">IFERROR(ROUND(O21*D21/C21,0),0)</f>
        <v>0</v>
      </c>
      <c r="T21" s="18" t="n">
        <f aca="false">IFERROR(ROUND(P21*G21/F21,0),0)</f>
        <v>0</v>
      </c>
    </row>
    <row r="22" customFormat="false" ht="15" hidden="false" customHeight="false" outlineLevel="0" collapsed="false">
      <c r="A22" s="3" t="s">
        <v>129</v>
      </c>
      <c r="B22" s="8" t="s">
        <v>130</v>
      </c>
      <c r="C22" s="18" t="n">
        <f aca="false">Volumes!D14</f>
        <v>1</v>
      </c>
      <c r="D22" s="18" t="n">
        <v>6</v>
      </c>
      <c r="E22" s="19" t="n">
        <f aca="false">Volumes!F14</f>
        <v>0.1</v>
      </c>
      <c r="F22" s="18" t="n">
        <f aca="false">Volumes!D28</f>
        <v>4</v>
      </c>
      <c r="G22" s="18" t="n">
        <v>24</v>
      </c>
      <c r="H22" s="19" t="n">
        <f aca="false">Volumes!F28</f>
        <v>2.1</v>
      </c>
      <c r="I22" s="17"/>
      <c r="J22" s="17"/>
      <c r="K22" s="38"/>
      <c r="L22" s="39"/>
      <c r="M22" s="53" t="n">
        <f aca="false">SUMIFS(SA_Cost,SA_Lane,A22,SA_From,"&lt;&gt;Helmond")</f>
        <v>0</v>
      </c>
      <c r="N22" s="53" t="n">
        <f aca="false">SUMIFS(SB_Cost,SB_Lane,A22,SB_From,"&lt;&gt;Helmond")</f>
        <v>0</v>
      </c>
      <c r="O22" s="18" t="n">
        <f aca="false">COUNTIFS(SA_Lane,A22,SA_From,"&lt;&gt;Helmond",SA_From,"&lt;&gt;Other")</f>
        <v>0</v>
      </c>
      <c r="P22" s="18" t="n">
        <f aca="false">COUNTIFS(SB_Lane,A22,SB_From,"&lt;&gt;Helmond",SB_From,"&lt;&gt;Other")</f>
        <v>0</v>
      </c>
      <c r="Q22" s="19" t="n">
        <f aca="false">SUMIFS(SA_M3,SA_Lane,A22,SA_From,"&lt;&gt;Helmond",SA_From,"&lt;&gt;Other")</f>
        <v>0</v>
      </c>
      <c r="R22" s="19" t="n">
        <f aca="false">SUMIFS(SB_M3,SB_Lane,A22,SB_From,"&lt;&gt;Helmond",SB_From,"&lt;&gt;Other")</f>
        <v>0</v>
      </c>
      <c r="S22" s="18" t="n">
        <f aca="false">IFERROR(ROUND(O22*D22/C22,0),0)</f>
        <v>0</v>
      </c>
      <c r="T22" s="18" t="n">
        <f aca="false">IFERROR(ROUND(P22*G22/F22,0),0)</f>
        <v>0</v>
      </c>
    </row>
    <row r="23" customFormat="false" ht="15" hidden="false" customHeight="false" outlineLevel="0" collapsed="false">
      <c r="A23" s="20" t="s">
        <v>160</v>
      </c>
      <c r="B23" s="21"/>
      <c r="C23" s="22" t="n">
        <f aca="false">SUM(C14:C22)</f>
        <v>141</v>
      </c>
      <c r="D23" s="22" t="n">
        <f aca="false">SUM(D14:D22)</f>
        <v>840</v>
      </c>
      <c r="E23" s="23" t="n">
        <f aca="false">SUM(E14:E22)</f>
        <v>167.3</v>
      </c>
      <c r="F23" s="22" t="n">
        <f aca="false">SUM(F14:F22)</f>
        <v>329</v>
      </c>
      <c r="G23" s="22" t="n">
        <f aca="false">SUM(G14:G22)</f>
        <v>1952</v>
      </c>
      <c r="H23" s="23" t="n">
        <f aca="false">SUM(H14:H22)</f>
        <v>391.7</v>
      </c>
      <c r="I23" s="41" t="str">
        <f aca="false">COUNTIF(I14:I22,"Yes")&amp;" lanes"</f>
        <v>0 lanes</v>
      </c>
      <c r="J23" s="21"/>
      <c r="K23" s="21"/>
      <c r="L23" s="21"/>
      <c r="M23" s="42" t="n">
        <f aca="false">SUM(M14:M22)</f>
        <v>0</v>
      </c>
      <c r="N23" s="42" t="n">
        <f aca="false">SUM(N14:N22)</f>
        <v>0</v>
      </c>
      <c r="O23" s="22" t="n">
        <f aca="false">SUM(O14:O22)</f>
        <v>0</v>
      </c>
      <c r="P23" s="22" t="n">
        <f aca="false">SUM(P14:P22)</f>
        <v>0</v>
      </c>
      <c r="Q23" s="23" t="n">
        <f aca="false">SUM(Q14:Q22)</f>
        <v>0</v>
      </c>
      <c r="R23" s="23" t="n">
        <f aca="false">SUM(R14:R22)</f>
        <v>0</v>
      </c>
      <c r="S23" s="22" t="n">
        <f aca="false">SUM(S14:S22)</f>
        <v>0</v>
      </c>
      <c r="T23" s="22" t="n">
        <f aca="false">SUM(T14:T22)</f>
        <v>0</v>
      </c>
    </row>
    <row r="26" customFormat="false" ht="15" hidden="false" customHeight="false" outlineLevel="0" collapsed="false">
      <c r="A26" s="10" t="s">
        <v>929</v>
      </c>
    </row>
    <row r="27" customFormat="false" ht="43.5" hidden="false" customHeight="true" outlineLevel="0" collapsed="false">
      <c r="A27" s="11" t="s">
        <v>930</v>
      </c>
      <c r="B27" s="11" t="s">
        <v>142</v>
      </c>
      <c r="C27" s="11" t="s">
        <v>161</v>
      </c>
      <c r="D27" s="11" t="s">
        <v>931</v>
      </c>
    </row>
    <row r="28" customFormat="false" ht="15" hidden="false" customHeight="false" outlineLevel="0" collapsed="false">
      <c r="A28" s="3" t="s">
        <v>932</v>
      </c>
      <c r="B28" s="18" t="n">
        <f aca="false">ROUNDUP(Q23/52*6/1.5,0)</f>
        <v>0</v>
      </c>
      <c r="C28" s="18" t="n">
        <f aca="false">ROUNDUP(R23/52*6/1.5,0)</f>
        <v>0</v>
      </c>
      <c r="D28" s="14" t="s">
        <v>933</v>
      </c>
    </row>
    <row r="29" customFormat="false" ht="15" hidden="false" customHeight="false" outlineLevel="0" collapsed="false">
      <c r="A29" s="3" t="s">
        <v>934</v>
      </c>
      <c r="B29" s="18" t="n">
        <f aca="false">ROUND(Q23/1.5,0)</f>
        <v>0</v>
      </c>
      <c r="C29" s="18" t="n">
        <f aca="false">ROUND(R23/1.5,0)</f>
        <v>0</v>
      </c>
      <c r="D29" s="14" t="s">
        <v>933</v>
      </c>
    </row>
    <row r="30" customFormat="false" ht="15" hidden="false" customHeight="false" outlineLevel="0" collapsed="false">
      <c r="A30" s="3" t="s">
        <v>935</v>
      </c>
      <c r="B30" s="18" t="n">
        <f aca="false">S23</f>
        <v>0</v>
      </c>
      <c r="C30" s="18" t="n">
        <f aca="false">T23</f>
        <v>0</v>
      </c>
      <c r="D30" s="14" t="s">
        <v>936</v>
      </c>
    </row>
    <row r="31" customFormat="false" ht="15" hidden="false" customHeight="false" outlineLevel="0" collapsed="false">
      <c r="A31" s="3" t="s">
        <v>937</v>
      </c>
      <c r="B31" s="18" t="n">
        <f aca="false">O23</f>
        <v>0</v>
      </c>
      <c r="C31" s="18" t="n">
        <f aca="false">P23</f>
        <v>0</v>
      </c>
      <c r="D31" s="14" t="s">
        <v>938</v>
      </c>
    </row>
    <row r="33" customFormat="false" ht="15" hidden="false" customHeight="false" outlineLevel="0" collapsed="false">
      <c r="A33" s="10" t="s">
        <v>939</v>
      </c>
    </row>
    <row r="34" customFormat="false" ht="43.5" hidden="false" customHeight="true" outlineLevel="0" collapsed="false">
      <c r="A34" s="11" t="s">
        <v>940</v>
      </c>
      <c r="B34" s="12" t="s">
        <v>941</v>
      </c>
      <c r="C34" s="11" t="s">
        <v>931</v>
      </c>
      <c r="D34" s="11" t="s">
        <v>797</v>
      </c>
      <c r="E34" s="11" t="s">
        <v>800</v>
      </c>
    </row>
    <row r="35" customFormat="false" ht="15" hidden="false" customHeight="false" outlineLevel="0" collapsed="false">
      <c r="A35" s="3" t="s">
        <v>942</v>
      </c>
      <c r="B35" s="39"/>
      <c r="C35" s="14" t="s">
        <v>943</v>
      </c>
      <c r="D35" s="53" t="n">
        <f aca="false">N(B35)*B28*12</f>
        <v>0</v>
      </c>
      <c r="E35" s="53" t="n">
        <f aca="false">N(B35)*C28*12</f>
        <v>0</v>
      </c>
    </row>
    <row r="36" customFormat="false" ht="15" hidden="false" customHeight="false" outlineLevel="0" collapsed="false">
      <c r="A36" s="3" t="s">
        <v>944</v>
      </c>
      <c r="B36" s="39"/>
      <c r="C36" s="14" t="s">
        <v>945</v>
      </c>
      <c r="D36" s="53" t="n">
        <f aca="false">N(B36)*B29</f>
        <v>0</v>
      </c>
      <c r="E36" s="53" t="n">
        <f aca="false">N(B36)*C29</f>
        <v>0</v>
      </c>
    </row>
    <row r="37" customFormat="false" ht="15" hidden="false" customHeight="false" outlineLevel="0" collapsed="false">
      <c r="A37" s="3" t="s">
        <v>946</v>
      </c>
      <c r="B37" s="39"/>
      <c r="C37" s="14" t="s">
        <v>947</v>
      </c>
      <c r="D37" s="53"/>
      <c r="E37" s="53"/>
    </row>
    <row r="38" customFormat="false" ht="15" hidden="false" customHeight="false" outlineLevel="0" collapsed="false">
      <c r="A38" s="3" t="s">
        <v>948</v>
      </c>
      <c r="B38" s="39"/>
      <c r="C38" s="14" t="s">
        <v>947</v>
      </c>
      <c r="D38" s="53"/>
      <c r="E38" s="53"/>
    </row>
    <row r="39" customFormat="false" ht="15" hidden="false" customHeight="false" outlineLevel="0" collapsed="false">
      <c r="A39" s="3" t="s">
        <v>949</v>
      </c>
      <c r="B39" s="39"/>
      <c r="C39" s="14" t="s">
        <v>950</v>
      </c>
      <c r="D39" s="53" t="n">
        <f aca="false">N(B39)*B30</f>
        <v>0</v>
      </c>
      <c r="E39" s="53" t="n">
        <f aca="false">N(B39)*C30</f>
        <v>0</v>
      </c>
    </row>
    <row r="40" customFormat="false" ht="15" hidden="false" customHeight="false" outlineLevel="0" collapsed="false">
      <c r="A40" s="3" t="s">
        <v>951</v>
      </c>
      <c r="B40" s="39"/>
      <c r="C40" s="14" t="s">
        <v>952</v>
      </c>
      <c r="D40" s="53" t="n">
        <f aca="false">N(B40)*B31</f>
        <v>0</v>
      </c>
      <c r="E40" s="53" t="n">
        <f aca="false">N(B40)*C31</f>
        <v>0</v>
      </c>
    </row>
    <row r="41" customFormat="false" ht="15" hidden="false" customHeight="false" outlineLevel="0" collapsed="false">
      <c r="A41" s="3" t="s">
        <v>953</v>
      </c>
      <c r="B41" s="39"/>
      <c r="C41" s="14" t="s">
        <v>954</v>
      </c>
      <c r="D41" s="53" t="n">
        <f aca="false">IF(O23=0,0,N(B41)*12)</f>
        <v>0</v>
      </c>
      <c r="E41" s="53" t="n">
        <f aca="false">IF(P23=0,0,N(B41)*12)</f>
        <v>0</v>
      </c>
    </row>
    <row r="42" customFormat="false" ht="15" hidden="false" customHeight="false" outlineLevel="0" collapsed="false">
      <c r="A42" s="3" t="s">
        <v>955</v>
      </c>
      <c r="B42" s="39"/>
      <c r="C42" s="14" t="s">
        <v>945</v>
      </c>
      <c r="D42" s="53"/>
      <c r="E42" s="53"/>
    </row>
    <row r="43" customFormat="false" ht="15" hidden="false" customHeight="false" outlineLevel="0" collapsed="false">
      <c r="A43" s="3" t="s">
        <v>956</v>
      </c>
      <c r="B43" s="14" t="s">
        <v>957</v>
      </c>
      <c r="C43" s="14" t="s">
        <v>958</v>
      </c>
      <c r="D43" s="53" t="n">
        <f aca="false">M23</f>
        <v>0</v>
      </c>
      <c r="E43" s="53" t="n">
        <f aca="false">N23</f>
        <v>0</v>
      </c>
    </row>
    <row r="44" customFormat="false" ht="15" hidden="false" customHeight="false" outlineLevel="0" collapsed="false">
      <c r="A44" s="20" t="s">
        <v>959</v>
      </c>
      <c r="B44" s="21"/>
      <c r="C44" s="21"/>
      <c r="D44" s="42" t="n">
        <f aca="false">SUM(D35:D43)</f>
        <v>0</v>
      </c>
      <c r="E44" s="42" t="n">
        <f aca="false">SUM(E35:E43)</f>
        <v>0</v>
      </c>
    </row>
    <row r="46" customFormat="false" ht="15" hidden="false" customHeight="false" outlineLevel="0" collapsed="false">
      <c r="A46" s="10" t="s">
        <v>960</v>
      </c>
    </row>
    <row r="47" customFormat="false" ht="15" hidden="false" customHeight="false" outlineLevel="0" collapsed="false">
      <c r="A47" s="71" t="s">
        <v>961</v>
      </c>
    </row>
    <row r="48" customFormat="false" ht="15" hidden="false" customHeight="false" outlineLevel="0" collapsed="false">
      <c r="A48" s="71" t="s">
        <v>962</v>
      </c>
    </row>
    <row r="49" customFormat="false" ht="15" hidden="false" customHeight="false" outlineLevel="0" collapsed="false">
      <c r="A49" s="71" t="s">
        <v>963</v>
      </c>
    </row>
  </sheetData>
  <sheetProtection sheet="true" formatColumns="false" formatRows="false" sort="false" autoFilter="false"/>
  <dataValidations count="2">
    <dataValidation allowBlank="true" errorStyle="stop" operator="between" showDropDown="false" showErrorMessage="false" showInputMessage="false" sqref="I14:I22" type="list">
      <formula1>"Yes,No"</formula1>
      <formula2>0</formula2>
    </dataValidation>
    <dataValidation allowBlank="true" errorStyle="stop" operator="between" showDropDown="false" showErrorMessage="false" showInputMessage="false" sqref="J14:J22" type="list">
      <formula1>"W1,W2,W3"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9"/>
    <col collapsed="false" customWidth="true" hidden="false" outlineLevel="0" max="4" min="4" style="0" width="60"/>
  </cols>
  <sheetData>
    <row r="1" customFormat="false" ht="15" hidden="false" customHeight="false" outlineLevel="0" collapsed="false">
      <c r="A1" s="72" t="s">
        <v>964</v>
      </c>
      <c r="B1" s="72" t="s">
        <v>965</v>
      </c>
      <c r="C1" s="72" t="s">
        <v>966</v>
      </c>
      <c r="D1" s="72" t="s">
        <v>967</v>
      </c>
    </row>
    <row r="2" customFormat="false" ht="15" hidden="false" customHeight="false" outlineLevel="0" collapsed="false">
      <c r="A2" s="71" t="s">
        <v>968</v>
      </c>
      <c r="B2" s="73" t="s">
        <v>969</v>
      </c>
      <c r="C2" s="71" t="s">
        <v>970</v>
      </c>
      <c r="D2" s="71" t="s">
        <v>971</v>
      </c>
    </row>
    <row r="3" customFormat="false" ht="15" hidden="false" customHeight="false" outlineLevel="0" collapsed="false">
      <c r="A3" s="71" t="s">
        <v>972</v>
      </c>
      <c r="B3" s="0" t="n">
        <v>734</v>
      </c>
      <c r="C3" s="73" t="s">
        <v>973</v>
      </c>
      <c r="D3" s="73" t="s">
        <v>974</v>
      </c>
    </row>
    <row r="4" customFormat="false" ht="15" hidden="false" customHeight="false" outlineLevel="0" collapsed="false">
      <c r="A4" s="0" t="s">
        <v>975</v>
      </c>
      <c r="B4" s="0" t="str">
        <f aca="false">IF('Provider Profile'!B6="","",'Provider Profile'!B6)</f>
        <v>PRV-0001</v>
      </c>
      <c r="C4" s="0" t="s">
        <v>970</v>
      </c>
      <c r="D4" s="0" t="s">
        <v>41</v>
      </c>
    </row>
    <row r="5" customFormat="false" ht="15" hidden="false" customHeight="false" outlineLevel="0" collapsed="false">
      <c r="A5" s="0" t="s">
        <v>976</v>
      </c>
      <c r="B5" s="0" t="str">
        <f aca="false">IF('Provider Profile'!B7="","",'Provider Profile'!B7)</f>
        <v>Example Forwarding Co. (dummy)</v>
      </c>
      <c r="C5" s="0" t="s">
        <v>970</v>
      </c>
      <c r="D5" s="0" t="s">
        <v>44</v>
      </c>
    </row>
    <row r="6" customFormat="false" ht="15" hidden="false" customHeight="false" outlineLevel="0" collapsed="false">
      <c r="A6" s="0" t="s">
        <v>977</v>
      </c>
      <c r="B6" s="0" t="str">
        <f aca="false">IF('Provider Profile'!B8="","",'Provider Profile'!B8)</f>
        <v>forwarder.example.com</v>
      </c>
      <c r="C6" s="0" t="s">
        <v>970</v>
      </c>
      <c r="D6" s="0" t="s">
        <v>47</v>
      </c>
    </row>
    <row r="7" customFormat="false" ht="15" hidden="false" customHeight="false" outlineLevel="0" collapsed="false">
      <c r="A7" s="0" t="s">
        <v>978</v>
      </c>
      <c r="B7" s="0" t="str">
        <f aca="false">IF('Provider Profile'!B9="","",'Provider Profile'!B9)</f>
        <v>Alex Example</v>
      </c>
      <c r="C7" s="0" t="s">
        <v>970</v>
      </c>
      <c r="D7" s="0" t="s">
        <v>49</v>
      </c>
    </row>
    <row r="8" customFormat="false" ht="15" hidden="false" customHeight="false" outlineLevel="0" collapsed="false">
      <c r="A8" s="0" t="s">
        <v>979</v>
      </c>
      <c r="B8" s="0" t="str">
        <f aca="false">IF('Provider Profile'!B10="","",'Provider Profile'!B10)</f>
        <v>+31 40 000 0001</v>
      </c>
      <c r="C8" s="0" t="s">
        <v>970</v>
      </c>
      <c r="D8" s="0" t="s">
        <v>52</v>
      </c>
    </row>
    <row r="9" customFormat="false" ht="15" hidden="false" customHeight="false" outlineLevel="0" collapsed="false">
      <c r="A9" s="0" t="s">
        <v>980</v>
      </c>
      <c r="B9" s="0" t="str">
        <f aca="false">IF('Provider Profile'!B11="","",'Provider Profile'!B11)</f>
        <v>alex@forwarder.example.com</v>
      </c>
      <c r="C9" s="0" t="s">
        <v>970</v>
      </c>
      <c r="D9" s="0" t="s">
        <v>55</v>
      </c>
    </row>
    <row r="10" customFormat="false" ht="15" hidden="false" customHeight="false" outlineLevel="0" collapsed="false">
      <c r="A10" s="0" t="s">
        <v>981</v>
      </c>
      <c r="B10" s="0" t="str">
        <f aca="false">IF('Provider Profile'!B12="","",'Provider Profile'!B12)</f>
        <v>Netherlands</v>
      </c>
      <c r="C10" s="0" t="s">
        <v>970</v>
      </c>
      <c r="D10" s="0" t="s">
        <v>57</v>
      </c>
    </row>
    <row r="11" customFormat="false" ht="15" hidden="false" customHeight="false" outlineLevel="0" collapsed="false">
      <c r="A11" s="0" t="s">
        <v>982</v>
      </c>
      <c r="B11" s="0" t="str">
        <f aca="false">IF('Provider Profile'!B13="","",'Provider Profile'!B13)</f>
        <v>EFC-2026-114</v>
      </c>
      <c r="C11" s="0" t="s">
        <v>970</v>
      </c>
      <c r="D11" s="0" t="s">
        <v>59</v>
      </c>
    </row>
    <row r="12" customFormat="false" ht="15" hidden="false" customHeight="false" outlineLevel="0" collapsed="false">
      <c r="A12" s="0" t="s">
        <v>983</v>
      </c>
      <c r="B12" s="74" t="n">
        <f aca="false">IF('Provider Profile'!B14="","",'Provider Profile'!B14)</f>
        <v>46477</v>
      </c>
      <c r="C12" s="73" t="s">
        <v>984</v>
      </c>
      <c r="D12" s="73" t="s">
        <v>61</v>
      </c>
    </row>
    <row r="13" customFormat="false" ht="15" hidden="false" customHeight="false" outlineLevel="0" collapsed="false">
      <c r="A13" s="0" t="s">
        <v>985</v>
      </c>
      <c r="B13" s="74" t="n">
        <f aca="false">IF('Provider Profile'!B15="","",'Provider Profile'!B15)</f>
        <v>46328</v>
      </c>
      <c r="C13" s="73" t="s">
        <v>984</v>
      </c>
      <c r="D13" s="73" t="s">
        <v>63</v>
      </c>
    </row>
    <row r="14" customFormat="false" ht="15" hidden="false" customHeight="false" outlineLevel="0" collapsed="false">
      <c r="A14" s="0" t="s">
        <v>986</v>
      </c>
      <c r="B14" s="0" t="str">
        <f aca="false">IF('Provider Profile'!B16="","",'Provider Profile'!B16)</f>
        <v>EUR</v>
      </c>
      <c r="C14" s="0" t="s">
        <v>970</v>
      </c>
      <c r="D14" s="0" t="s">
        <v>64</v>
      </c>
    </row>
    <row r="15" customFormat="false" ht="15" hidden="false" customHeight="false" outlineLevel="0" collapsed="false">
      <c r="A15" s="0" t="s">
        <v>987</v>
      </c>
      <c r="B15" s="0" t="str">
        <f aca="false">IF('Provider Profile'!B21="","",'Provider Profile'!B21)</f>
        <v>Yes</v>
      </c>
      <c r="C15" s="0" t="s">
        <v>988</v>
      </c>
      <c r="D15" s="0" t="s">
        <v>70</v>
      </c>
    </row>
    <row r="16" customFormat="false" ht="15" hidden="false" customHeight="false" outlineLevel="0" collapsed="false">
      <c r="A16" s="0" t="s">
        <v>989</v>
      </c>
      <c r="B16" s="0" t="str">
        <f aca="false">IF('Provider Profile'!B22="","",'Provider Profile'!B22)</f>
        <v>No</v>
      </c>
      <c r="C16" s="0" t="s">
        <v>988</v>
      </c>
      <c r="D16" s="0" t="s">
        <v>72</v>
      </c>
    </row>
    <row r="17" customFormat="false" ht="15" hidden="false" customHeight="false" outlineLevel="0" collapsed="false">
      <c r="A17" s="0" t="s">
        <v>990</v>
      </c>
      <c r="B17" s="0" t="str">
        <f aca="false">IF('Provider Profile'!B23="","",'Provider Profile'!B23)</f>
        <v>No</v>
      </c>
      <c r="C17" s="0" t="s">
        <v>988</v>
      </c>
      <c r="D17" s="0" t="s">
        <v>74</v>
      </c>
    </row>
    <row r="18" customFormat="false" ht="15" hidden="false" customHeight="false" outlineLevel="0" collapsed="false">
      <c r="A18" s="0" t="s">
        <v>991</v>
      </c>
      <c r="B18" s="0" t="str">
        <f aca="false">IF('Provider Profile'!B24="","",'Provider Profile'!B24)</f>
        <v>No</v>
      </c>
      <c r="C18" s="0" t="s">
        <v>988</v>
      </c>
      <c r="D18" s="0" t="s">
        <v>75</v>
      </c>
    </row>
    <row r="19" customFormat="false" ht="15" hidden="false" customHeight="false" outlineLevel="0" collapsed="false">
      <c r="A19" s="0" t="s">
        <v>992</v>
      </c>
      <c r="B19" s="0" t="str">
        <f aca="false">IF('Provider Profile'!B25="","",'Provider Profile'!B25)</f>
        <v>Yes</v>
      </c>
      <c r="C19" s="0" t="s">
        <v>988</v>
      </c>
      <c r="D19" s="0" t="s">
        <v>76</v>
      </c>
    </row>
    <row r="20" customFormat="false" ht="15" hidden="false" customHeight="false" outlineLevel="0" collapsed="false">
      <c r="A20" s="0" t="s">
        <v>993</v>
      </c>
      <c r="B20" s="0" t="str">
        <f aca="false">IF('Provider Profile'!B26="","",'Provider Profile'!B26)</f>
        <v>No</v>
      </c>
      <c r="C20" s="0" t="s">
        <v>988</v>
      </c>
      <c r="D20" s="0" t="s">
        <v>77</v>
      </c>
    </row>
    <row r="21" customFormat="false" ht="15" hidden="false" customHeight="false" outlineLevel="0" collapsed="false">
      <c r="A21" s="0" t="s">
        <v>994</v>
      </c>
      <c r="B21" s="0" t="str">
        <f aca="false">IF('Provider Profile'!B27="","",'Provider Profile'!B27)</f>
        <v>No</v>
      </c>
      <c r="C21" s="0" t="s">
        <v>988</v>
      </c>
      <c r="D21" s="0" t="s">
        <v>78</v>
      </c>
    </row>
    <row r="22" customFormat="false" ht="15" hidden="false" customHeight="false" outlineLevel="0" collapsed="false">
      <c r="A22" s="0" t="s">
        <v>995</v>
      </c>
      <c r="B22" s="0" t="str">
        <f aca="false">IF('Provider Profile'!B31="","",'Provider Profile'!B31)</f>
        <v>No</v>
      </c>
      <c r="C22" s="0" t="s">
        <v>988</v>
      </c>
      <c r="D22" s="0" t="s">
        <v>81</v>
      </c>
    </row>
    <row r="23" customFormat="false" ht="15" hidden="false" customHeight="false" outlineLevel="0" collapsed="false">
      <c r="A23" s="0" t="s">
        <v>996</v>
      </c>
      <c r="B23" s="0" t="str">
        <f aca="false">IF('Provider Profile'!B32="","",'Provider Profile'!B32)</f>
        <v>No</v>
      </c>
      <c r="C23" s="0" t="s">
        <v>988</v>
      </c>
      <c r="D23" s="0" t="s">
        <v>82</v>
      </c>
    </row>
    <row r="24" customFormat="false" ht="15" hidden="false" customHeight="false" outlineLevel="0" collapsed="false">
      <c r="A24" s="0" t="s">
        <v>997</v>
      </c>
      <c r="B24" s="0" t="str">
        <f aca="false">IF('Provider Profile'!B33="","",'Provider Profile'!B33)</f>
        <v>No</v>
      </c>
      <c r="C24" s="0" t="s">
        <v>988</v>
      </c>
      <c r="D24" s="0" t="s">
        <v>83</v>
      </c>
    </row>
    <row r="25" customFormat="false" ht="15" hidden="false" customHeight="false" outlineLevel="0" collapsed="false">
      <c r="A25" s="0" t="s">
        <v>998</v>
      </c>
      <c r="B25" s="0" t="str">
        <f aca="false">IF('Provider Profile'!B34="","",'Provider Profile'!B34)</f>
        <v>No</v>
      </c>
      <c r="C25" s="0" t="s">
        <v>988</v>
      </c>
      <c r="D25" s="0" t="s">
        <v>84</v>
      </c>
    </row>
    <row r="26" customFormat="false" ht="15" hidden="false" customHeight="false" outlineLevel="0" collapsed="false">
      <c r="A26" s="0" t="s">
        <v>999</v>
      </c>
      <c r="B26" s="0" t="str">
        <f aca="false">IF('Provider Profile'!B35="","",'Provider Profile'!B35)</f>
        <v>No</v>
      </c>
      <c r="C26" s="0" t="s">
        <v>988</v>
      </c>
      <c r="D26" s="0" t="s">
        <v>85</v>
      </c>
    </row>
    <row r="27" customFormat="false" ht="15" hidden="false" customHeight="false" outlineLevel="0" collapsed="false">
      <c r="A27" s="0" t="s">
        <v>1000</v>
      </c>
      <c r="B27" s="0" t="str">
        <f aca="false">IF('Provider Profile'!B36="","",'Provider Profile'!B36)</f>
        <v>No</v>
      </c>
      <c r="C27" s="0" t="s">
        <v>988</v>
      </c>
      <c r="D27" s="0" t="s">
        <v>86</v>
      </c>
    </row>
    <row r="28" customFormat="false" ht="15" hidden="false" customHeight="false" outlineLevel="0" collapsed="false">
      <c r="A28" s="0" t="s">
        <v>1001</v>
      </c>
      <c r="B28" s="0" t="str">
        <f aca="false">IF('Provider Profile'!B37="","",'Provider Profile'!B37)</f>
        <v>Yes</v>
      </c>
      <c r="C28" s="0" t="s">
        <v>988</v>
      </c>
      <c r="D28" s="0" t="s">
        <v>87</v>
      </c>
    </row>
    <row r="29" customFormat="false" ht="15" hidden="false" customHeight="false" outlineLevel="0" collapsed="false">
      <c r="A29" s="0" t="s">
        <v>1002</v>
      </c>
      <c r="B29" s="0" t="str">
        <f aca="false">IF('Provider Profile'!B38="","",'Provider Profile'!B38)</f>
        <v>Yes</v>
      </c>
      <c r="C29" s="0" t="s">
        <v>988</v>
      </c>
      <c r="D29" s="0" t="s">
        <v>88</v>
      </c>
    </row>
    <row r="30" customFormat="false" ht="15" hidden="false" customHeight="false" outlineLevel="0" collapsed="false">
      <c r="A30" s="0" t="s">
        <v>1003</v>
      </c>
      <c r="B30" s="0" t="str">
        <f aca="false">IF('Provider Profile'!B39="","",'Provider Profile'!B39)</f>
        <v>No</v>
      </c>
      <c r="C30" s="0" t="s">
        <v>988</v>
      </c>
      <c r="D30" s="0" t="s">
        <v>89</v>
      </c>
    </row>
    <row r="31" customFormat="false" ht="15" hidden="false" customHeight="false" outlineLevel="0" collapsed="false">
      <c r="A31" s="0" t="s">
        <v>1004</v>
      </c>
      <c r="B31" s="0" t="str">
        <f aca="false">IF('Provider Profile'!B40="","",'Provider Profile'!B40)</f>
        <v>No</v>
      </c>
      <c r="C31" s="0" t="s">
        <v>988</v>
      </c>
      <c r="D31" s="0" t="s">
        <v>90</v>
      </c>
    </row>
    <row r="32" customFormat="false" ht="15" hidden="false" customHeight="false" outlineLevel="0" collapsed="false">
      <c r="A32" s="0" t="s">
        <v>1005</v>
      </c>
      <c r="B32" s="0" t="str">
        <f aca="false">IF('Provider Profile'!B41="","",'Provider Profile'!B41)</f>
        <v>No</v>
      </c>
      <c r="C32" s="0" t="s">
        <v>988</v>
      </c>
      <c r="D32" s="0" t="s">
        <v>91</v>
      </c>
    </row>
    <row r="33" customFormat="false" ht="15" hidden="false" customHeight="false" outlineLevel="0" collapsed="false">
      <c r="A33" s="0" t="s">
        <v>1006</v>
      </c>
      <c r="B33" s="0" t="str">
        <f aca="false">IF('Provider Profile'!B42="","",'Provider Profile'!B42)</f>
        <v>Yes</v>
      </c>
      <c r="C33" s="0" t="s">
        <v>988</v>
      </c>
      <c r="D33" s="0" t="s">
        <v>92</v>
      </c>
    </row>
    <row r="34" customFormat="false" ht="15" hidden="false" customHeight="false" outlineLevel="0" collapsed="false">
      <c r="A34" s="0" t="s">
        <v>1007</v>
      </c>
      <c r="B34" s="0" t="str">
        <f aca="false">IF('Provider Profile'!B43="","",'Provider Profile'!B43)</f>
        <v>Yes</v>
      </c>
      <c r="C34" s="0" t="s">
        <v>988</v>
      </c>
      <c r="D34" s="0" t="s">
        <v>93</v>
      </c>
    </row>
    <row r="35" customFormat="false" ht="15" hidden="false" customHeight="false" outlineLevel="0" collapsed="false">
      <c r="A35" s="0" t="s">
        <v>1008</v>
      </c>
      <c r="B35" s="0" t="str">
        <f aca="false">IF('Provider Profile'!B44="","",'Provider Profile'!B44)</f>
        <v>Yes</v>
      </c>
      <c r="C35" s="0" t="s">
        <v>988</v>
      </c>
      <c r="D35" s="0" t="s">
        <v>94</v>
      </c>
    </row>
    <row r="36" customFormat="false" ht="15" hidden="false" customHeight="false" outlineLevel="0" collapsed="false">
      <c r="A36" s="0" t="s">
        <v>1009</v>
      </c>
      <c r="B36" s="0" t="str">
        <f aca="false">IF('Provider Profile'!B45="","",'Provider Profile'!B45)</f>
        <v>Yes</v>
      </c>
      <c r="C36" s="0" t="s">
        <v>988</v>
      </c>
      <c r="D36" s="0" t="s">
        <v>95</v>
      </c>
    </row>
    <row r="37" customFormat="false" ht="15" hidden="false" customHeight="false" outlineLevel="0" collapsed="false">
      <c r="A37" s="0" t="s">
        <v>1010</v>
      </c>
      <c r="B37" s="0" t="str">
        <f aca="false">IF('Provider Profile'!B46="","",'Provider Profile'!B46)</f>
        <v>Yes</v>
      </c>
      <c r="C37" s="0" t="s">
        <v>988</v>
      </c>
      <c r="D37" s="0" t="s">
        <v>96</v>
      </c>
    </row>
    <row r="38" customFormat="false" ht="15" hidden="false" customHeight="false" outlineLevel="0" collapsed="false">
      <c r="A38" s="0" t="s">
        <v>1011</v>
      </c>
      <c r="B38" s="0" t="str">
        <f aca="false">IF('Provider Profile'!B47="","",'Provider Profile'!B47)</f>
        <v>Yes</v>
      </c>
      <c r="C38" s="0" t="s">
        <v>988</v>
      </c>
      <c r="D38" s="0" t="s">
        <v>97</v>
      </c>
    </row>
    <row r="39" customFormat="false" ht="15" hidden="false" customHeight="false" outlineLevel="0" collapsed="false">
      <c r="A39" s="0" t="s">
        <v>1012</v>
      </c>
      <c r="B39" s="0" t="str">
        <f aca="false">IF('Provider Profile'!B48="","",'Provider Profile'!B48)</f>
        <v>Yes</v>
      </c>
      <c r="C39" s="0" t="s">
        <v>988</v>
      </c>
      <c r="D39" s="0" t="s">
        <v>98</v>
      </c>
    </row>
    <row r="40" customFormat="false" ht="15" hidden="false" customHeight="false" outlineLevel="0" collapsed="false">
      <c r="A40" s="0" t="s">
        <v>1013</v>
      </c>
      <c r="B40" s="0" t="str">
        <f aca="false">IF('Provider Profile'!B49="","",'Provider Profile'!B49)</f>
        <v>Yes</v>
      </c>
      <c r="C40" s="0" t="s">
        <v>988</v>
      </c>
      <c r="D40" s="0" t="s">
        <v>99</v>
      </c>
    </row>
    <row r="41" customFormat="false" ht="15" hidden="false" customHeight="false" outlineLevel="0" collapsed="false">
      <c r="A41" s="0" t="s">
        <v>1014</v>
      </c>
      <c r="B41" s="0" t="str">
        <f aca="false">IF('Provider Profile'!D53="","",'Provider Profile'!D53)</f>
        <v>Not served</v>
      </c>
      <c r="C41" s="0" t="s">
        <v>970</v>
      </c>
      <c r="D41" s="0" t="s">
        <v>1015</v>
      </c>
    </row>
    <row r="42" customFormat="false" ht="15" hidden="false" customHeight="false" outlineLevel="0" collapsed="false">
      <c r="A42" s="0" t="s">
        <v>1016</v>
      </c>
      <c r="B42" s="0" t="str">
        <f aca="false">IF('Provider Profile'!E53="","",'Provider Profile'!E53)</f>
        <v/>
      </c>
      <c r="C42" s="0" t="s">
        <v>970</v>
      </c>
      <c r="D42" s="0" t="s">
        <v>1017</v>
      </c>
    </row>
    <row r="43" customFormat="false" ht="15" hidden="false" customHeight="false" outlineLevel="0" collapsed="false">
      <c r="A43" s="0" t="s">
        <v>1018</v>
      </c>
      <c r="B43" s="0" t="str">
        <f aca="false">IF('Provider Profile'!F53="","",'Provider Profile'!F53)</f>
        <v>Yes</v>
      </c>
      <c r="C43" s="0" t="s">
        <v>988</v>
      </c>
      <c r="D43" s="0" t="s">
        <v>1019</v>
      </c>
    </row>
    <row r="44" customFormat="false" ht="15" hidden="false" customHeight="false" outlineLevel="0" collapsed="false">
      <c r="A44" s="0" t="s">
        <v>1020</v>
      </c>
      <c r="B44" s="0" t="str">
        <f aca="false">IF('Provider Profile'!G53="","",'Provider Profile'!G53)</f>
        <v>Yes</v>
      </c>
      <c r="C44" s="0" t="s">
        <v>988</v>
      </c>
      <c r="D44" s="0" t="s">
        <v>1021</v>
      </c>
    </row>
    <row r="45" customFormat="false" ht="15" hidden="false" customHeight="false" outlineLevel="0" collapsed="false">
      <c r="A45" s="0" t="s">
        <v>1022</v>
      </c>
      <c r="B45" s="0" t="str">
        <f aca="false">IF('Provider Profile'!D54="","",'Provider Profile'!D54)</f>
        <v>Agent</v>
      </c>
      <c r="C45" s="0" t="s">
        <v>970</v>
      </c>
      <c r="D45" s="0" t="s">
        <v>1023</v>
      </c>
    </row>
    <row r="46" customFormat="false" ht="15" hidden="false" customHeight="false" outlineLevel="0" collapsed="false">
      <c r="A46" s="0" t="s">
        <v>1024</v>
      </c>
      <c r="B46" s="0" t="str">
        <f aca="false">IF('Provider Profile'!E54="","",'Provider Profile'!E54)</f>
        <v/>
      </c>
      <c r="C46" s="0" t="s">
        <v>970</v>
      </c>
      <c r="D46" s="0" t="s">
        <v>1025</v>
      </c>
    </row>
    <row r="47" customFormat="false" ht="15" hidden="false" customHeight="false" outlineLevel="0" collapsed="false">
      <c r="A47" s="0" t="s">
        <v>1026</v>
      </c>
      <c r="B47" s="0" t="str">
        <f aca="false">IF('Provider Profile'!F54="","",'Provider Profile'!F54)</f>
        <v>No</v>
      </c>
      <c r="C47" s="0" t="s">
        <v>988</v>
      </c>
      <c r="D47" s="0" t="s">
        <v>1027</v>
      </c>
    </row>
    <row r="48" customFormat="false" ht="15" hidden="false" customHeight="false" outlineLevel="0" collapsed="false">
      <c r="A48" s="0" t="s">
        <v>1028</v>
      </c>
      <c r="B48" s="0" t="str">
        <f aca="false">IF('Provider Profile'!G54="","",'Provider Profile'!G54)</f>
        <v>Yes</v>
      </c>
      <c r="C48" s="0" t="s">
        <v>988</v>
      </c>
      <c r="D48" s="0" t="s">
        <v>1029</v>
      </c>
    </row>
    <row r="49" customFormat="false" ht="15" hidden="false" customHeight="false" outlineLevel="0" collapsed="false">
      <c r="A49" s="0" t="s">
        <v>1030</v>
      </c>
      <c r="B49" s="0" t="str">
        <f aca="false">IF('Provider Profile'!D55="","",'Provider Profile'!D55)</f>
        <v>Agent</v>
      </c>
      <c r="C49" s="0" t="s">
        <v>970</v>
      </c>
      <c r="D49" s="0" t="s">
        <v>1031</v>
      </c>
    </row>
    <row r="50" customFormat="false" ht="15" hidden="false" customHeight="false" outlineLevel="0" collapsed="false">
      <c r="A50" s="0" t="s">
        <v>1032</v>
      </c>
      <c r="B50" s="0" t="str">
        <f aca="false">IF('Provider Profile'!E55="","",'Provider Profile'!E55)</f>
        <v/>
      </c>
      <c r="C50" s="0" t="s">
        <v>970</v>
      </c>
      <c r="D50" s="0" t="s">
        <v>1033</v>
      </c>
    </row>
    <row r="51" customFormat="false" ht="15" hidden="false" customHeight="false" outlineLevel="0" collapsed="false">
      <c r="A51" s="0" t="s">
        <v>1034</v>
      </c>
      <c r="B51" s="0" t="str">
        <f aca="false">IF('Provider Profile'!F55="","",'Provider Profile'!F55)</f>
        <v>Yes</v>
      </c>
      <c r="C51" s="0" t="s">
        <v>988</v>
      </c>
      <c r="D51" s="0" t="s">
        <v>1035</v>
      </c>
    </row>
    <row r="52" customFormat="false" ht="15" hidden="false" customHeight="false" outlineLevel="0" collapsed="false">
      <c r="A52" s="0" t="s">
        <v>1036</v>
      </c>
      <c r="B52" s="0" t="str">
        <f aca="false">IF('Provider Profile'!G55="","",'Provider Profile'!G55)</f>
        <v>Yes</v>
      </c>
      <c r="C52" s="0" t="s">
        <v>988</v>
      </c>
      <c r="D52" s="0" t="s">
        <v>1037</v>
      </c>
    </row>
    <row r="53" customFormat="false" ht="15" hidden="false" customHeight="false" outlineLevel="0" collapsed="false">
      <c r="A53" s="0" t="s">
        <v>1038</v>
      </c>
      <c r="B53" s="0" t="str">
        <f aca="false">IF('Provider Profile'!D56="","",'Provider Profile'!D56)</f>
        <v>Agent</v>
      </c>
      <c r="C53" s="0" t="s">
        <v>970</v>
      </c>
      <c r="D53" s="0" t="s">
        <v>1039</v>
      </c>
    </row>
    <row r="54" customFormat="false" ht="15" hidden="false" customHeight="false" outlineLevel="0" collapsed="false">
      <c r="A54" s="0" t="s">
        <v>1040</v>
      </c>
      <c r="B54" s="0" t="str">
        <f aca="false">IF('Provider Profile'!E56="","",'Provider Profile'!E56)</f>
        <v/>
      </c>
      <c r="C54" s="0" t="s">
        <v>970</v>
      </c>
      <c r="D54" s="0" t="s">
        <v>1041</v>
      </c>
    </row>
    <row r="55" customFormat="false" ht="15" hidden="false" customHeight="false" outlineLevel="0" collapsed="false">
      <c r="A55" s="0" t="s">
        <v>1042</v>
      </c>
      <c r="B55" s="0" t="str">
        <f aca="false">IF('Provider Profile'!F56="","",'Provider Profile'!F56)</f>
        <v>Yes</v>
      </c>
      <c r="C55" s="0" t="s">
        <v>988</v>
      </c>
      <c r="D55" s="0" t="s">
        <v>1043</v>
      </c>
    </row>
    <row r="56" customFormat="false" ht="15" hidden="false" customHeight="false" outlineLevel="0" collapsed="false">
      <c r="A56" s="0" t="s">
        <v>1044</v>
      </c>
      <c r="B56" s="0" t="str">
        <f aca="false">IF('Provider Profile'!G56="","",'Provider Profile'!G56)</f>
        <v>Yes</v>
      </c>
      <c r="C56" s="0" t="s">
        <v>988</v>
      </c>
      <c r="D56" s="0" t="s">
        <v>1045</v>
      </c>
    </row>
    <row r="57" customFormat="false" ht="15" hidden="false" customHeight="false" outlineLevel="0" collapsed="false">
      <c r="A57" s="0" t="s">
        <v>1046</v>
      </c>
      <c r="B57" s="0" t="str">
        <f aca="false">IF('Provider Profile'!D57="","",'Provider Profile'!D57)</f>
        <v>Agent</v>
      </c>
      <c r="C57" s="0" t="s">
        <v>970</v>
      </c>
      <c r="D57" s="0" t="s">
        <v>1047</v>
      </c>
    </row>
    <row r="58" customFormat="false" ht="15" hidden="false" customHeight="false" outlineLevel="0" collapsed="false">
      <c r="A58" s="0" t="s">
        <v>1048</v>
      </c>
      <c r="B58" s="0" t="str">
        <f aca="false">IF('Provider Profile'!E57="","",'Provider Profile'!E57)</f>
        <v/>
      </c>
      <c r="C58" s="0" t="s">
        <v>970</v>
      </c>
      <c r="D58" s="0" t="s">
        <v>1049</v>
      </c>
    </row>
    <row r="59" customFormat="false" ht="15" hidden="false" customHeight="false" outlineLevel="0" collapsed="false">
      <c r="A59" s="0" t="s">
        <v>1050</v>
      </c>
      <c r="B59" s="0" t="str">
        <f aca="false">IF('Provider Profile'!F57="","",'Provider Profile'!F57)</f>
        <v>No</v>
      </c>
      <c r="C59" s="0" t="s">
        <v>988</v>
      </c>
      <c r="D59" s="0" t="s">
        <v>1051</v>
      </c>
    </row>
    <row r="60" customFormat="false" ht="15" hidden="false" customHeight="false" outlineLevel="0" collapsed="false">
      <c r="A60" s="0" t="s">
        <v>1052</v>
      </c>
      <c r="B60" s="0" t="str">
        <f aca="false">IF('Provider Profile'!G57="","",'Provider Profile'!G57)</f>
        <v>No</v>
      </c>
      <c r="C60" s="0" t="s">
        <v>988</v>
      </c>
      <c r="D60" s="0" t="s">
        <v>1053</v>
      </c>
    </row>
    <row r="61" customFormat="false" ht="15" hidden="false" customHeight="false" outlineLevel="0" collapsed="false">
      <c r="A61" s="0" t="s">
        <v>1054</v>
      </c>
      <c r="B61" s="0" t="str">
        <f aca="false">IF('Provider Profile'!D58="","",'Provider Profile'!D58)</f>
        <v>Agent</v>
      </c>
      <c r="C61" s="0" t="s">
        <v>970</v>
      </c>
      <c r="D61" s="0" t="s">
        <v>1055</v>
      </c>
    </row>
    <row r="62" customFormat="false" ht="15" hidden="false" customHeight="false" outlineLevel="0" collapsed="false">
      <c r="A62" s="0" t="s">
        <v>1056</v>
      </c>
      <c r="B62" s="0" t="str">
        <f aca="false">IF('Provider Profile'!E58="","",'Provider Profile'!E58)</f>
        <v/>
      </c>
      <c r="C62" s="0" t="s">
        <v>970</v>
      </c>
      <c r="D62" s="0" t="s">
        <v>1057</v>
      </c>
    </row>
    <row r="63" customFormat="false" ht="15" hidden="false" customHeight="false" outlineLevel="0" collapsed="false">
      <c r="A63" s="0" t="s">
        <v>1058</v>
      </c>
      <c r="B63" s="0" t="str">
        <f aca="false">IF('Provider Profile'!F58="","",'Provider Profile'!F58)</f>
        <v>Yes</v>
      </c>
      <c r="C63" s="0" t="s">
        <v>988</v>
      </c>
      <c r="D63" s="0" t="s">
        <v>1059</v>
      </c>
    </row>
    <row r="64" customFormat="false" ht="15" hidden="false" customHeight="false" outlineLevel="0" collapsed="false">
      <c r="A64" s="0" t="s">
        <v>1060</v>
      </c>
      <c r="B64" s="0" t="str">
        <f aca="false">IF('Provider Profile'!G58="","",'Provider Profile'!G58)</f>
        <v>Yes</v>
      </c>
      <c r="C64" s="0" t="s">
        <v>988</v>
      </c>
      <c r="D64" s="0" t="s">
        <v>1061</v>
      </c>
    </row>
    <row r="65" customFormat="false" ht="15" hidden="false" customHeight="false" outlineLevel="0" collapsed="false">
      <c r="A65" s="0" t="s">
        <v>1062</v>
      </c>
      <c r="B65" s="0" t="str">
        <f aca="false">IF('Provider Profile'!D59="","",'Provider Profile'!D59)</f>
        <v>Agent</v>
      </c>
      <c r="C65" s="0" t="s">
        <v>970</v>
      </c>
      <c r="D65" s="0" t="s">
        <v>1063</v>
      </c>
    </row>
    <row r="66" customFormat="false" ht="15" hidden="false" customHeight="false" outlineLevel="0" collapsed="false">
      <c r="A66" s="0" t="s">
        <v>1064</v>
      </c>
      <c r="B66" s="0" t="str">
        <f aca="false">IF('Provider Profile'!E59="","",'Provider Profile'!E59)</f>
        <v/>
      </c>
      <c r="C66" s="0" t="s">
        <v>970</v>
      </c>
      <c r="D66" s="0" t="s">
        <v>1065</v>
      </c>
    </row>
    <row r="67" customFormat="false" ht="15" hidden="false" customHeight="false" outlineLevel="0" collapsed="false">
      <c r="A67" s="0" t="s">
        <v>1066</v>
      </c>
      <c r="B67" s="0" t="str">
        <f aca="false">IF('Provider Profile'!F59="","",'Provider Profile'!F59)</f>
        <v>No</v>
      </c>
      <c r="C67" s="0" t="s">
        <v>988</v>
      </c>
      <c r="D67" s="0" t="s">
        <v>1067</v>
      </c>
    </row>
    <row r="68" customFormat="false" ht="15" hidden="false" customHeight="false" outlineLevel="0" collapsed="false">
      <c r="A68" s="0" t="s">
        <v>1068</v>
      </c>
      <c r="B68" s="0" t="str">
        <f aca="false">IF('Provider Profile'!G59="","",'Provider Profile'!G59)</f>
        <v>No</v>
      </c>
      <c r="C68" s="0" t="s">
        <v>988</v>
      </c>
      <c r="D68" s="0" t="s">
        <v>1069</v>
      </c>
    </row>
    <row r="69" customFormat="false" ht="15" hidden="false" customHeight="false" outlineLevel="0" collapsed="false">
      <c r="A69" s="0" t="s">
        <v>1070</v>
      </c>
      <c r="B69" s="0" t="str">
        <f aca="false">IF('Provider Profile'!D60="","",'Provider Profile'!D60)</f>
        <v>Own entity</v>
      </c>
      <c r="C69" s="0" t="s">
        <v>970</v>
      </c>
      <c r="D69" s="0" t="s">
        <v>1071</v>
      </c>
    </row>
    <row r="70" customFormat="false" ht="15" hidden="false" customHeight="false" outlineLevel="0" collapsed="false">
      <c r="A70" s="0" t="s">
        <v>1072</v>
      </c>
      <c r="B70" s="0" t="str">
        <f aca="false">IF('Provider Profile'!E60="","",'Provider Profile'!E60)</f>
        <v/>
      </c>
      <c r="C70" s="0" t="s">
        <v>970</v>
      </c>
      <c r="D70" s="0" t="s">
        <v>1073</v>
      </c>
    </row>
    <row r="71" customFormat="false" ht="15" hidden="false" customHeight="false" outlineLevel="0" collapsed="false">
      <c r="A71" s="0" t="s">
        <v>1074</v>
      </c>
      <c r="B71" s="0" t="str">
        <f aca="false">IF('Provider Profile'!F60="","",'Provider Profile'!F60)</f>
        <v>No</v>
      </c>
      <c r="C71" s="0" t="s">
        <v>988</v>
      </c>
      <c r="D71" s="0" t="s">
        <v>1075</v>
      </c>
    </row>
    <row r="72" customFormat="false" ht="15" hidden="false" customHeight="false" outlineLevel="0" collapsed="false">
      <c r="A72" s="0" t="s">
        <v>1076</v>
      </c>
      <c r="B72" s="0" t="str">
        <f aca="false">IF('Provider Profile'!G60="","",'Provider Profile'!G60)</f>
        <v>No</v>
      </c>
      <c r="C72" s="0" t="s">
        <v>988</v>
      </c>
      <c r="D72" s="0" t="s">
        <v>1077</v>
      </c>
    </row>
    <row r="73" customFormat="false" ht="15" hidden="false" customHeight="false" outlineLevel="0" collapsed="false">
      <c r="A73" s="0" t="s">
        <v>1078</v>
      </c>
      <c r="B73" s="0" t="str">
        <f aca="false">IF('Provider Profile'!D61="","",'Provider Profile'!D61)</f>
        <v>Agent</v>
      </c>
      <c r="C73" s="0" t="s">
        <v>970</v>
      </c>
      <c r="D73" s="0" t="s">
        <v>1079</v>
      </c>
    </row>
    <row r="74" customFormat="false" ht="15" hidden="false" customHeight="false" outlineLevel="0" collapsed="false">
      <c r="A74" s="0" t="s">
        <v>1080</v>
      </c>
      <c r="B74" s="0" t="str">
        <f aca="false">IF('Provider Profile'!E61="","",'Provider Profile'!E61)</f>
        <v/>
      </c>
      <c r="C74" s="0" t="s">
        <v>970</v>
      </c>
      <c r="D74" s="0" t="s">
        <v>1081</v>
      </c>
    </row>
    <row r="75" customFormat="false" ht="15" hidden="false" customHeight="false" outlineLevel="0" collapsed="false">
      <c r="A75" s="0" t="s">
        <v>1082</v>
      </c>
      <c r="B75" s="0" t="str">
        <f aca="false">IF('Provider Profile'!F61="","",'Provider Profile'!F61)</f>
        <v>Yes</v>
      </c>
      <c r="C75" s="0" t="s">
        <v>988</v>
      </c>
      <c r="D75" s="0" t="s">
        <v>1083</v>
      </c>
    </row>
    <row r="76" customFormat="false" ht="15" hidden="false" customHeight="false" outlineLevel="0" collapsed="false">
      <c r="A76" s="0" t="s">
        <v>1084</v>
      </c>
      <c r="B76" s="0" t="str">
        <f aca="false">IF('Provider Profile'!G61="","",'Provider Profile'!G61)</f>
        <v>No</v>
      </c>
      <c r="C76" s="0" t="s">
        <v>988</v>
      </c>
      <c r="D76" s="0" t="s">
        <v>1085</v>
      </c>
    </row>
    <row r="77" customFormat="false" ht="15" hidden="false" customHeight="false" outlineLevel="0" collapsed="false">
      <c r="A77" s="0" t="s">
        <v>1086</v>
      </c>
      <c r="B77" s="0" t="str">
        <f aca="false">IF(AND('Provider Profile'!D57&lt;&gt;"",'Provider Profile'!D57&lt;&gt;"Not served")*1&gt;0,"Yes","No")</f>
        <v>Yes</v>
      </c>
      <c r="C77" s="0" t="s">
        <v>988</v>
      </c>
      <c r="D77" s="0" t="s">
        <v>1087</v>
      </c>
    </row>
    <row r="78" customFormat="false" ht="15" hidden="false" customHeight="false" outlineLevel="0" collapsed="false">
      <c r="A78" s="0" t="s">
        <v>1088</v>
      </c>
      <c r="B78" s="0" t="str">
        <f aca="false">IF(AND('Provider Profile'!D58&lt;&gt;"",'Provider Profile'!D58&lt;&gt;"Not served")*1+AND('Provider Profile'!D59&lt;&gt;"",'Provider Profile'!D59&lt;&gt;"Not served")*1+AND('Provider Profile'!D60&lt;&gt;"",'Provider Profile'!D60&lt;&gt;"Not served")*1+AND('Provider Profile'!D61&lt;&gt;"",'Provider Profile'!D61&lt;&gt;"Not served")*1&gt;0,"Yes","No")</f>
        <v>Yes</v>
      </c>
      <c r="C78" s="0" t="s">
        <v>988</v>
      </c>
      <c r="D78" s="0" t="s">
        <v>1089</v>
      </c>
    </row>
    <row r="79" customFormat="false" ht="15" hidden="false" customHeight="false" outlineLevel="0" collapsed="false">
      <c r="A79" s="0" t="s">
        <v>1090</v>
      </c>
      <c r="B79" s="0" t="str">
        <f aca="false">IF(AND('Provider Profile'!D53&lt;&gt;"",'Provider Profile'!D53&lt;&gt;"Not served")*1+AND('Provider Profile'!D54&lt;&gt;"",'Provider Profile'!D54&lt;&gt;"Not served")*1+AND('Provider Profile'!D55&lt;&gt;"",'Provider Profile'!D55&lt;&gt;"Not served")*1+AND('Provider Profile'!D56&lt;&gt;"",'Provider Profile'!D56&lt;&gt;"Not served")*1&gt;0,"Yes","No")</f>
        <v>Yes</v>
      </c>
      <c r="C79" s="0" t="s">
        <v>988</v>
      </c>
      <c r="D79" s="0" t="s">
        <v>1091</v>
      </c>
    </row>
    <row r="80" customFormat="false" ht="15" hidden="false" customHeight="false" outlineLevel="0" collapsed="false">
      <c r="A80" s="0" t="s">
        <v>1092</v>
      </c>
      <c r="B80" s="0" t="str">
        <f aca="false">IF('Provider Profile'!B65="","",'Provider Profile'!B65)</f>
        <v>Yes</v>
      </c>
      <c r="C80" s="0" t="s">
        <v>988</v>
      </c>
      <c r="D80" s="0" t="s">
        <v>133</v>
      </c>
    </row>
    <row r="81" customFormat="false" ht="15" hidden="false" customHeight="false" outlineLevel="0" collapsed="false">
      <c r="A81" s="0" t="s">
        <v>1093</v>
      </c>
      <c r="B81" s="0" t="str">
        <f aca="false">IF('Provider Profile'!B66="","",'Provider Profile'!B66)</f>
        <v>No</v>
      </c>
      <c r="C81" s="0" t="s">
        <v>988</v>
      </c>
      <c r="D81" s="0" t="s">
        <v>134</v>
      </c>
    </row>
    <row r="82" customFormat="false" ht="15" hidden="false" customHeight="false" outlineLevel="0" collapsed="false">
      <c r="A82" s="0" t="s">
        <v>1094</v>
      </c>
      <c r="B82" s="0" t="str">
        <f aca="false">IF('Provider Profile'!B67="","",'Provider Profile'!B67)</f>
        <v>No</v>
      </c>
      <c r="C82" s="0" t="s">
        <v>988</v>
      </c>
      <c r="D82" s="0" t="s">
        <v>135</v>
      </c>
    </row>
    <row r="83" customFormat="false" ht="15" hidden="false" customHeight="false" outlineLevel="0" collapsed="false">
      <c r="A83" s="0" t="s">
        <v>1095</v>
      </c>
      <c r="B83" s="0" t="str">
        <f aca="false">IF('Provider Profile'!B68="","",'Provider Profile'!B68)</f>
        <v>Yes</v>
      </c>
      <c r="C83" s="0" t="s">
        <v>988</v>
      </c>
      <c r="D83" s="0" t="s">
        <v>136</v>
      </c>
    </row>
    <row r="84" customFormat="false" ht="15" hidden="false" customHeight="false" outlineLevel="0" collapsed="false">
      <c r="A84" s="0" t="s">
        <v>1096</v>
      </c>
      <c r="B84" s="0" t="str">
        <f aca="false">IF('Provider Profile'!B69="","",'Provider Profile'!B69)</f>
        <v>No</v>
      </c>
      <c r="C84" s="0" t="s">
        <v>988</v>
      </c>
      <c r="D84" s="0" t="s">
        <v>137</v>
      </c>
    </row>
    <row r="85" customFormat="false" ht="15" hidden="false" customHeight="false" outlineLevel="0" collapsed="false">
      <c r="A85" s="0" t="s">
        <v>1097</v>
      </c>
      <c r="B85" s="0" t="str">
        <f aca="false">IF('Provider Profile'!B70="","",'Provider Profile'!B70)</f>
        <v>Yes</v>
      </c>
      <c r="C85" s="0" t="s">
        <v>988</v>
      </c>
      <c r="D85" s="0" t="s">
        <v>138</v>
      </c>
    </row>
    <row r="86" customFormat="false" ht="15" hidden="false" customHeight="false" outlineLevel="0" collapsed="false">
      <c r="A86" s="0" t="s">
        <v>1098</v>
      </c>
      <c r="B86" s="0" t="str">
        <f aca="false">IF('Provider Profile'!B71="","",'Provider Profile'!B71)</f>
        <v/>
      </c>
      <c r="C86" s="0" t="s">
        <v>970</v>
      </c>
      <c r="D86" s="0" t="s">
        <v>139</v>
      </c>
    </row>
    <row r="87" customFormat="false" ht="15" hidden="false" customHeight="false" outlineLevel="0" collapsed="false">
      <c r="A87" s="0" t="s">
        <v>1099</v>
      </c>
      <c r="B87" s="75" t="n">
        <f aca="false">IF('Reliability &amp; Quality'!E5="","",'Reliability &amp; Quality'!E5)</f>
        <v>0.94</v>
      </c>
      <c r="C87" s="73" t="s">
        <v>1100</v>
      </c>
      <c r="D87" s="73" t="s">
        <v>824</v>
      </c>
    </row>
    <row r="88" customFormat="false" ht="15" hidden="false" customHeight="false" outlineLevel="0" collapsed="false">
      <c r="A88" s="0" t="s">
        <v>1101</v>
      </c>
      <c r="B88" s="0" t="str">
        <f aca="false">IF('Reliability &amp; Quality'!G5="","",'Reliability &amp; Quality'!G5)</f>
        <v>No</v>
      </c>
      <c r="C88" s="0" t="s">
        <v>988</v>
      </c>
      <c r="D88" s="0" t="s">
        <v>1102</v>
      </c>
    </row>
    <row r="89" customFormat="false" ht="15" hidden="false" customHeight="false" outlineLevel="0" collapsed="false">
      <c r="A89" s="0" t="s">
        <v>1103</v>
      </c>
      <c r="B89" s="0" t="str">
        <f aca="false">IF('Reliability &amp; Quality'!F5="","",'Reliability &amp; Quality'!F5)</f>
        <v/>
      </c>
      <c r="C89" s="0" t="s">
        <v>970</v>
      </c>
      <c r="D89" s="0" t="s">
        <v>1104</v>
      </c>
    </row>
    <row r="90" customFormat="false" ht="15" hidden="false" customHeight="false" outlineLevel="0" collapsed="false">
      <c r="A90" s="0" t="s">
        <v>1105</v>
      </c>
      <c r="B90" s="75" t="n">
        <f aca="false">IF('Reliability &amp; Quality'!E6="","",'Reliability &amp; Quality'!E6)</f>
        <v>0.854</v>
      </c>
      <c r="C90" s="73" t="s">
        <v>1100</v>
      </c>
      <c r="D90" s="73" t="s">
        <v>827</v>
      </c>
    </row>
    <row r="91" customFormat="false" ht="15" hidden="false" customHeight="false" outlineLevel="0" collapsed="false">
      <c r="A91" s="0" t="s">
        <v>1106</v>
      </c>
      <c r="B91" s="0" t="str">
        <f aca="false">IF('Reliability &amp; Quality'!G6="","",'Reliability &amp; Quality'!G6)</f>
        <v>No</v>
      </c>
      <c r="C91" s="0" t="s">
        <v>988</v>
      </c>
      <c r="D91" s="0" t="s">
        <v>1107</v>
      </c>
    </row>
    <row r="92" customFormat="false" ht="15" hidden="false" customHeight="false" outlineLevel="0" collapsed="false">
      <c r="A92" s="0" t="s">
        <v>1108</v>
      </c>
      <c r="B92" s="0" t="str">
        <f aca="false">IF('Reliability &amp; Quality'!F6="","",'Reliability &amp; Quality'!F6)</f>
        <v/>
      </c>
      <c r="C92" s="0" t="s">
        <v>970</v>
      </c>
      <c r="D92" s="0" t="s">
        <v>1109</v>
      </c>
    </row>
    <row r="93" customFormat="false" ht="15" hidden="false" customHeight="false" outlineLevel="0" collapsed="false">
      <c r="A93" s="0" t="s">
        <v>1110</v>
      </c>
      <c r="B93" s="76" t="n">
        <f aca="false">IF('Reliability &amp; Quality'!E7="","",'Reliability &amp; Quality'!E7)</f>
        <v>2</v>
      </c>
      <c r="C93" s="73" t="s">
        <v>973</v>
      </c>
      <c r="D93" s="73" t="s">
        <v>829</v>
      </c>
    </row>
    <row r="94" customFormat="false" ht="15" hidden="false" customHeight="false" outlineLevel="0" collapsed="false">
      <c r="A94" s="0" t="s">
        <v>1111</v>
      </c>
      <c r="B94" s="0" t="str">
        <f aca="false">IF('Reliability &amp; Quality'!G7="","",'Reliability &amp; Quality'!G7)</f>
        <v>Yes</v>
      </c>
      <c r="C94" s="0" t="s">
        <v>988</v>
      </c>
      <c r="D94" s="0" t="s">
        <v>1112</v>
      </c>
    </row>
    <row r="95" customFormat="false" ht="15" hidden="false" customHeight="false" outlineLevel="0" collapsed="false">
      <c r="A95" s="0" t="s">
        <v>1113</v>
      </c>
      <c r="B95" s="0" t="str">
        <f aca="false">IF('Reliability &amp; Quality'!F7="","",'Reliability &amp; Quality'!F7)</f>
        <v/>
      </c>
      <c r="C95" s="0" t="s">
        <v>970</v>
      </c>
      <c r="D95" s="0" t="s">
        <v>1114</v>
      </c>
    </row>
    <row r="96" customFormat="false" ht="15" hidden="false" customHeight="false" outlineLevel="0" collapsed="false">
      <c r="A96" s="0" t="s">
        <v>1115</v>
      </c>
      <c r="B96" s="0" t="str">
        <f aca="false">IF('Reliability &amp; Quality'!E8="","",'Reliability &amp; Quality'!E8)</f>
        <v>Yes</v>
      </c>
      <c r="C96" s="0" t="s">
        <v>1116</v>
      </c>
      <c r="D96" s="0" t="s">
        <v>832</v>
      </c>
    </row>
    <row r="97" customFormat="false" ht="15" hidden="false" customHeight="false" outlineLevel="0" collapsed="false">
      <c r="A97" s="0" t="s">
        <v>1117</v>
      </c>
      <c r="B97" s="0" t="str">
        <f aca="false">IF('Reliability &amp; Quality'!G8="","",'Reliability &amp; Quality'!G8)</f>
        <v>Yes</v>
      </c>
      <c r="C97" s="0" t="s">
        <v>988</v>
      </c>
      <c r="D97" s="0" t="s">
        <v>1118</v>
      </c>
    </row>
    <row r="98" customFormat="false" ht="15" hidden="false" customHeight="false" outlineLevel="0" collapsed="false">
      <c r="A98" s="0" t="s">
        <v>1119</v>
      </c>
      <c r="B98" s="0" t="str">
        <f aca="false">IF('Reliability &amp; Quality'!F8="","",'Reliability &amp; Quality'!F8)</f>
        <v/>
      </c>
      <c r="C98" s="0" t="s">
        <v>970</v>
      </c>
      <c r="D98" s="0" t="s">
        <v>1120</v>
      </c>
    </row>
    <row r="99" customFormat="false" ht="15" hidden="false" customHeight="false" outlineLevel="0" collapsed="false">
      <c r="A99" s="0" t="s">
        <v>1121</v>
      </c>
      <c r="B99" s="0" t="str">
        <f aca="false">IF('Reliability &amp; Quality'!E9="","",'Reliability &amp; Quality'!E9)</f>
        <v>Partial</v>
      </c>
      <c r="C99" s="0" t="s">
        <v>1116</v>
      </c>
      <c r="D99" s="0" t="s">
        <v>835</v>
      </c>
    </row>
    <row r="100" customFormat="false" ht="15" hidden="false" customHeight="false" outlineLevel="0" collapsed="false">
      <c r="A100" s="0" t="s">
        <v>1122</v>
      </c>
      <c r="B100" s="0" t="str">
        <f aca="false">IF('Reliability &amp; Quality'!G9="","",'Reliability &amp; Quality'!G9)</f>
        <v>Yes</v>
      </c>
      <c r="C100" s="0" t="s">
        <v>988</v>
      </c>
      <c r="D100" s="0" t="s">
        <v>1123</v>
      </c>
    </row>
    <row r="101" customFormat="false" ht="15" hidden="false" customHeight="false" outlineLevel="0" collapsed="false">
      <c r="A101" s="0" t="s">
        <v>1124</v>
      </c>
      <c r="B101" s="0" t="str">
        <f aca="false">IF('Reliability &amp; Quality'!F9="","",'Reliability &amp; Quality'!F9)</f>
        <v/>
      </c>
      <c r="C101" s="0" t="s">
        <v>970</v>
      </c>
      <c r="D101" s="0" t="s">
        <v>1125</v>
      </c>
    </row>
    <row r="102" customFormat="false" ht="15" hidden="false" customHeight="false" outlineLevel="0" collapsed="false">
      <c r="A102" s="0" t="s">
        <v>1126</v>
      </c>
      <c r="B102" s="77" t="n">
        <f aca="false">IF('Reliability &amp; Quality'!E10="","",'Reliability &amp; Quality'!E10)</f>
        <v>4.9</v>
      </c>
      <c r="C102" s="73" t="s">
        <v>973</v>
      </c>
      <c r="D102" s="73" t="s">
        <v>838</v>
      </c>
    </row>
    <row r="103" customFormat="false" ht="15" hidden="false" customHeight="false" outlineLevel="0" collapsed="false">
      <c r="A103" s="0" t="s">
        <v>1127</v>
      </c>
      <c r="B103" s="0" t="str">
        <f aca="false">IF('Reliability &amp; Quality'!G10="","",'Reliability &amp; Quality'!G10)</f>
        <v>No</v>
      </c>
      <c r="C103" s="0" t="s">
        <v>988</v>
      </c>
      <c r="D103" s="0" t="s">
        <v>1128</v>
      </c>
    </row>
    <row r="104" customFormat="false" ht="15" hidden="false" customHeight="false" outlineLevel="0" collapsed="false">
      <c r="A104" s="0" t="s">
        <v>1129</v>
      </c>
      <c r="B104" s="0" t="str">
        <f aca="false">IF('Reliability &amp; Quality'!F10="","",'Reliability &amp; Quality'!F10)</f>
        <v/>
      </c>
      <c r="C104" s="0" t="s">
        <v>970</v>
      </c>
      <c r="D104" s="0" t="s">
        <v>1130</v>
      </c>
    </row>
    <row r="105" customFormat="false" ht="15" hidden="false" customHeight="false" outlineLevel="0" collapsed="false">
      <c r="A105" s="0" t="s">
        <v>1131</v>
      </c>
      <c r="B105" s="75" t="n">
        <f aca="false">IF('Reliability &amp; Quality'!E11="","",'Reliability &amp; Quality'!E11)</f>
        <v>0.912</v>
      </c>
      <c r="C105" s="73" t="s">
        <v>1100</v>
      </c>
      <c r="D105" s="73" t="s">
        <v>841</v>
      </c>
    </row>
    <row r="106" customFormat="false" ht="15" hidden="false" customHeight="false" outlineLevel="0" collapsed="false">
      <c r="A106" s="0" t="s">
        <v>1132</v>
      </c>
      <c r="B106" s="0" t="str">
        <f aca="false">IF('Reliability &amp; Quality'!G11="","",'Reliability &amp; Quality'!G11)</f>
        <v>No</v>
      </c>
      <c r="C106" s="0" t="s">
        <v>988</v>
      </c>
      <c r="D106" s="0" t="s">
        <v>1133</v>
      </c>
    </row>
    <row r="107" customFormat="false" ht="15" hidden="false" customHeight="false" outlineLevel="0" collapsed="false">
      <c r="A107" s="0" t="s">
        <v>1134</v>
      </c>
      <c r="B107" s="0" t="str">
        <f aca="false">IF('Reliability &amp; Quality'!F11="","",'Reliability &amp; Quality'!F11)</f>
        <v/>
      </c>
      <c r="C107" s="0" t="s">
        <v>970</v>
      </c>
      <c r="D107" s="0" t="s">
        <v>1135</v>
      </c>
    </row>
    <row r="108" customFormat="false" ht="15" hidden="false" customHeight="false" outlineLevel="0" collapsed="false">
      <c r="A108" s="0" t="s">
        <v>1136</v>
      </c>
      <c r="B108" s="0" t="str">
        <f aca="false">IF('Reliability &amp; Quality'!E12="","",'Reliability &amp; Quality'!E12)</f>
        <v>Partial</v>
      </c>
      <c r="C108" s="0" t="s">
        <v>1116</v>
      </c>
      <c r="D108" s="0" t="s">
        <v>843</v>
      </c>
    </row>
    <row r="109" customFormat="false" ht="15" hidden="false" customHeight="false" outlineLevel="0" collapsed="false">
      <c r="A109" s="0" t="s">
        <v>1137</v>
      </c>
      <c r="B109" s="0" t="str">
        <f aca="false">IF('Reliability &amp; Quality'!G12="","",'Reliability &amp; Quality'!G12)</f>
        <v>Yes</v>
      </c>
      <c r="C109" s="0" t="s">
        <v>988</v>
      </c>
      <c r="D109" s="0" t="s">
        <v>1138</v>
      </c>
    </row>
    <row r="110" customFormat="false" ht="15" hidden="false" customHeight="false" outlineLevel="0" collapsed="false">
      <c r="A110" s="0" t="s">
        <v>1139</v>
      </c>
      <c r="B110" s="0" t="str">
        <f aca="false">IF('Reliability &amp; Quality'!F12="","",'Reliability &amp; Quality'!F12)</f>
        <v/>
      </c>
      <c r="C110" s="0" t="s">
        <v>970</v>
      </c>
      <c r="D110" s="0" t="s">
        <v>1140</v>
      </c>
    </row>
    <row r="111" customFormat="false" ht="15" hidden="false" customHeight="false" outlineLevel="0" collapsed="false">
      <c r="A111" s="0" t="s">
        <v>1141</v>
      </c>
      <c r="B111" s="75" t="n">
        <f aca="false">IF('Reliability &amp; Quality'!E13="","",'Reliability &amp; Quality'!E13)</f>
        <v>0.862</v>
      </c>
      <c r="C111" s="73" t="s">
        <v>1100</v>
      </c>
      <c r="D111" s="73" t="s">
        <v>846</v>
      </c>
    </row>
    <row r="112" customFormat="false" ht="15" hidden="false" customHeight="false" outlineLevel="0" collapsed="false">
      <c r="A112" s="0" t="s">
        <v>1142</v>
      </c>
      <c r="B112" s="0" t="str">
        <f aca="false">IF('Reliability &amp; Quality'!G13="","",'Reliability &amp; Quality'!G13)</f>
        <v>No</v>
      </c>
      <c r="C112" s="0" t="s">
        <v>988</v>
      </c>
      <c r="D112" s="0" t="s">
        <v>1143</v>
      </c>
    </row>
    <row r="113" customFormat="false" ht="15" hidden="false" customHeight="false" outlineLevel="0" collapsed="false">
      <c r="A113" s="0" t="s">
        <v>1144</v>
      </c>
      <c r="B113" s="0" t="str">
        <f aca="false">IF('Reliability &amp; Quality'!F13="","",'Reliability &amp; Quality'!F13)</f>
        <v/>
      </c>
      <c r="C113" s="0" t="s">
        <v>970</v>
      </c>
      <c r="D113" s="0" t="s">
        <v>1145</v>
      </c>
    </row>
    <row r="114" customFormat="false" ht="15" hidden="false" customHeight="false" outlineLevel="0" collapsed="false">
      <c r="A114" s="0" t="s">
        <v>1146</v>
      </c>
      <c r="B114" s="77" t="n">
        <f aca="false">IF('Reliability &amp; Quality'!E14="","",'Reliability &amp; Quality'!E14)</f>
        <v>4</v>
      </c>
      <c r="C114" s="73" t="s">
        <v>973</v>
      </c>
      <c r="D114" s="73" t="s">
        <v>848</v>
      </c>
    </row>
    <row r="115" customFormat="false" ht="15" hidden="false" customHeight="false" outlineLevel="0" collapsed="false">
      <c r="A115" s="0" t="s">
        <v>1147</v>
      </c>
      <c r="B115" s="0" t="str">
        <f aca="false">IF('Reliability &amp; Quality'!G14="","",'Reliability &amp; Quality'!G14)</f>
        <v>No</v>
      </c>
      <c r="C115" s="0" t="s">
        <v>988</v>
      </c>
      <c r="D115" s="0" t="s">
        <v>1148</v>
      </c>
    </row>
    <row r="116" customFormat="false" ht="15" hidden="false" customHeight="false" outlineLevel="0" collapsed="false">
      <c r="A116" s="0" t="s">
        <v>1149</v>
      </c>
      <c r="B116" s="0" t="str">
        <f aca="false">IF('Reliability &amp; Quality'!F14="","",'Reliability &amp; Quality'!F14)</f>
        <v/>
      </c>
      <c r="C116" s="0" t="s">
        <v>970</v>
      </c>
      <c r="D116" s="0" t="s">
        <v>1150</v>
      </c>
    </row>
    <row r="117" customFormat="false" ht="15" hidden="false" customHeight="false" outlineLevel="0" collapsed="false">
      <c r="A117" s="0" t="s">
        <v>1151</v>
      </c>
      <c r="B117" s="76" t="n">
        <f aca="false">IF('Reliability &amp; Quality'!E15="","",'Reliability &amp; Quality'!E15)</f>
        <v>6</v>
      </c>
      <c r="C117" s="73" t="s">
        <v>973</v>
      </c>
      <c r="D117" s="73" t="s">
        <v>850</v>
      </c>
    </row>
    <row r="118" customFormat="false" ht="15" hidden="false" customHeight="false" outlineLevel="0" collapsed="false">
      <c r="A118" s="0" t="s">
        <v>1152</v>
      </c>
      <c r="B118" s="0" t="str">
        <f aca="false">IF('Reliability &amp; Quality'!G15="","",'Reliability &amp; Quality'!G15)</f>
        <v>Yes</v>
      </c>
      <c r="C118" s="0" t="s">
        <v>988</v>
      </c>
      <c r="D118" s="0" t="s">
        <v>1153</v>
      </c>
    </row>
    <row r="119" customFormat="false" ht="15" hidden="false" customHeight="false" outlineLevel="0" collapsed="false">
      <c r="A119" s="0" t="s">
        <v>1154</v>
      </c>
      <c r="B119" s="0" t="str">
        <f aca="false">IF('Reliability &amp; Quality'!F15="","",'Reliability &amp; Quality'!F15)</f>
        <v/>
      </c>
      <c r="C119" s="0" t="s">
        <v>970</v>
      </c>
      <c r="D119" s="0" t="s">
        <v>1155</v>
      </c>
    </row>
    <row r="120" customFormat="false" ht="15" hidden="false" customHeight="false" outlineLevel="0" collapsed="false">
      <c r="A120" s="0" t="s">
        <v>1156</v>
      </c>
      <c r="B120" s="0" t="str">
        <f aca="false">IF('Reliability &amp; Quality'!E16="","",'Reliability &amp; Quality'!E16)</f>
        <v>Partial</v>
      </c>
      <c r="C120" s="0" t="s">
        <v>1116</v>
      </c>
      <c r="D120" s="0" t="s">
        <v>852</v>
      </c>
    </row>
    <row r="121" customFormat="false" ht="15" hidden="false" customHeight="false" outlineLevel="0" collapsed="false">
      <c r="A121" s="0" t="s">
        <v>1157</v>
      </c>
      <c r="B121" s="0" t="str">
        <f aca="false">IF('Reliability &amp; Quality'!G16="","",'Reliability &amp; Quality'!G16)</f>
        <v>No</v>
      </c>
      <c r="C121" s="0" t="s">
        <v>988</v>
      </c>
      <c r="D121" s="0" t="s">
        <v>1158</v>
      </c>
    </row>
    <row r="122" customFormat="false" ht="15" hidden="false" customHeight="false" outlineLevel="0" collapsed="false">
      <c r="A122" s="0" t="s">
        <v>1159</v>
      </c>
      <c r="B122" s="0" t="str">
        <f aca="false">IF('Reliability &amp; Quality'!F16="","",'Reliability &amp; Quality'!F16)</f>
        <v/>
      </c>
      <c r="C122" s="0" t="s">
        <v>970</v>
      </c>
      <c r="D122" s="0" t="s">
        <v>1160</v>
      </c>
    </row>
    <row r="123" customFormat="false" ht="15" hidden="false" customHeight="false" outlineLevel="0" collapsed="false">
      <c r="A123" s="0" t="s">
        <v>1161</v>
      </c>
      <c r="B123" s="0" t="str">
        <f aca="false">IF('Reliability &amp; Quality'!E17="","",'Reliability &amp; Quality'!E17)</f>
        <v>Partial</v>
      </c>
      <c r="C123" s="0" t="s">
        <v>1116</v>
      </c>
      <c r="D123" s="0" t="s">
        <v>854</v>
      </c>
    </row>
    <row r="124" customFormat="false" ht="15" hidden="false" customHeight="false" outlineLevel="0" collapsed="false">
      <c r="A124" s="0" t="s">
        <v>1162</v>
      </c>
      <c r="B124" s="0" t="str">
        <f aca="false">IF('Reliability &amp; Quality'!G17="","",'Reliability &amp; Quality'!G17)</f>
        <v>No</v>
      </c>
      <c r="C124" s="0" t="s">
        <v>988</v>
      </c>
      <c r="D124" s="0" t="s">
        <v>1163</v>
      </c>
    </row>
    <row r="125" customFormat="false" ht="15" hidden="false" customHeight="false" outlineLevel="0" collapsed="false">
      <c r="A125" s="0" t="s">
        <v>1164</v>
      </c>
      <c r="B125" s="0" t="str">
        <f aca="false">IF('Reliability &amp; Quality'!F17="","",'Reliability &amp; Quality'!F17)</f>
        <v/>
      </c>
      <c r="C125" s="0" t="s">
        <v>970</v>
      </c>
      <c r="D125" s="0" t="s">
        <v>1165</v>
      </c>
    </row>
    <row r="126" customFormat="false" ht="15" hidden="false" customHeight="false" outlineLevel="0" collapsed="false">
      <c r="A126" s="0" t="s">
        <v>1166</v>
      </c>
      <c r="B126" s="0" t="str">
        <f aca="false">IF('Reliability &amp; Quality'!E18="","",'Reliability &amp; Quality'!E18)</f>
        <v>No</v>
      </c>
      <c r="C126" s="0" t="s">
        <v>1116</v>
      </c>
      <c r="D126" s="0" t="s">
        <v>856</v>
      </c>
    </row>
    <row r="127" customFormat="false" ht="15" hidden="false" customHeight="false" outlineLevel="0" collapsed="false">
      <c r="A127" s="0" t="s">
        <v>1167</v>
      </c>
      <c r="B127" s="0" t="str">
        <f aca="false">IF('Reliability &amp; Quality'!G18="","",'Reliability &amp; Quality'!G18)</f>
        <v>No</v>
      </c>
      <c r="C127" s="0" t="s">
        <v>988</v>
      </c>
      <c r="D127" s="0" t="s">
        <v>1168</v>
      </c>
    </row>
    <row r="128" customFormat="false" ht="15" hidden="false" customHeight="false" outlineLevel="0" collapsed="false">
      <c r="A128" s="0" t="s">
        <v>1169</v>
      </c>
      <c r="B128" s="0" t="str">
        <f aca="false">IF('Reliability &amp; Quality'!F18="","",'Reliability &amp; Quality'!F18)</f>
        <v/>
      </c>
      <c r="C128" s="0" t="s">
        <v>970</v>
      </c>
      <c r="D128" s="0" t="s">
        <v>1170</v>
      </c>
    </row>
    <row r="129" customFormat="false" ht="15" hidden="false" customHeight="false" outlineLevel="0" collapsed="false">
      <c r="A129" s="0" t="s">
        <v>1171</v>
      </c>
      <c r="B129" s="0" t="str">
        <f aca="false">IF('Reliability &amp; Quality'!E19="","",'Reliability &amp; Quality'!E19)</f>
        <v>Yes</v>
      </c>
      <c r="C129" s="0" t="s">
        <v>988</v>
      </c>
      <c r="D129" s="0" t="s">
        <v>858</v>
      </c>
    </row>
    <row r="130" customFormat="false" ht="15" hidden="false" customHeight="false" outlineLevel="0" collapsed="false">
      <c r="A130" s="0" t="s">
        <v>1172</v>
      </c>
      <c r="B130" s="0" t="str">
        <f aca="false">IF('Reliability &amp; Quality'!G19="","",'Reliability &amp; Quality'!G19)</f>
        <v>No</v>
      </c>
      <c r="C130" s="0" t="s">
        <v>988</v>
      </c>
      <c r="D130" s="0" t="s">
        <v>1173</v>
      </c>
    </row>
    <row r="131" customFormat="false" ht="15" hidden="false" customHeight="false" outlineLevel="0" collapsed="false">
      <c r="A131" s="0" t="s">
        <v>1174</v>
      </c>
      <c r="B131" s="0" t="str">
        <f aca="false">IF('Reliability &amp; Quality'!F19="","",'Reliability &amp; Quality'!F19)</f>
        <v/>
      </c>
      <c r="C131" s="0" t="s">
        <v>970</v>
      </c>
      <c r="D131" s="0" t="s">
        <v>1175</v>
      </c>
    </row>
    <row r="132" customFormat="false" ht="15" hidden="false" customHeight="false" outlineLevel="0" collapsed="false">
      <c r="A132" s="0" t="s">
        <v>1176</v>
      </c>
      <c r="B132" s="0" t="str">
        <f aca="false">IF('Reliability &amp; Quality'!E20="","",'Reliability &amp; Quality'!E20)</f>
        <v>No</v>
      </c>
      <c r="C132" s="0" t="s">
        <v>1116</v>
      </c>
      <c r="D132" s="0" t="s">
        <v>861</v>
      </c>
    </row>
    <row r="133" customFormat="false" ht="15" hidden="false" customHeight="false" outlineLevel="0" collapsed="false">
      <c r="A133" s="0" t="s">
        <v>1177</v>
      </c>
      <c r="B133" s="0" t="str">
        <f aca="false">IF('Reliability &amp; Quality'!G20="","",'Reliability &amp; Quality'!G20)</f>
        <v>No</v>
      </c>
      <c r="C133" s="0" t="s">
        <v>988</v>
      </c>
      <c r="D133" s="0" t="s">
        <v>1178</v>
      </c>
    </row>
    <row r="134" customFormat="false" ht="15" hidden="false" customHeight="false" outlineLevel="0" collapsed="false">
      <c r="A134" s="0" t="s">
        <v>1179</v>
      </c>
      <c r="B134" s="0" t="str">
        <f aca="false">IF('Reliability &amp; Quality'!F20="","",'Reliability &amp; Quality'!F20)</f>
        <v/>
      </c>
      <c r="C134" s="0" t="s">
        <v>970</v>
      </c>
      <c r="D134" s="0" t="s">
        <v>1180</v>
      </c>
    </row>
    <row r="135" customFormat="false" ht="15" hidden="false" customHeight="false" outlineLevel="0" collapsed="false">
      <c r="A135" s="0" t="s">
        <v>1181</v>
      </c>
      <c r="B135" s="0" t="str">
        <f aca="false">IF('Reliability &amp; Quality'!E21="","",'Reliability &amp; Quality'!E21)</f>
        <v>Partial</v>
      </c>
      <c r="C135" s="0" t="s">
        <v>1116</v>
      </c>
      <c r="D135" s="0" t="s">
        <v>864</v>
      </c>
    </row>
    <row r="136" customFormat="false" ht="15" hidden="false" customHeight="false" outlineLevel="0" collapsed="false">
      <c r="A136" s="0" t="s">
        <v>1182</v>
      </c>
      <c r="B136" s="0" t="str">
        <f aca="false">IF('Reliability &amp; Quality'!G21="","",'Reliability &amp; Quality'!G21)</f>
        <v>No</v>
      </c>
      <c r="C136" s="0" t="s">
        <v>988</v>
      </c>
      <c r="D136" s="0" t="s">
        <v>1183</v>
      </c>
    </row>
    <row r="137" customFormat="false" ht="15" hidden="false" customHeight="false" outlineLevel="0" collapsed="false">
      <c r="A137" s="0" t="s">
        <v>1184</v>
      </c>
      <c r="B137" s="0" t="str">
        <f aca="false">IF('Reliability &amp; Quality'!F21="","",'Reliability &amp; Quality'!F21)</f>
        <v/>
      </c>
      <c r="C137" s="0" t="s">
        <v>970</v>
      </c>
      <c r="D137" s="0" t="s">
        <v>1185</v>
      </c>
    </row>
    <row r="138" customFormat="false" ht="15" hidden="false" customHeight="false" outlineLevel="0" collapsed="false">
      <c r="A138" s="0" t="s">
        <v>1186</v>
      </c>
      <c r="B138" s="0" t="str">
        <f aca="false">IF('Reliability &amp; Quality'!E22="","",'Reliability &amp; Quality'!E22)</f>
        <v>No</v>
      </c>
      <c r="C138" s="0" t="s">
        <v>1116</v>
      </c>
      <c r="D138" s="0" t="s">
        <v>866</v>
      </c>
    </row>
    <row r="139" customFormat="false" ht="15" hidden="false" customHeight="false" outlineLevel="0" collapsed="false">
      <c r="A139" s="0" t="s">
        <v>1187</v>
      </c>
      <c r="B139" s="0" t="str">
        <f aca="false">IF('Reliability &amp; Quality'!G22="","",'Reliability &amp; Quality'!G22)</f>
        <v>Yes</v>
      </c>
      <c r="C139" s="0" t="s">
        <v>988</v>
      </c>
      <c r="D139" s="0" t="s">
        <v>1188</v>
      </c>
    </row>
    <row r="140" customFormat="false" ht="15" hidden="false" customHeight="false" outlineLevel="0" collapsed="false">
      <c r="A140" s="0" t="s">
        <v>1189</v>
      </c>
      <c r="B140" s="0" t="str">
        <f aca="false">IF('Reliability &amp; Quality'!F22="","",'Reliability &amp; Quality'!F22)</f>
        <v/>
      </c>
      <c r="C140" s="0" t="s">
        <v>970</v>
      </c>
      <c r="D140" s="0" t="s">
        <v>1190</v>
      </c>
    </row>
    <row r="141" customFormat="false" ht="15" hidden="false" customHeight="false" outlineLevel="0" collapsed="false">
      <c r="A141" s="0" t="s">
        <v>1191</v>
      </c>
      <c r="B141" s="0" t="str">
        <f aca="false">IF('Reliability &amp; Quality'!E23="","",'Reliability &amp; Quality'!E23)</f>
        <v>Partial</v>
      </c>
      <c r="C141" s="0" t="s">
        <v>1116</v>
      </c>
      <c r="D141" s="0" t="s">
        <v>868</v>
      </c>
    </row>
    <row r="142" customFormat="false" ht="15" hidden="false" customHeight="false" outlineLevel="0" collapsed="false">
      <c r="A142" s="0" t="s">
        <v>1192</v>
      </c>
      <c r="B142" s="0" t="str">
        <f aca="false">IF('Reliability &amp; Quality'!G23="","",'Reliability &amp; Quality'!G23)</f>
        <v>Yes</v>
      </c>
      <c r="C142" s="0" t="s">
        <v>988</v>
      </c>
      <c r="D142" s="0" t="s">
        <v>1193</v>
      </c>
    </row>
    <row r="143" customFormat="false" ht="15" hidden="false" customHeight="false" outlineLevel="0" collapsed="false">
      <c r="A143" s="0" t="s">
        <v>1194</v>
      </c>
      <c r="B143" s="0" t="str">
        <f aca="false">IF('Reliability &amp; Quality'!F23="","",'Reliability &amp; Quality'!F23)</f>
        <v/>
      </c>
      <c r="C143" s="0" t="s">
        <v>970</v>
      </c>
      <c r="D143" s="0" t="s">
        <v>1195</v>
      </c>
    </row>
    <row r="144" customFormat="false" ht="15" hidden="false" customHeight="false" outlineLevel="0" collapsed="false">
      <c r="A144" s="0" t="s">
        <v>1196</v>
      </c>
      <c r="B144" s="0" t="str">
        <f aca="false">IF('Reliability &amp; Quality'!E24="","",'Reliability &amp; Quality'!E24)</f>
        <v>Partial</v>
      </c>
      <c r="C144" s="0" t="s">
        <v>1116</v>
      </c>
      <c r="D144" s="0" t="s">
        <v>870</v>
      </c>
    </row>
    <row r="145" customFormat="false" ht="15" hidden="false" customHeight="false" outlineLevel="0" collapsed="false">
      <c r="A145" s="0" t="s">
        <v>1197</v>
      </c>
      <c r="B145" s="0" t="str">
        <f aca="false">IF('Reliability &amp; Quality'!G24="","",'Reliability &amp; Quality'!G24)</f>
        <v>Yes</v>
      </c>
      <c r="C145" s="0" t="s">
        <v>988</v>
      </c>
      <c r="D145" s="0" t="s">
        <v>1198</v>
      </c>
    </row>
    <row r="146" customFormat="false" ht="15" hidden="false" customHeight="false" outlineLevel="0" collapsed="false">
      <c r="A146" s="0" t="s">
        <v>1199</v>
      </c>
      <c r="B146" s="0" t="str">
        <f aca="false">IF('Reliability &amp; Quality'!F24="","",'Reliability &amp; Quality'!F24)</f>
        <v/>
      </c>
      <c r="C146" s="0" t="s">
        <v>970</v>
      </c>
      <c r="D146" s="0" t="s">
        <v>1200</v>
      </c>
    </row>
    <row r="147" customFormat="false" ht="15" hidden="false" customHeight="false" outlineLevel="0" collapsed="false">
      <c r="A147" s="0" t="s">
        <v>1201</v>
      </c>
      <c r="B147" s="76" t="n">
        <f aca="false">IF('Reliability &amp; Quality'!E25="","",'Reliability &amp; Quality'!E25)</f>
        <v>8</v>
      </c>
      <c r="C147" s="73" t="s">
        <v>973</v>
      </c>
      <c r="D147" s="73" t="s">
        <v>873</v>
      </c>
    </row>
    <row r="148" customFormat="false" ht="15" hidden="false" customHeight="false" outlineLevel="0" collapsed="false">
      <c r="A148" s="0" t="s">
        <v>1202</v>
      </c>
      <c r="B148" s="0" t="str">
        <f aca="false">IF('Reliability &amp; Quality'!G25="","",'Reliability &amp; Quality'!G25)</f>
        <v>Yes</v>
      </c>
      <c r="C148" s="0" t="s">
        <v>988</v>
      </c>
      <c r="D148" s="0" t="s">
        <v>1203</v>
      </c>
    </row>
    <row r="149" customFormat="false" ht="15" hidden="false" customHeight="false" outlineLevel="0" collapsed="false">
      <c r="A149" s="0" t="s">
        <v>1204</v>
      </c>
      <c r="B149" s="0" t="str">
        <f aca="false">IF('Reliability &amp; Quality'!F25="","",'Reliability &amp; Quality'!F25)</f>
        <v/>
      </c>
      <c r="C149" s="0" t="s">
        <v>970</v>
      </c>
      <c r="D149" s="0" t="s">
        <v>1205</v>
      </c>
    </row>
    <row r="150" customFormat="false" ht="15" hidden="false" customHeight="false" outlineLevel="0" collapsed="false">
      <c r="A150" s="0" t="s">
        <v>1206</v>
      </c>
      <c r="B150" s="0" t="str">
        <f aca="false">IF('Reliability &amp; Quality'!E26="","",'Reliability &amp; Quality'!E26)</f>
        <v>No</v>
      </c>
      <c r="C150" s="0" t="s">
        <v>988</v>
      </c>
      <c r="D150" s="0" t="s">
        <v>875</v>
      </c>
    </row>
    <row r="151" customFormat="false" ht="15" hidden="false" customHeight="false" outlineLevel="0" collapsed="false">
      <c r="A151" s="0" t="s">
        <v>1207</v>
      </c>
      <c r="B151" s="0" t="str">
        <f aca="false">IF('Reliability &amp; Quality'!G26="","",'Reliability &amp; Quality'!G26)</f>
        <v>No</v>
      </c>
      <c r="C151" s="0" t="s">
        <v>988</v>
      </c>
      <c r="D151" s="0" t="s">
        <v>1208</v>
      </c>
    </row>
    <row r="152" customFormat="false" ht="15" hidden="false" customHeight="false" outlineLevel="0" collapsed="false">
      <c r="A152" s="0" t="s">
        <v>1209</v>
      </c>
      <c r="B152" s="0" t="str">
        <f aca="false">IF('Reliability &amp; Quality'!F26="","",'Reliability &amp; Quality'!F26)</f>
        <v/>
      </c>
      <c r="C152" s="0" t="s">
        <v>970</v>
      </c>
      <c r="D152" s="0" t="s">
        <v>1210</v>
      </c>
    </row>
    <row r="153" customFormat="false" ht="15" hidden="false" customHeight="false" outlineLevel="0" collapsed="false">
      <c r="A153" s="0" t="s">
        <v>1211</v>
      </c>
      <c r="B153" s="77" t="n">
        <f aca="false">IF('Reliability &amp; Quality'!E27="","",'Reliability &amp; Quality'!E27)</f>
        <v>4.4</v>
      </c>
      <c r="C153" s="73" t="s">
        <v>973</v>
      </c>
      <c r="D153" s="73" t="s">
        <v>877</v>
      </c>
    </row>
    <row r="154" customFormat="false" ht="15" hidden="false" customHeight="false" outlineLevel="0" collapsed="false">
      <c r="A154" s="0" t="s">
        <v>1212</v>
      </c>
      <c r="B154" s="0" t="str">
        <f aca="false">IF('Reliability &amp; Quality'!G27="","",'Reliability &amp; Quality'!G27)</f>
        <v>No</v>
      </c>
      <c r="C154" s="0" t="s">
        <v>988</v>
      </c>
      <c r="D154" s="0" t="s">
        <v>1213</v>
      </c>
    </row>
    <row r="155" customFormat="false" ht="15" hidden="false" customHeight="false" outlineLevel="0" collapsed="false">
      <c r="A155" s="0" t="s">
        <v>1214</v>
      </c>
      <c r="B155" s="0" t="str">
        <f aca="false">IF('Reliability &amp; Quality'!F27="","",'Reliability &amp; Quality'!F27)</f>
        <v/>
      </c>
      <c r="C155" s="0" t="s">
        <v>970</v>
      </c>
      <c r="D155" s="0" t="s">
        <v>1215</v>
      </c>
    </row>
    <row r="156" customFormat="false" ht="15" hidden="false" customHeight="false" outlineLevel="0" collapsed="false">
      <c r="A156" s="0" t="s">
        <v>1216</v>
      </c>
      <c r="B156" s="75" t="n">
        <f aca="false">IF('Reliability &amp; Quality'!E28="","",'Reliability &amp; Quality'!E28)</f>
        <v>0.975</v>
      </c>
      <c r="C156" s="73" t="s">
        <v>1100</v>
      </c>
      <c r="D156" s="73" t="s">
        <v>879</v>
      </c>
    </row>
    <row r="157" customFormat="false" ht="15" hidden="false" customHeight="false" outlineLevel="0" collapsed="false">
      <c r="A157" s="0" t="s">
        <v>1217</v>
      </c>
      <c r="B157" s="0" t="str">
        <f aca="false">IF('Reliability &amp; Quality'!G28="","",'Reliability &amp; Quality'!G28)</f>
        <v>No</v>
      </c>
      <c r="C157" s="0" t="s">
        <v>988</v>
      </c>
      <c r="D157" s="0" t="s">
        <v>1218</v>
      </c>
    </row>
    <row r="158" customFormat="false" ht="15" hidden="false" customHeight="false" outlineLevel="0" collapsed="false">
      <c r="A158" s="0" t="s">
        <v>1219</v>
      </c>
      <c r="B158" s="0" t="str">
        <f aca="false">IF('Reliability &amp; Quality'!F28="","",'Reliability &amp; Quality'!F28)</f>
        <v/>
      </c>
      <c r="C158" s="0" t="s">
        <v>970</v>
      </c>
      <c r="D158" s="0" t="s">
        <v>1220</v>
      </c>
    </row>
    <row r="159" customFormat="false" ht="15" hidden="false" customHeight="false" outlineLevel="0" collapsed="false">
      <c r="A159" s="0" t="s">
        <v>1221</v>
      </c>
      <c r="B159" s="0" t="str">
        <f aca="false">IF('Reliability &amp; Quality'!E29="","",'Reliability &amp; Quality'!E29)</f>
        <v>Partial</v>
      </c>
      <c r="C159" s="0" t="s">
        <v>1116</v>
      </c>
      <c r="D159" s="0" t="s">
        <v>881</v>
      </c>
    </row>
    <row r="160" customFormat="false" ht="15" hidden="false" customHeight="false" outlineLevel="0" collapsed="false">
      <c r="A160" s="0" t="s">
        <v>1222</v>
      </c>
      <c r="B160" s="0" t="str">
        <f aca="false">IF('Reliability &amp; Quality'!G29="","",'Reliability &amp; Quality'!G29)</f>
        <v>No</v>
      </c>
      <c r="C160" s="0" t="s">
        <v>988</v>
      </c>
      <c r="D160" s="0" t="s">
        <v>1223</v>
      </c>
    </row>
    <row r="161" customFormat="false" ht="15" hidden="false" customHeight="false" outlineLevel="0" collapsed="false">
      <c r="A161" s="0" t="s">
        <v>1224</v>
      </c>
      <c r="B161" s="0" t="str">
        <f aca="false">IF('Reliability &amp; Quality'!F29="","",'Reliability &amp; Quality'!F29)</f>
        <v/>
      </c>
      <c r="C161" s="0" t="s">
        <v>970</v>
      </c>
      <c r="D161" s="0" t="s">
        <v>1225</v>
      </c>
    </row>
    <row r="162" customFormat="false" ht="15" hidden="false" customHeight="false" outlineLevel="0" collapsed="false">
      <c r="A162" s="0" t="s">
        <v>1226</v>
      </c>
      <c r="B162" s="0" t="str">
        <f aca="false">IF('Reliability &amp; Quality'!E30="","",'Reliability &amp; Quality'!E30)</f>
        <v>Yes</v>
      </c>
      <c r="C162" s="0" t="s">
        <v>1116</v>
      </c>
      <c r="D162" s="0" t="s">
        <v>884</v>
      </c>
    </row>
    <row r="163" customFormat="false" ht="15" hidden="false" customHeight="false" outlineLevel="0" collapsed="false">
      <c r="A163" s="0" t="s">
        <v>1227</v>
      </c>
      <c r="B163" s="0" t="str">
        <f aca="false">IF('Reliability &amp; Quality'!G30="","",'Reliability &amp; Quality'!G30)</f>
        <v>No</v>
      </c>
      <c r="C163" s="0" t="s">
        <v>988</v>
      </c>
      <c r="D163" s="0" t="s">
        <v>1228</v>
      </c>
    </row>
    <row r="164" customFormat="false" ht="15" hidden="false" customHeight="false" outlineLevel="0" collapsed="false">
      <c r="A164" s="0" t="s">
        <v>1229</v>
      </c>
      <c r="B164" s="0" t="str">
        <f aca="false">IF('Reliability &amp; Quality'!F30="","",'Reliability &amp; Quality'!F30)</f>
        <v/>
      </c>
      <c r="C164" s="0" t="s">
        <v>970</v>
      </c>
      <c r="D164" s="0" t="s">
        <v>1230</v>
      </c>
    </row>
    <row r="165" customFormat="false" ht="15" hidden="false" customHeight="false" outlineLevel="0" collapsed="false">
      <c r="A165" s="0" t="s">
        <v>1231</v>
      </c>
      <c r="B165" s="0" t="str">
        <f aca="false">IF('Reliability &amp; Quality'!E31="","",'Reliability &amp; Quality'!E31)</f>
        <v>Mixed by country</v>
      </c>
      <c r="C165" s="0" t="s">
        <v>970</v>
      </c>
      <c r="D165" s="0" t="s">
        <v>887</v>
      </c>
    </row>
    <row r="166" customFormat="false" ht="15" hidden="false" customHeight="false" outlineLevel="0" collapsed="false">
      <c r="A166" s="0" t="s">
        <v>1232</v>
      </c>
      <c r="B166" s="0" t="str">
        <f aca="false">IF('Reliability &amp; Quality'!G31="","",'Reliability &amp; Quality'!G31)</f>
        <v>Yes</v>
      </c>
      <c r="C166" s="0" t="s">
        <v>988</v>
      </c>
      <c r="D166" s="0" t="s">
        <v>1233</v>
      </c>
    </row>
    <row r="167" customFormat="false" ht="15" hidden="false" customHeight="false" outlineLevel="0" collapsed="false">
      <c r="A167" s="0" t="s">
        <v>1234</v>
      </c>
      <c r="B167" s="0" t="str">
        <f aca="false">IF('Reliability &amp; Quality'!F31="","",'Reliability &amp; Quality'!F31)</f>
        <v/>
      </c>
      <c r="C167" s="0" t="s">
        <v>970</v>
      </c>
      <c r="D167" s="0" t="s">
        <v>1235</v>
      </c>
    </row>
    <row r="168" customFormat="false" ht="15" hidden="false" customHeight="false" outlineLevel="0" collapsed="false">
      <c r="A168" s="0" t="s">
        <v>1236</v>
      </c>
      <c r="B168" s="76" t="n">
        <f aca="false">IF('Reliability &amp; Quality'!E32="","",'Reliability &amp; Quality'!E32)</f>
        <v>7</v>
      </c>
      <c r="C168" s="73" t="s">
        <v>973</v>
      </c>
      <c r="D168" s="73" t="s">
        <v>891</v>
      </c>
    </row>
    <row r="169" customFormat="false" ht="15" hidden="false" customHeight="false" outlineLevel="0" collapsed="false">
      <c r="A169" s="0" t="s">
        <v>1237</v>
      </c>
      <c r="B169" s="0" t="str">
        <f aca="false">IF('Reliability &amp; Quality'!G32="","",'Reliability &amp; Quality'!G32)</f>
        <v>No</v>
      </c>
      <c r="C169" s="0" t="s">
        <v>988</v>
      </c>
      <c r="D169" s="0" t="s">
        <v>1238</v>
      </c>
    </row>
    <row r="170" customFormat="false" ht="15" hidden="false" customHeight="false" outlineLevel="0" collapsed="false">
      <c r="A170" s="0" t="s">
        <v>1239</v>
      </c>
      <c r="B170" s="0" t="str">
        <f aca="false">IF('Reliability &amp; Quality'!F32="","",'Reliability &amp; Quality'!F32)</f>
        <v/>
      </c>
      <c r="C170" s="0" t="s">
        <v>970</v>
      </c>
      <c r="D170" s="0" t="s">
        <v>1240</v>
      </c>
    </row>
    <row r="171" customFormat="false" ht="15" hidden="false" customHeight="false" outlineLevel="0" collapsed="false">
      <c r="A171" s="0" t="s">
        <v>1241</v>
      </c>
      <c r="B171" s="0" t="str">
        <f aca="false">IF('Reliability &amp; Quality'!E33="","",'Reliability &amp; Quality'!E33)</f>
        <v>No</v>
      </c>
      <c r="C171" s="0" t="s">
        <v>988</v>
      </c>
      <c r="D171" s="0" t="s">
        <v>893</v>
      </c>
    </row>
    <row r="172" customFormat="false" ht="15" hidden="false" customHeight="false" outlineLevel="0" collapsed="false">
      <c r="A172" s="0" t="s">
        <v>1242</v>
      </c>
      <c r="B172" s="0" t="str">
        <f aca="false">IF('Reliability &amp; Quality'!G33="","",'Reliability &amp; Quality'!G33)</f>
        <v>No</v>
      </c>
      <c r="C172" s="0" t="s">
        <v>988</v>
      </c>
      <c r="D172" s="0" t="s">
        <v>1243</v>
      </c>
    </row>
    <row r="173" customFormat="false" ht="15" hidden="false" customHeight="false" outlineLevel="0" collapsed="false">
      <c r="A173" s="0" t="s">
        <v>1244</v>
      </c>
      <c r="B173" s="0" t="str">
        <f aca="false">IF('Reliability &amp; Quality'!F33="","",'Reliability &amp; Quality'!F33)</f>
        <v/>
      </c>
      <c r="C173" s="0" t="s">
        <v>970</v>
      </c>
      <c r="D173" s="0" t="s">
        <v>1245</v>
      </c>
    </row>
    <row r="174" customFormat="false" ht="15" hidden="false" customHeight="false" outlineLevel="0" collapsed="false">
      <c r="A174" s="0" t="s">
        <v>1246</v>
      </c>
      <c r="B174" s="0" t="str">
        <f aca="false">IF('Reliability &amp; Quality'!E34="","",'Reliability &amp; Quality'!E34)</f>
        <v>No</v>
      </c>
      <c r="C174" s="0" t="s">
        <v>988</v>
      </c>
      <c r="D174" s="0" t="s">
        <v>895</v>
      </c>
    </row>
    <row r="175" customFormat="false" ht="15" hidden="false" customHeight="false" outlineLevel="0" collapsed="false">
      <c r="A175" s="0" t="s">
        <v>1247</v>
      </c>
      <c r="B175" s="0" t="str">
        <f aca="false">IF('Reliability &amp; Quality'!G34="","",'Reliability &amp; Quality'!G34)</f>
        <v>No</v>
      </c>
      <c r="C175" s="0" t="s">
        <v>988</v>
      </c>
      <c r="D175" s="0" t="s">
        <v>1248</v>
      </c>
    </row>
    <row r="176" customFormat="false" ht="15" hidden="false" customHeight="false" outlineLevel="0" collapsed="false">
      <c r="A176" s="0" t="s">
        <v>1249</v>
      </c>
      <c r="B176" s="0" t="str">
        <f aca="false">IF('Reliability &amp; Quality'!F34="","",'Reliability &amp; Quality'!F34)</f>
        <v/>
      </c>
      <c r="C176" s="0" t="s">
        <v>970</v>
      </c>
      <c r="D176" s="0" t="s">
        <v>1250</v>
      </c>
    </row>
    <row r="177" customFormat="false" ht="15" hidden="false" customHeight="false" outlineLevel="0" collapsed="false">
      <c r="A177" s="0" t="s">
        <v>1251</v>
      </c>
      <c r="B177" s="0" t="str">
        <f aca="false">IF('Reliability &amp; Quality'!E35="","",'Reliability &amp; Quality'!E35)</f>
        <v>No</v>
      </c>
      <c r="C177" s="0" t="s">
        <v>988</v>
      </c>
      <c r="D177" s="0" t="s">
        <v>897</v>
      </c>
    </row>
    <row r="178" customFormat="false" ht="15" hidden="false" customHeight="false" outlineLevel="0" collapsed="false">
      <c r="A178" s="0" t="s">
        <v>1252</v>
      </c>
      <c r="B178" s="0" t="str">
        <f aca="false">IF('Reliability &amp; Quality'!G35="","",'Reliability &amp; Quality'!G35)</f>
        <v>No</v>
      </c>
      <c r="C178" s="0" t="s">
        <v>988</v>
      </c>
      <c r="D178" s="0" t="s">
        <v>1253</v>
      </c>
    </row>
    <row r="179" customFormat="false" ht="15" hidden="false" customHeight="false" outlineLevel="0" collapsed="false">
      <c r="A179" s="0" t="s">
        <v>1254</v>
      </c>
      <c r="B179" s="0" t="str">
        <f aca="false">IF('Reliability &amp; Quality'!F35="","",'Reliability &amp; Quality'!F35)</f>
        <v/>
      </c>
      <c r="C179" s="0" t="s">
        <v>970</v>
      </c>
      <c r="D179" s="0" t="s">
        <v>1255</v>
      </c>
    </row>
    <row r="180" customFormat="false" ht="15" hidden="false" customHeight="false" outlineLevel="0" collapsed="false">
      <c r="A180" s="0" t="s">
        <v>1256</v>
      </c>
      <c r="B180" s="0" t="str">
        <f aca="false">IF('Rate Card'!G5="","",'Rate Card'!G5)</f>
        <v>Express</v>
      </c>
      <c r="C180" s="0" t="s">
        <v>970</v>
      </c>
      <c r="D180" s="0" t="s">
        <v>1257</v>
      </c>
    </row>
    <row r="181" customFormat="false" ht="15" hidden="false" customHeight="false" outlineLevel="0" collapsed="false">
      <c r="A181" s="0" t="s">
        <v>1258</v>
      </c>
      <c r="B181" s="77" t="n">
        <f aca="false">IF('Rate Card'!H5="","",'Rate Card'!H5)</f>
        <v>1</v>
      </c>
      <c r="C181" s="73" t="s">
        <v>973</v>
      </c>
      <c r="D181" s="73" t="s">
        <v>1259</v>
      </c>
    </row>
    <row r="182" customFormat="false" ht="15" hidden="false" customHeight="false" outlineLevel="0" collapsed="false">
      <c r="A182" s="0" t="s">
        <v>1260</v>
      </c>
      <c r="B182" s="77" t="n">
        <f aca="false">IF('Rate Card'!S5="","",'Rate Card'!S5)</f>
        <v>2</v>
      </c>
      <c r="C182" s="73" t="s">
        <v>973</v>
      </c>
      <c r="D182" s="73" t="s">
        <v>1261</v>
      </c>
    </row>
    <row r="183" customFormat="false" ht="15" hidden="false" customHeight="false" outlineLevel="0" collapsed="false">
      <c r="A183" s="0" t="s">
        <v>1262</v>
      </c>
      <c r="B183" s="78" t="n">
        <f aca="false">IF('Rate Card'!I5="","",'Rate Card'!I5)</f>
        <v>2.64</v>
      </c>
      <c r="C183" s="73" t="s">
        <v>973</v>
      </c>
      <c r="D183" s="73" t="s">
        <v>1263</v>
      </c>
    </row>
    <row r="184" customFormat="false" ht="15" hidden="false" customHeight="false" outlineLevel="0" collapsed="false">
      <c r="A184" s="0" t="s">
        <v>1264</v>
      </c>
      <c r="B184" s="78" t="n">
        <f aca="false">IF('Rate Card'!J5="","",'Rate Card'!J5)</f>
        <v>35</v>
      </c>
      <c r="C184" s="73" t="s">
        <v>973</v>
      </c>
      <c r="D184" s="73" t="s">
        <v>1265</v>
      </c>
    </row>
    <row r="185" customFormat="false" ht="15" hidden="false" customHeight="false" outlineLevel="0" collapsed="false">
      <c r="A185" s="0" t="s">
        <v>1266</v>
      </c>
      <c r="B185" s="79" t="n">
        <f aca="false">IF('Rate Card'!K5="","",'Rate Card'!K5)</f>
        <v>0.18</v>
      </c>
      <c r="C185" s="73" t="s">
        <v>1100</v>
      </c>
      <c r="D185" s="73" t="s">
        <v>1267</v>
      </c>
    </row>
    <row r="186" customFormat="false" ht="15" hidden="false" customHeight="false" outlineLevel="0" collapsed="false">
      <c r="A186" s="0" t="s">
        <v>1268</v>
      </c>
      <c r="B186" s="78" t="n">
        <f aca="false">IF('Rate Card'!L5="","",'Rate Card'!L5)</f>
        <v>25</v>
      </c>
      <c r="C186" s="73" t="s">
        <v>973</v>
      </c>
      <c r="D186" s="73" t="s">
        <v>1269</v>
      </c>
    </row>
    <row r="187" customFormat="false" ht="15" hidden="false" customHeight="false" outlineLevel="0" collapsed="false">
      <c r="A187" s="0" t="s">
        <v>1270</v>
      </c>
      <c r="B187" s="78" t="n">
        <f aca="false">IF('Rate Card'!M5="","",'Rate Card'!M5)</f>
        <v>10</v>
      </c>
      <c r="C187" s="73" t="s">
        <v>973</v>
      </c>
      <c r="D187" s="73" t="s">
        <v>1271</v>
      </c>
    </row>
    <row r="188" customFormat="false" ht="15" hidden="false" customHeight="false" outlineLevel="0" collapsed="false">
      <c r="A188" s="0" t="s">
        <v>1272</v>
      </c>
      <c r="B188" s="79" t="n">
        <f aca="false">IF('Rate Card'!N5="","",'Rate Card'!N5)</f>
        <v>0.05</v>
      </c>
      <c r="C188" s="73" t="s">
        <v>1100</v>
      </c>
      <c r="D188" s="73" t="s">
        <v>1273</v>
      </c>
    </row>
    <row r="189" customFormat="false" ht="15" hidden="false" customHeight="false" outlineLevel="0" collapsed="false">
      <c r="A189" s="0" t="s">
        <v>1274</v>
      </c>
      <c r="B189" s="78" t="n">
        <f aca="false">IF('Rate Card'!P5="","",'Rate Card'!P5)</f>
        <v>76.3</v>
      </c>
      <c r="C189" s="73" t="s">
        <v>973</v>
      </c>
      <c r="D189" s="73" t="s">
        <v>1275</v>
      </c>
    </row>
    <row r="190" customFormat="false" ht="15" hidden="false" customHeight="false" outlineLevel="0" collapsed="false">
      <c r="A190" s="0" t="s">
        <v>1276</v>
      </c>
      <c r="B190" s="0" t="str">
        <f aca="false">IF('Rate Card'!G6="","",'Rate Card'!G6)</f>
        <v>Express</v>
      </c>
      <c r="C190" s="0" t="s">
        <v>970</v>
      </c>
      <c r="D190" s="0" t="s">
        <v>1277</v>
      </c>
    </row>
    <row r="191" customFormat="false" ht="15" hidden="false" customHeight="false" outlineLevel="0" collapsed="false">
      <c r="A191" s="0" t="s">
        <v>1278</v>
      </c>
      <c r="B191" s="77" t="n">
        <f aca="false">IF('Rate Card'!H6="","",'Rate Card'!H6)</f>
        <v>2</v>
      </c>
      <c r="C191" s="73" t="s">
        <v>973</v>
      </c>
      <c r="D191" s="73" t="s">
        <v>1279</v>
      </c>
    </row>
    <row r="192" customFormat="false" ht="15" hidden="false" customHeight="false" outlineLevel="0" collapsed="false">
      <c r="A192" s="0" t="s">
        <v>1280</v>
      </c>
      <c r="B192" s="77" t="n">
        <f aca="false">IF('Rate Card'!S6="","",'Rate Card'!S6)</f>
        <v>3</v>
      </c>
      <c r="C192" s="73" t="s">
        <v>973</v>
      </c>
      <c r="D192" s="73" t="s">
        <v>1281</v>
      </c>
    </row>
    <row r="193" customFormat="false" ht="15" hidden="false" customHeight="false" outlineLevel="0" collapsed="false">
      <c r="A193" s="0" t="s">
        <v>1282</v>
      </c>
      <c r="B193" s="78" t="n">
        <f aca="false">IF('Rate Card'!I6="","",'Rate Card'!I6)</f>
        <v>4.01</v>
      </c>
      <c r="C193" s="73" t="s">
        <v>973</v>
      </c>
      <c r="D193" s="73" t="s">
        <v>1283</v>
      </c>
    </row>
    <row r="194" customFormat="false" ht="15" hidden="false" customHeight="false" outlineLevel="0" collapsed="false">
      <c r="A194" s="0" t="s">
        <v>1284</v>
      </c>
      <c r="B194" s="78" t="n">
        <f aca="false">IF('Rate Card'!J6="","",'Rate Card'!J6)</f>
        <v>60</v>
      </c>
      <c r="C194" s="73" t="s">
        <v>973</v>
      </c>
      <c r="D194" s="73" t="s">
        <v>1285</v>
      </c>
    </row>
    <row r="195" customFormat="false" ht="15" hidden="false" customHeight="false" outlineLevel="0" collapsed="false">
      <c r="A195" s="0" t="s">
        <v>1286</v>
      </c>
      <c r="B195" s="79" t="n">
        <f aca="false">IF('Rate Card'!K6="","",'Rate Card'!K6)</f>
        <v>0.18</v>
      </c>
      <c r="C195" s="73" t="s">
        <v>1100</v>
      </c>
      <c r="D195" s="73" t="s">
        <v>1287</v>
      </c>
    </row>
    <row r="196" customFormat="false" ht="15" hidden="false" customHeight="false" outlineLevel="0" collapsed="false">
      <c r="A196" s="0" t="s">
        <v>1288</v>
      </c>
      <c r="B196" s="78" t="n">
        <f aca="false">IF('Rate Card'!L6="","",'Rate Card'!L6)</f>
        <v>25</v>
      </c>
      <c r="C196" s="73" t="s">
        <v>973</v>
      </c>
      <c r="D196" s="73" t="s">
        <v>1289</v>
      </c>
    </row>
    <row r="197" customFormat="false" ht="15" hidden="false" customHeight="false" outlineLevel="0" collapsed="false">
      <c r="A197" s="0" t="s">
        <v>1290</v>
      </c>
      <c r="B197" s="78" t="n">
        <f aca="false">IF('Rate Card'!M6="","",'Rate Card'!M6)</f>
        <v>10</v>
      </c>
      <c r="C197" s="73" t="s">
        <v>973</v>
      </c>
      <c r="D197" s="73" t="s">
        <v>1291</v>
      </c>
    </row>
    <row r="198" customFormat="false" ht="15" hidden="false" customHeight="false" outlineLevel="0" collapsed="false">
      <c r="A198" s="0" t="s">
        <v>1292</v>
      </c>
      <c r="B198" s="79" t="n">
        <f aca="false">IF('Rate Card'!N6="","",'Rate Card'!N6)</f>
        <v>0.05</v>
      </c>
      <c r="C198" s="73" t="s">
        <v>1100</v>
      </c>
      <c r="D198" s="73" t="s">
        <v>1293</v>
      </c>
    </row>
    <row r="199" customFormat="false" ht="15" hidden="false" customHeight="false" outlineLevel="0" collapsed="false">
      <c r="A199" s="0" t="s">
        <v>1294</v>
      </c>
      <c r="B199" s="78" t="n">
        <f aca="false">IF('Rate Card'!P6="","",'Rate Card'!P6)</f>
        <v>299.9808</v>
      </c>
      <c r="C199" s="73" t="s">
        <v>973</v>
      </c>
      <c r="D199" s="73" t="s">
        <v>1295</v>
      </c>
    </row>
    <row r="200" customFormat="false" ht="15" hidden="false" customHeight="false" outlineLevel="0" collapsed="false">
      <c r="A200" s="0" t="s">
        <v>1296</v>
      </c>
      <c r="B200" s="0" t="str">
        <f aca="false">IF('Rate Card'!G7="","",'Rate Card'!G7)</f>
        <v>Air</v>
      </c>
      <c r="C200" s="0" t="s">
        <v>970</v>
      </c>
      <c r="D200" s="0" t="s">
        <v>1297</v>
      </c>
    </row>
    <row r="201" customFormat="false" ht="15" hidden="false" customHeight="false" outlineLevel="0" collapsed="false">
      <c r="A201" s="0" t="s">
        <v>1298</v>
      </c>
      <c r="B201" s="77" t="n">
        <f aca="false">IF('Rate Card'!H7="","",'Rate Card'!H7)</f>
        <v>3</v>
      </c>
      <c r="C201" s="73" t="s">
        <v>973</v>
      </c>
      <c r="D201" s="73" t="s">
        <v>1299</v>
      </c>
    </row>
    <row r="202" customFormat="false" ht="15" hidden="false" customHeight="false" outlineLevel="0" collapsed="false">
      <c r="A202" s="0" t="s">
        <v>1300</v>
      </c>
      <c r="B202" s="77" t="n">
        <f aca="false">IF('Rate Card'!S7="","",'Rate Card'!S7)</f>
        <v>5</v>
      </c>
      <c r="C202" s="73" t="s">
        <v>973</v>
      </c>
      <c r="D202" s="73" t="s">
        <v>1301</v>
      </c>
    </row>
    <row r="203" customFormat="false" ht="15" hidden="false" customHeight="false" outlineLevel="0" collapsed="false">
      <c r="A203" s="0" t="s">
        <v>1302</v>
      </c>
      <c r="B203" s="78" t="n">
        <f aca="false">IF('Rate Card'!I7="","",'Rate Card'!I7)</f>
        <v>3.1</v>
      </c>
      <c r="C203" s="73" t="s">
        <v>973</v>
      </c>
      <c r="D203" s="73" t="s">
        <v>1303</v>
      </c>
    </row>
    <row r="204" customFormat="false" ht="15" hidden="false" customHeight="false" outlineLevel="0" collapsed="false">
      <c r="A204" s="0" t="s">
        <v>1304</v>
      </c>
      <c r="B204" s="78" t="n">
        <f aca="false">IF('Rate Card'!J7="","",'Rate Card'!J7)</f>
        <v>120</v>
      </c>
      <c r="C204" s="73" t="s">
        <v>973</v>
      </c>
      <c r="D204" s="73" t="s">
        <v>1305</v>
      </c>
    </row>
    <row r="205" customFormat="false" ht="15" hidden="false" customHeight="false" outlineLevel="0" collapsed="false">
      <c r="A205" s="0" t="s">
        <v>1306</v>
      </c>
      <c r="B205" s="79" t="n">
        <f aca="false">IF('Rate Card'!K7="","",'Rate Card'!K7)</f>
        <v>0.18</v>
      </c>
      <c r="C205" s="73" t="s">
        <v>1100</v>
      </c>
      <c r="D205" s="73" t="s">
        <v>1307</v>
      </c>
    </row>
    <row r="206" customFormat="false" ht="15" hidden="false" customHeight="false" outlineLevel="0" collapsed="false">
      <c r="A206" s="0" t="s">
        <v>1308</v>
      </c>
      <c r="B206" s="78" t="n">
        <f aca="false">IF('Rate Card'!L7="","",'Rate Card'!L7)</f>
        <v>25</v>
      </c>
      <c r="C206" s="73" t="s">
        <v>973</v>
      </c>
      <c r="D206" s="73" t="s">
        <v>1309</v>
      </c>
    </row>
    <row r="207" customFormat="false" ht="15" hidden="false" customHeight="false" outlineLevel="0" collapsed="false">
      <c r="A207" s="0" t="s">
        <v>1310</v>
      </c>
      <c r="B207" s="78" t="n">
        <f aca="false">IF('Rate Card'!M7="","",'Rate Card'!M7)</f>
        <v>10</v>
      </c>
      <c r="C207" s="73" t="s">
        <v>973</v>
      </c>
      <c r="D207" s="73" t="s">
        <v>1311</v>
      </c>
    </row>
    <row r="208" customFormat="false" ht="15" hidden="false" customHeight="false" outlineLevel="0" collapsed="false">
      <c r="A208" s="0" t="s">
        <v>1312</v>
      </c>
      <c r="B208" s="79" t="n">
        <f aca="false">IF('Rate Card'!N7="","",'Rate Card'!N7)</f>
        <v>0.05</v>
      </c>
      <c r="C208" s="73" t="s">
        <v>1100</v>
      </c>
      <c r="D208" s="73" t="s">
        <v>1313</v>
      </c>
    </row>
    <row r="209" customFormat="false" ht="15" hidden="false" customHeight="false" outlineLevel="0" collapsed="false">
      <c r="A209" s="0" t="s">
        <v>1314</v>
      </c>
      <c r="B209" s="78" t="n">
        <f aca="false">IF('Rate Card'!P7="","",'Rate Card'!P7)</f>
        <v>1062.898</v>
      </c>
      <c r="C209" s="73" t="s">
        <v>973</v>
      </c>
      <c r="D209" s="73" t="s">
        <v>1315</v>
      </c>
    </row>
    <row r="210" customFormat="false" ht="15" hidden="false" customHeight="false" outlineLevel="0" collapsed="false">
      <c r="A210" s="0" t="s">
        <v>1316</v>
      </c>
      <c r="B210" s="0" t="str">
        <f aca="false">IF('Rate Card'!G8="","",'Rate Card'!G8)</f>
        <v>Air / groupage</v>
      </c>
      <c r="C210" s="0" t="s">
        <v>970</v>
      </c>
      <c r="D210" s="0" t="s">
        <v>1317</v>
      </c>
    </row>
    <row r="211" customFormat="false" ht="15" hidden="false" customHeight="false" outlineLevel="0" collapsed="false">
      <c r="A211" s="0" t="s">
        <v>1318</v>
      </c>
      <c r="B211" s="77" t="n">
        <f aca="false">IF('Rate Card'!H8="","",'Rate Card'!H8)</f>
        <v>4</v>
      </c>
      <c r="C211" s="73" t="s">
        <v>973</v>
      </c>
      <c r="D211" s="73" t="s">
        <v>1319</v>
      </c>
    </row>
    <row r="212" customFormat="false" ht="15" hidden="false" customHeight="false" outlineLevel="0" collapsed="false">
      <c r="A212" s="0" t="s">
        <v>1320</v>
      </c>
      <c r="B212" s="77" t="n">
        <f aca="false">IF('Rate Card'!S8="","",'Rate Card'!S8)</f>
        <v>6</v>
      </c>
      <c r="C212" s="73" t="s">
        <v>973</v>
      </c>
      <c r="D212" s="73" t="s">
        <v>1321</v>
      </c>
    </row>
    <row r="213" customFormat="false" ht="15" hidden="false" customHeight="false" outlineLevel="0" collapsed="false">
      <c r="A213" s="0" t="s">
        <v>1322</v>
      </c>
      <c r="B213" s="78" t="n">
        <f aca="false">IF('Rate Card'!I8="","",'Rate Card'!I8)</f>
        <v>2.65</v>
      </c>
      <c r="C213" s="73" t="s">
        <v>973</v>
      </c>
      <c r="D213" s="73" t="s">
        <v>1323</v>
      </c>
    </row>
    <row r="214" customFormat="false" ht="15" hidden="false" customHeight="false" outlineLevel="0" collapsed="false">
      <c r="A214" s="0" t="s">
        <v>1324</v>
      </c>
      <c r="B214" s="78" t="n">
        <f aca="false">IF('Rate Card'!J8="","",'Rate Card'!J8)</f>
        <v>250</v>
      </c>
      <c r="C214" s="73" t="s">
        <v>973</v>
      </c>
      <c r="D214" s="73" t="s">
        <v>1325</v>
      </c>
    </row>
    <row r="215" customFormat="false" ht="15" hidden="false" customHeight="false" outlineLevel="0" collapsed="false">
      <c r="A215" s="0" t="s">
        <v>1326</v>
      </c>
      <c r="B215" s="79" t="n">
        <f aca="false">IF('Rate Card'!K8="","",'Rate Card'!K8)</f>
        <v>0.18</v>
      </c>
      <c r="C215" s="73" t="s">
        <v>1100</v>
      </c>
      <c r="D215" s="73" t="s">
        <v>1327</v>
      </c>
    </row>
    <row r="216" customFormat="false" ht="15" hidden="false" customHeight="false" outlineLevel="0" collapsed="false">
      <c r="A216" s="0" t="s">
        <v>1328</v>
      </c>
      <c r="B216" s="78" t="n">
        <f aca="false">IF('Rate Card'!L8="","",'Rate Card'!L8)</f>
        <v>25</v>
      </c>
      <c r="C216" s="73" t="s">
        <v>973</v>
      </c>
      <c r="D216" s="73" t="s">
        <v>1329</v>
      </c>
    </row>
    <row r="217" customFormat="false" ht="15" hidden="false" customHeight="false" outlineLevel="0" collapsed="false">
      <c r="A217" s="0" t="s">
        <v>1330</v>
      </c>
      <c r="B217" s="78" t="n">
        <f aca="false">IF('Rate Card'!M8="","",'Rate Card'!M8)</f>
        <v>10</v>
      </c>
      <c r="C217" s="73" t="s">
        <v>973</v>
      </c>
      <c r="D217" s="73" t="s">
        <v>1331</v>
      </c>
    </row>
    <row r="218" customFormat="false" ht="15" hidden="false" customHeight="false" outlineLevel="0" collapsed="false">
      <c r="A218" s="0" t="s">
        <v>1332</v>
      </c>
      <c r="B218" s="79" t="n">
        <f aca="false">IF('Rate Card'!N8="","",'Rate Card'!N8)</f>
        <v>0.05</v>
      </c>
      <c r="C218" s="73" t="s">
        <v>1100</v>
      </c>
      <c r="D218" s="73" t="s">
        <v>1333</v>
      </c>
    </row>
    <row r="219" customFormat="false" ht="15" hidden="false" customHeight="false" outlineLevel="0" collapsed="false">
      <c r="A219" s="0" t="s">
        <v>1334</v>
      </c>
      <c r="B219" s="78" t="n">
        <f aca="false">IF('Rate Card'!P8="","",'Rate Card'!P8)</f>
        <v>3212.032</v>
      </c>
      <c r="C219" s="73" t="s">
        <v>973</v>
      </c>
      <c r="D219" s="73" t="s">
        <v>1335</v>
      </c>
    </row>
    <row r="220" customFormat="false" ht="15" hidden="false" customHeight="false" outlineLevel="0" collapsed="false">
      <c r="A220" s="0" t="s">
        <v>1336</v>
      </c>
      <c r="B220" s="0" t="str">
        <f aca="false">IF('Rate Card'!G9="","",'Rate Card'!G9)</f>
        <v>Road FTL</v>
      </c>
      <c r="C220" s="0" t="s">
        <v>970</v>
      </c>
      <c r="D220" s="0" t="s">
        <v>1337</v>
      </c>
    </row>
    <row r="221" customFormat="false" ht="15" hidden="false" customHeight="false" outlineLevel="0" collapsed="false">
      <c r="A221" s="0" t="s">
        <v>1338</v>
      </c>
      <c r="B221" s="77" t="n">
        <f aca="false">IF('Rate Card'!H9="","",'Rate Card'!H9)</f>
        <v>6</v>
      </c>
      <c r="C221" s="73" t="s">
        <v>973</v>
      </c>
      <c r="D221" s="73" t="s">
        <v>1339</v>
      </c>
    </row>
    <row r="222" customFormat="false" ht="15" hidden="false" customHeight="false" outlineLevel="0" collapsed="false">
      <c r="A222" s="0" t="s">
        <v>1340</v>
      </c>
      <c r="B222" s="77" t="n">
        <f aca="false">IF('Rate Card'!S9="","",'Rate Card'!S9)</f>
        <v>9</v>
      </c>
      <c r="C222" s="73" t="s">
        <v>973</v>
      </c>
      <c r="D222" s="73" t="s">
        <v>1341</v>
      </c>
    </row>
    <row r="223" customFormat="false" ht="15" hidden="false" customHeight="false" outlineLevel="0" collapsed="false">
      <c r="A223" s="0" t="s">
        <v>1342</v>
      </c>
      <c r="B223" s="78" t="n">
        <f aca="false">IF('Rate Card'!I9="","",'Rate Card'!I9)</f>
        <v>3.1</v>
      </c>
      <c r="C223" s="73" t="s">
        <v>973</v>
      </c>
      <c r="D223" s="73" t="s">
        <v>1343</v>
      </c>
    </row>
    <row r="224" customFormat="false" ht="15" hidden="false" customHeight="false" outlineLevel="0" collapsed="false">
      <c r="A224" s="0" t="s">
        <v>1344</v>
      </c>
      <c r="B224" s="78" t="n">
        <f aca="false">IF('Rate Card'!J9="","",'Rate Card'!J9)</f>
        <v>600</v>
      </c>
      <c r="C224" s="73" t="s">
        <v>973</v>
      </c>
      <c r="D224" s="73" t="s">
        <v>1345</v>
      </c>
    </row>
    <row r="225" customFormat="false" ht="15" hidden="false" customHeight="false" outlineLevel="0" collapsed="false">
      <c r="A225" s="0" t="s">
        <v>1346</v>
      </c>
      <c r="B225" s="79" t="n">
        <f aca="false">IF('Rate Card'!K9="","",'Rate Card'!K9)</f>
        <v>0.18</v>
      </c>
      <c r="C225" s="73" t="s">
        <v>1100</v>
      </c>
      <c r="D225" s="73" t="s">
        <v>1347</v>
      </c>
    </row>
    <row r="226" customFormat="false" ht="15" hidden="false" customHeight="false" outlineLevel="0" collapsed="false">
      <c r="A226" s="0" t="s">
        <v>1348</v>
      </c>
      <c r="B226" s="78" t="n">
        <f aca="false">IF('Rate Card'!L9="","",'Rate Card'!L9)</f>
        <v>25</v>
      </c>
      <c r="C226" s="73" t="s">
        <v>973</v>
      </c>
      <c r="D226" s="73" t="s">
        <v>1349</v>
      </c>
    </row>
    <row r="227" customFormat="false" ht="15" hidden="false" customHeight="false" outlineLevel="0" collapsed="false">
      <c r="A227" s="0" t="s">
        <v>1350</v>
      </c>
      <c r="B227" s="78" t="n">
        <f aca="false">IF('Rate Card'!M9="","",'Rate Card'!M9)</f>
        <v>10</v>
      </c>
      <c r="C227" s="73" t="s">
        <v>973</v>
      </c>
      <c r="D227" s="73" t="s">
        <v>1351</v>
      </c>
    </row>
    <row r="228" customFormat="false" ht="15" hidden="false" customHeight="false" outlineLevel="0" collapsed="false">
      <c r="A228" s="0" t="s">
        <v>1352</v>
      </c>
      <c r="B228" s="79" t="n">
        <f aca="false">IF('Rate Card'!N9="","",'Rate Card'!N9)</f>
        <v>0.05</v>
      </c>
      <c r="C228" s="73" t="s">
        <v>1100</v>
      </c>
      <c r="D228" s="73" t="s">
        <v>1353</v>
      </c>
    </row>
    <row r="229" customFormat="false" ht="15" hidden="false" customHeight="false" outlineLevel="0" collapsed="false">
      <c r="A229" s="0" t="s">
        <v>1354</v>
      </c>
      <c r="B229" s="78" t="n">
        <f aca="false">IF('Rate Card'!P9="","",'Rate Card'!P9)</f>
        <v>9432.402</v>
      </c>
      <c r="C229" s="73" t="s">
        <v>973</v>
      </c>
      <c r="D229" s="73" t="s">
        <v>1355</v>
      </c>
    </row>
    <row r="230" customFormat="false" ht="15" hidden="false" customHeight="false" outlineLevel="0" collapsed="false">
      <c r="A230" s="0" t="s">
        <v>1356</v>
      </c>
      <c r="B230" s="0" t="str">
        <f aca="false">IF('Rate Card'!G10="","",'Rate Card'!G10)</f>
        <v>Express</v>
      </c>
      <c r="C230" s="0" t="s">
        <v>970</v>
      </c>
      <c r="D230" s="0" t="s">
        <v>1357</v>
      </c>
    </row>
    <row r="231" customFormat="false" ht="15" hidden="false" customHeight="false" outlineLevel="0" collapsed="false">
      <c r="A231" s="0" t="s">
        <v>1358</v>
      </c>
      <c r="B231" s="77" t="n">
        <f aca="false">IF('Rate Card'!H10="","",'Rate Card'!H10)</f>
        <v>1</v>
      </c>
      <c r="C231" s="73" t="s">
        <v>973</v>
      </c>
      <c r="D231" s="73" t="s">
        <v>1359</v>
      </c>
    </row>
    <row r="232" customFormat="false" ht="15" hidden="false" customHeight="false" outlineLevel="0" collapsed="false">
      <c r="A232" s="0" t="s">
        <v>1360</v>
      </c>
      <c r="B232" s="77" t="n">
        <f aca="false">IF('Rate Card'!S10="","",'Rate Card'!S10)</f>
        <v>2</v>
      </c>
      <c r="C232" s="73" t="s">
        <v>973</v>
      </c>
      <c r="D232" s="73" t="s">
        <v>1361</v>
      </c>
    </row>
    <row r="233" customFormat="false" ht="15" hidden="false" customHeight="false" outlineLevel="0" collapsed="false">
      <c r="A233" s="0" t="s">
        <v>1362</v>
      </c>
      <c r="B233" s="78" t="n">
        <f aca="false">IF('Rate Card'!I10="","",'Rate Card'!I10)</f>
        <v>3.7</v>
      </c>
      <c r="C233" s="73" t="s">
        <v>973</v>
      </c>
      <c r="D233" s="73" t="s">
        <v>1363</v>
      </c>
    </row>
    <row r="234" customFormat="false" ht="15" hidden="false" customHeight="false" outlineLevel="0" collapsed="false">
      <c r="A234" s="0" t="s">
        <v>1364</v>
      </c>
      <c r="B234" s="78" t="n">
        <f aca="false">IF('Rate Card'!J10="","",'Rate Card'!J10)</f>
        <v>35</v>
      </c>
      <c r="C234" s="73" t="s">
        <v>973</v>
      </c>
      <c r="D234" s="73" t="s">
        <v>1365</v>
      </c>
    </row>
    <row r="235" customFormat="false" ht="15" hidden="false" customHeight="false" outlineLevel="0" collapsed="false">
      <c r="A235" s="0" t="s">
        <v>1366</v>
      </c>
      <c r="B235" s="79" t="n">
        <f aca="false">IF('Rate Card'!K10="","",'Rate Card'!K10)</f>
        <v>0.18</v>
      </c>
      <c r="C235" s="73" t="s">
        <v>1100</v>
      </c>
      <c r="D235" s="73" t="s">
        <v>1367</v>
      </c>
    </row>
    <row r="236" customFormat="false" ht="15" hidden="false" customHeight="false" outlineLevel="0" collapsed="false">
      <c r="A236" s="0" t="s">
        <v>1368</v>
      </c>
      <c r="B236" s="78" t="n">
        <f aca="false">IF('Rate Card'!L10="","",'Rate Card'!L10)</f>
        <v>25</v>
      </c>
      <c r="C236" s="73" t="s">
        <v>973</v>
      </c>
      <c r="D236" s="73" t="s">
        <v>1369</v>
      </c>
    </row>
    <row r="237" customFormat="false" ht="15" hidden="false" customHeight="false" outlineLevel="0" collapsed="false">
      <c r="A237" s="0" t="s">
        <v>1370</v>
      </c>
      <c r="B237" s="78" t="n">
        <f aca="false">IF('Rate Card'!M10="","",'Rate Card'!M10)</f>
        <v>10</v>
      </c>
      <c r="C237" s="73" t="s">
        <v>973</v>
      </c>
      <c r="D237" s="73" t="s">
        <v>1371</v>
      </c>
    </row>
    <row r="238" customFormat="false" ht="15" hidden="false" customHeight="false" outlineLevel="0" collapsed="false">
      <c r="A238" s="0" t="s">
        <v>1372</v>
      </c>
      <c r="B238" s="79" t="n">
        <f aca="false">IF('Rate Card'!N10="","",'Rate Card'!N10)</f>
        <v>0.05</v>
      </c>
      <c r="C238" s="73" t="s">
        <v>1100</v>
      </c>
      <c r="D238" s="73" t="s">
        <v>1373</v>
      </c>
    </row>
    <row r="239" customFormat="false" ht="15" hidden="false" customHeight="false" outlineLevel="0" collapsed="false">
      <c r="A239" s="0" t="s">
        <v>1374</v>
      </c>
      <c r="B239" s="78" t="n">
        <f aca="false">IF('Rate Card'!P10="","",'Rate Card'!P10)</f>
        <v>76.3</v>
      </c>
      <c r="C239" s="73" t="s">
        <v>973</v>
      </c>
      <c r="D239" s="73" t="s">
        <v>1375</v>
      </c>
    </row>
    <row r="240" customFormat="false" ht="15" hidden="false" customHeight="false" outlineLevel="0" collapsed="false">
      <c r="A240" s="0" t="s">
        <v>1376</v>
      </c>
      <c r="B240" s="0" t="str">
        <f aca="false">IF('Rate Card'!G11="","",'Rate Card'!G11)</f>
        <v>Express</v>
      </c>
      <c r="C240" s="0" t="s">
        <v>970</v>
      </c>
      <c r="D240" s="0" t="s">
        <v>1377</v>
      </c>
    </row>
    <row r="241" customFormat="false" ht="15" hidden="false" customHeight="false" outlineLevel="0" collapsed="false">
      <c r="A241" s="0" t="s">
        <v>1378</v>
      </c>
      <c r="B241" s="77" t="n">
        <f aca="false">IF('Rate Card'!H11="","",'Rate Card'!H11)</f>
        <v>2</v>
      </c>
      <c r="C241" s="73" t="s">
        <v>973</v>
      </c>
      <c r="D241" s="73" t="s">
        <v>1379</v>
      </c>
    </row>
    <row r="242" customFormat="false" ht="15" hidden="false" customHeight="false" outlineLevel="0" collapsed="false">
      <c r="A242" s="0" t="s">
        <v>1380</v>
      </c>
      <c r="B242" s="77" t="n">
        <f aca="false">IF('Rate Card'!S11="","",'Rate Card'!S11)</f>
        <v>3</v>
      </c>
      <c r="C242" s="73" t="s">
        <v>973</v>
      </c>
      <c r="D242" s="73" t="s">
        <v>1381</v>
      </c>
    </row>
    <row r="243" customFormat="false" ht="15" hidden="false" customHeight="false" outlineLevel="0" collapsed="false">
      <c r="A243" s="0" t="s">
        <v>1382</v>
      </c>
      <c r="B243" s="78" t="n">
        <f aca="false">IF('Rate Card'!I11="","",'Rate Card'!I11)</f>
        <v>1.95</v>
      </c>
      <c r="C243" s="73" t="s">
        <v>973</v>
      </c>
      <c r="D243" s="73" t="s">
        <v>1383</v>
      </c>
    </row>
    <row r="244" customFormat="false" ht="15" hidden="false" customHeight="false" outlineLevel="0" collapsed="false">
      <c r="A244" s="0" t="s">
        <v>1384</v>
      </c>
      <c r="B244" s="78" t="n">
        <f aca="false">IF('Rate Card'!J11="","",'Rate Card'!J11)</f>
        <v>60</v>
      </c>
      <c r="C244" s="73" t="s">
        <v>973</v>
      </c>
      <c r="D244" s="73" t="s">
        <v>1385</v>
      </c>
    </row>
    <row r="245" customFormat="false" ht="15" hidden="false" customHeight="false" outlineLevel="0" collapsed="false">
      <c r="A245" s="0" t="s">
        <v>1386</v>
      </c>
      <c r="B245" s="79" t="n">
        <f aca="false">IF('Rate Card'!K11="","",'Rate Card'!K11)</f>
        <v>0.18</v>
      </c>
      <c r="C245" s="73" t="s">
        <v>1100</v>
      </c>
      <c r="D245" s="73" t="s">
        <v>1387</v>
      </c>
    </row>
    <row r="246" customFormat="false" ht="15" hidden="false" customHeight="false" outlineLevel="0" collapsed="false">
      <c r="A246" s="0" t="s">
        <v>1388</v>
      </c>
      <c r="B246" s="78" t="n">
        <f aca="false">IF('Rate Card'!L11="","",'Rate Card'!L11)</f>
        <v>25</v>
      </c>
      <c r="C246" s="73" t="s">
        <v>973</v>
      </c>
      <c r="D246" s="73" t="s">
        <v>1389</v>
      </c>
    </row>
    <row r="247" customFormat="false" ht="15" hidden="false" customHeight="false" outlineLevel="0" collapsed="false">
      <c r="A247" s="0" t="s">
        <v>1390</v>
      </c>
      <c r="B247" s="78" t="n">
        <f aca="false">IF('Rate Card'!M11="","",'Rate Card'!M11)</f>
        <v>10</v>
      </c>
      <c r="C247" s="73" t="s">
        <v>973</v>
      </c>
      <c r="D247" s="73" t="s">
        <v>1391</v>
      </c>
    </row>
    <row r="248" customFormat="false" ht="15" hidden="false" customHeight="false" outlineLevel="0" collapsed="false">
      <c r="A248" s="0" t="s">
        <v>1392</v>
      </c>
      <c r="B248" s="79" t="n">
        <f aca="false">IF('Rate Card'!N11="","",'Rate Card'!N11)</f>
        <v>0.05</v>
      </c>
      <c r="C248" s="73" t="s">
        <v>1100</v>
      </c>
      <c r="D248" s="73" t="s">
        <v>1393</v>
      </c>
    </row>
    <row r="249" customFormat="false" ht="15" hidden="false" customHeight="false" outlineLevel="0" collapsed="false">
      <c r="A249" s="0" t="s">
        <v>1394</v>
      </c>
      <c r="B249" s="78" t="n">
        <f aca="false">IF('Rate Card'!P11="","",'Rate Card'!P11)</f>
        <v>163.856</v>
      </c>
      <c r="C249" s="73" t="s">
        <v>973</v>
      </c>
      <c r="D249" s="73" t="s">
        <v>1395</v>
      </c>
    </row>
    <row r="250" customFormat="false" ht="15" hidden="false" customHeight="false" outlineLevel="0" collapsed="false">
      <c r="A250" s="0" t="s">
        <v>1396</v>
      </c>
      <c r="B250" s="0" t="str">
        <f aca="false">IF('Rate Card'!G12="","",'Rate Card'!G12)</f>
        <v>Air</v>
      </c>
      <c r="C250" s="0" t="s">
        <v>970</v>
      </c>
      <c r="D250" s="0" t="s">
        <v>1397</v>
      </c>
    </row>
    <row r="251" customFormat="false" ht="15" hidden="false" customHeight="false" outlineLevel="0" collapsed="false">
      <c r="A251" s="0" t="s">
        <v>1398</v>
      </c>
      <c r="B251" s="77" t="n">
        <f aca="false">IF('Rate Card'!H12="","",'Rate Card'!H12)</f>
        <v>3</v>
      </c>
      <c r="C251" s="73" t="s">
        <v>973</v>
      </c>
      <c r="D251" s="73" t="s">
        <v>1399</v>
      </c>
    </row>
    <row r="252" customFormat="false" ht="15" hidden="false" customHeight="false" outlineLevel="0" collapsed="false">
      <c r="A252" s="0" t="s">
        <v>1400</v>
      </c>
      <c r="B252" s="77" t="n">
        <f aca="false">IF('Rate Card'!S12="","",'Rate Card'!S12)</f>
        <v>5</v>
      </c>
      <c r="C252" s="73" t="s">
        <v>973</v>
      </c>
      <c r="D252" s="73" t="s">
        <v>1401</v>
      </c>
    </row>
    <row r="253" customFormat="false" ht="15" hidden="false" customHeight="false" outlineLevel="0" collapsed="false">
      <c r="A253" s="0" t="s">
        <v>1402</v>
      </c>
      <c r="B253" s="78" t="n">
        <f aca="false">IF('Rate Card'!I12="","",'Rate Card'!I12)</f>
        <v>4.43</v>
      </c>
      <c r="C253" s="73" t="s">
        <v>973</v>
      </c>
      <c r="D253" s="73" t="s">
        <v>1403</v>
      </c>
    </row>
    <row r="254" customFormat="false" ht="15" hidden="false" customHeight="false" outlineLevel="0" collapsed="false">
      <c r="A254" s="0" t="s">
        <v>1404</v>
      </c>
      <c r="B254" s="78" t="n">
        <f aca="false">IF('Rate Card'!J12="","",'Rate Card'!J12)</f>
        <v>120</v>
      </c>
      <c r="C254" s="73" t="s">
        <v>973</v>
      </c>
      <c r="D254" s="73" t="s">
        <v>1405</v>
      </c>
    </row>
    <row r="255" customFormat="false" ht="15" hidden="false" customHeight="false" outlineLevel="0" collapsed="false">
      <c r="A255" s="0" t="s">
        <v>1406</v>
      </c>
      <c r="B255" s="79" t="n">
        <f aca="false">IF('Rate Card'!K12="","",'Rate Card'!K12)</f>
        <v>0.18</v>
      </c>
      <c r="C255" s="73" t="s">
        <v>1100</v>
      </c>
      <c r="D255" s="73" t="s">
        <v>1407</v>
      </c>
    </row>
    <row r="256" customFormat="false" ht="15" hidden="false" customHeight="false" outlineLevel="0" collapsed="false">
      <c r="A256" s="0" t="s">
        <v>1408</v>
      </c>
      <c r="B256" s="78" t="n">
        <f aca="false">IF('Rate Card'!L12="","",'Rate Card'!L12)</f>
        <v>25</v>
      </c>
      <c r="C256" s="73" t="s">
        <v>973</v>
      </c>
      <c r="D256" s="73" t="s">
        <v>1409</v>
      </c>
    </row>
    <row r="257" customFormat="false" ht="15" hidden="false" customHeight="false" outlineLevel="0" collapsed="false">
      <c r="A257" s="0" t="s">
        <v>1410</v>
      </c>
      <c r="B257" s="78" t="n">
        <f aca="false">IF('Rate Card'!M12="","",'Rate Card'!M12)</f>
        <v>10</v>
      </c>
      <c r="C257" s="73" t="s">
        <v>973</v>
      </c>
      <c r="D257" s="73" t="s">
        <v>1411</v>
      </c>
    </row>
    <row r="258" customFormat="false" ht="15" hidden="false" customHeight="false" outlineLevel="0" collapsed="false">
      <c r="A258" s="0" t="s">
        <v>1412</v>
      </c>
      <c r="B258" s="79" t="n">
        <f aca="false">IF('Rate Card'!N12="","",'Rate Card'!N12)</f>
        <v>0.05</v>
      </c>
      <c r="C258" s="73" t="s">
        <v>1100</v>
      </c>
      <c r="D258" s="73" t="s">
        <v>1413</v>
      </c>
    </row>
    <row r="259" customFormat="false" ht="15" hidden="false" customHeight="false" outlineLevel="0" collapsed="false">
      <c r="A259" s="0" t="s">
        <v>1414</v>
      </c>
      <c r="B259" s="78" t="n">
        <f aca="false">IF('Rate Card'!P12="","",'Rate Card'!P12)</f>
        <v>1503.8994</v>
      </c>
      <c r="C259" s="73" t="s">
        <v>973</v>
      </c>
      <c r="D259" s="73" t="s">
        <v>1415</v>
      </c>
    </row>
    <row r="260" customFormat="false" ht="15" hidden="false" customHeight="false" outlineLevel="0" collapsed="false">
      <c r="A260" s="0" t="s">
        <v>1416</v>
      </c>
      <c r="B260" s="0" t="str">
        <f aca="false">IF('Rate Card'!G13="","",'Rate Card'!G13)</f>
        <v>Air / groupage</v>
      </c>
      <c r="C260" s="0" t="s">
        <v>970</v>
      </c>
      <c r="D260" s="0" t="s">
        <v>1417</v>
      </c>
    </row>
    <row r="261" customFormat="false" ht="15" hidden="false" customHeight="false" outlineLevel="0" collapsed="false">
      <c r="A261" s="0" t="s">
        <v>1418</v>
      </c>
      <c r="B261" s="77" t="n">
        <f aca="false">IF('Rate Card'!H13="","",'Rate Card'!H13)</f>
        <v>4</v>
      </c>
      <c r="C261" s="73" t="s">
        <v>973</v>
      </c>
      <c r="D261" s="73" t="s">
        <v>1419</v>
      </c>
    </row>
    <row r="262" customFormat="false" ht="15" hidden="false" customHeight="false" outlineLevel="0" collapsed="false">
      <c r="A262" s="0" t="s">
        <v>1420</v>
      </c>
      <c r="B262" s="77" t="n">
        <f aca="false">IF('Rate Card'!S13="","",'Rate Card'!S13)</f>
        <v>6</v>
      </c>
      <c r="C262" s="73" t="s">
        <v>973</v>
      </c>
      <c r="D262" s="73" t="s">
        <v>1421</v>
      </c>
    </row>
    <row r="263" customFormat="false" ht="15" hidden="false" customHeight="false" outlineLevel="0" collapsed="false">
      <c r="A263" s="0" t="s">
        <v>1422</v>
      </c>
      <c r="B263" s="78" t="n">
        <f aca="false">IF('Rate Card'!I13="","",'Rate Card'!I13)</f>
        <v>1.86</v>
      </c>
      <c r="C263" s="73" t="s">
        <v>973</v>
      </c>
      <c r="D263" s="73" t="s">
        <v>1423</v>
      </c>
    </row>
    <row r="264" customFormat="false" ht="15" hidden="false" customHeight="false" outlineLevel="0" collapsed="false">
      <c r="A264" s="0" t="s">
        <v>1424</v>
      </c>
      <c r="B264" s="78" t="n">
        <f aca="false">IF('Rate Card'!J13="","",'Rate Card'!J13)</f>
        <v>250</v>
      </c>
      <c r="C264" s="73" t="s">
        <v>973</v>
      </c>
      <c r="D264" s="73" t="s">
        <v>1425</v>
      </c>
    </row>
    <row r="265" customFormat="false" ht="15" hidden="false" customHeight="false" outlineLevel="0" collapsed="false">
      <c r="A265" s="0" t="s">
        <v>1426</v>
      </c>
      <c r="B265" s="79" t="n">
        <f aca="false">IF('Rate Card'!K13="","",'Rate Card'!K13)</f>
        <v>0.18</v>
      </c>
      <c r="C265" s="73" t="s">
        <v>1100</v>
      </c>
      <c r="D265" s="73" t="s">
        <v>1427</v>
      </c>
    </row>
    <row r="266" customFormat="false" ht="15" hidden="false" customHeight="false" outlineLevel="0" collapsed="false">
      <c r="A266" s="0" t="s">
        <v>1428</v>
      </c>
      <c r="B266" s="78" t="n">
        <f aca="false">IF('Rate Card'!L13="","",'Rate Card'!L13)</f>
        <v>25</v>
      </c>
      <c r="C266" s="73" t="s">
        <v>973</v>
      </c>
      <c r="D266" s="73" t="s">
        <v>1429</v>
      </c>
    </row>
    <row r="267" customFormat="false" ht="15" hidden="false" customHeight="false" outlineLevel="0" collapsed="false">
      <c r="A267" s="0" t="s">
        <v>1430</v>
      </c>
      <c r="B267" s="78" t="n">
        <f aca="false">IF('Rate Card'!M13="","",'Rate Card'!M13)</f>
        <v>10</v>
      </c>
      <c r="C267" s="73" t="s">
        <v>973</v>
      </c>
      <c r="D267" s="73" t="s">
        <v>1431</v>
      </c>
    </row>
    <row r="268" customFormat="false" ht="15" hidden="false" customHeight="false" outlineLevel="0" collapsed="false">
      <c r="A268" s="0" t="s">
        <v>1432</v>
      </c>
      <c r="B268" s="79" t="n">
        <f aca="false">IF('Rate Card'!N13="","",'Rate Card'!N13)</f>
        <v>0.05</v>
      </c>
      <c r="C268" s="73" t="s">
        <v>1100</v>
      </c>
      <c r="D268" s="73" t="s">
        <v>1433</v>
      </c>
    </row>
    <row r="269" customFormat="false" ht="15" hidden="false" customHeight="false" outlineLevel="0" collapsed="false">
      <c r="A269" s="0" t="s">
        <v>1434</v>
      </c>
      <c r="B269" s="78" t="n">
        <f aca="false">IF('Rate Card'!P13="","",'Rate Card'!P13)</f>
        <v>2264.9168</v>
      </c>
      <c r="C269" s="73" t="s">
        <v>973</v>
      </c>
      <c r="D269" s="73" t="s">
        <v>1435</v>
      </c>
    </row>
    <row r="270" customFormat="false" ht="15" hidden="false" customHeight="false" outlineLevel="0" collapsed="false">
      <c r="A270" s="0" t="s">
        <v>1436</v>
      </c>
      <c r="B270" s="0" t="str">
        <f aca="false">IF('Rate Card'!G14="","",'Rate Card'!G14)</f>
        <v>Road FTL</v>
      </c>
      <c r="C270" s="0" t="s">
        <v>970</v>
      </c>
      <c r="D270" s="0" t="s">
        <v>1437</v>
      </c>
    </row>
    <row r="271" customFormat="false" ht="15" hidden="false" customHeight="false" outlineLevel="0" collapsed="false">
      <c r="A271" s="0" t="s">
        <v>1438</v>
      </c>
      <c r="B271" s="77" t="n">
        <f aca="false">IF('Rate Card'!H14="","",'Rate Card'!H14)</f>
        <v>6</v>
      </c>
      <c r="C271" s="73" t="s">
        <v>973</v>
      </c>
      <c r="D271" s="73" t="s">
        <v>1439</v>
      </c>
    </row>
    <row r="272" customFormat="false" ht="15" hidden="false" customHeight="false" outlineLevel="0" collapsed="false">
      <c r="A272" s="0" t="s">
        <v>1440</v>
      </c>
      <c r="B272" s="77" t="n">
        <f aca="false">IF('Rate Card'!S14="","",'Rate Card'!S14)</f>
        <v>9</v>
      </c>
      <c r="C272" s="73" t="s">
        <v>973</v>
      </c>
      <c r="D272" s="73" t="s">
        <v>1441</v>
      </c>
    </row>
    <row r="273" customFormat="false" ht="15" hidden="false" customHeight="false" outlineLevel="0" collapsed="false">
      <c r="A273" s="0" t="s">
        <v>1442</v>
      </c>
      <c r="B273" s="78" t="n">
        <f aca="false">IF('Rate Card'!I14="","",'Rate Card'!I14)</f>
        <v>3.82</v>
      </c>
      <c r="C273" s="73" t="s">
        <v>973</v>
      </c>
      <c r="D273" s="73" t="s">
        <v>1443</v>
      </c>
    </row>
    <row r="274" customFormat="false" ht="15" hidden="false" customHeight="false" outlineLevel="0" collapsed="false">
      <c r="A274" s="0" t="s">
        <v>1444</v>
      </c>
      <c r="B274" s="78" t="n">
        <f aca="false">IF('Rate Card'!J14="","",'Rate Card'!J14)</f>
        <v>600</v>
      </c>
      <c r="C274" s="73" t="s">
        <v>973</v>
      </c>
      <c r="D274" s="73" t="s">
        <v>1445</v>
      </c>
    </row>
    <row r="275" customFormat="false" ht="15" hidden="false" customHeight="false" outlineLevel="0" collapsed="false">
      <c r="A275" s="0" t="s">
        <v>1446</v>
      </c>
      <c r="B275" s="79" t="n">
        <f aca="false">IF('Rate Card'!K14="","",'Rate Card'!K14)</f>
        <v>0.18</v>
      </c>
      <c r="C275" s="73" t="s">
        <v>1100</v>
      </c>
      <c r="D275" s="73" t="s">
        <v>1447</v>
      </c>
    </row>
    <row r="276" customFormat="false" ht="15" hidden="false" customHeight="false" outlineLevel="0" collapsed="false">
      <c r="A276" s="0" t="s">
        <v>1448</v>
      </c>
      <c r="B276" s="78" t="n">
        <f aca="false">IF('Rate Card'!L14="","",'Rate Card'!L14)</f>
        <v>25</v>
      </c>
      <c r="C276" s="73" t="s">
        <v>973</v>
      </c>
      <c r="D276" s="73" t="s">
        <v>1449</v>
      </c>
    </row>
    <row r="277" customFormat="false" ht="15" hidden="false" customHeight="false" outlineLevel="0" collapsed="false">
      <c r="A277" s="0" t="s">
        <v>1450</v>
      </c>
      <c r="B277" s="78" t="n">
        <f aca="false">IF('Rate Card'!M14="","",'Rate Card'!M14)</f>
        <v>10</v>
      </c>
      <c r="C277" s="73" t="s">
        <v>973</v>
      </c>
      <c r="D277" s="73" t="s">
        <v>1451</v>
      </c>
    </row>
    <row r="278" customFormat="false" ht="15" hidden="false" customHeight="false" outlineLevel="0" collapsed="false">
      <c r="A278" s="0" t="s">
        <v>1452</v>
      </c>
      <c r="B278" s="79" t="n">
        <f aca="false">IF('Rate Card'!N14="","",'Rate Card'!N14)</f>
        <v>0.05</v>
      </c>
      <c r="C278" s="73" t="s">
        <v>1100</v>
      </c>
      <c r="D278" s="73" t="s">
        <v>1453</v>
      </c>
    </row>
    <row r="279" customFormat="false" ht="15" hidden="false" customHeight="false" outlineLevel="0" collapsed="false">
      <c r="A279" s="0" t="s">
        <v>1454</v>
      </c>
      <c r="B279" s="78" t="n">
        <f aca="false">IF('Rate Card'!P14="","",'Rate Card'!P14)</f>
        <v>11615.0244</v>
      </c>
      <c r="C279" s="73" t="s">
        <v>973</v>
      </c>
      <c r="D279" s="73" t="s">
        <v>1455</v>
      </c>
    </row>
    <row r="280" customFormat="false" ht="15" hidden="false" customHeight="false" outlineLevel="0" collapsed="false">
      <c r="A280" s="0" t="s">
        <v>1456</v>
      </c>
      <c r="B280" s="0" t="str">
        <f aca="false">IF('Rate Card'!G15="","",'Rate Card'!G15)</f>
        <v>Express</v>
      </c>
      <c r="C280" s="0" t="s">
        <v>970</v>
      </c>
      <c r="D280" s="0" t="s">
        <v>1457</v>
      </c>
    </row>
    <row r="281" customFormat="false" ht="15" hidden="false" customHeight="false" outlineLevel="0" collapsed="false">
      <c r="A281" s="0" t="s">
        <v>1458</v>
      </c>
      <c r="B281" s="77" t="n">
        <f aca="false">IF('Rate Card'!H15="","",'Rate Card'!H15)</f>
        <v>1</v>
      </c>
      <c r="C281" s="73" t="s">
        <v>973</v>
      </c>
      <c r="D281" s="73" t="s">
        <v>1459</v>
      </c>
    </row>
    <row r="282" customFormat="false" ht="15" hidden="false" customHeight="false" outlineLevel="0" collapsed="false">
      <c r="A282" s="0" t="s">
        <v>1460</v>
      </c>
      <c r="B282" s="77" t="n">
        <f aca="false">IF('Rate Card'!S15="","",'Rate Card'!S15)</f>
        <v>2</v>
      </c>
      <c r="C282" s="73" t="s">
        <v>973</v>
      </c>
      <c r="D282" s="73" t="s">
        <v>1461</v>
      </c>
    </row>
    <row r="283" customFormat="false" ht="15" hidden="false" customHeight="false" outlineLevel="0" collapsed="false">
      <c r="A283" s="0" t="s">
        <v>1462</v>
      </c>
      <c r="B283" s="78" t="n">
        <f aca="false">IF('Rate Card'!I15="","",'Rate Card'!I15)</f>
        <v>4.08</v>
      </c>
      <c r="C283" s="73" t="s">
        <v>973</v>
      </c>
      <c r="D283" s="73" t="s">
        <v>1463</v>
      </c>
    </row>
    <row r="284" customFormat="false" ht="15" hidden="false" customHeight="false" outlineLevel="0" collapsed="false">
      <c r="A284" s="0" t="s">
        <v>1464</v>
      </c>
      <c r="B284" s="78" t="n">
        <f aca="false">IF('Rate Card'!J15="","",'Rate Card'!J15)</f>
        <v>35</v>
      </c>
      <c r="C284" s="73" t="s">
        <v>973</v>
      </c>
      <c r="D284" s="73" t="s">
        <v>1465</v>
      </c>
    </row>
    <row r="285" customFormat="false" ht="15" hidden="false" customHeight="false" outlineLevel="0" collapsed="false">
      <c r="A285" s="0" t="s">
        <v>1466</v>
      </c>
      <c r="B285" s="79" t="n">
        <f aca="false">IF('Rate Card'!K15="","",'Rate Card'!K15)</f>
        <v>0.18</v>
      </c>
      <c r="C285" s="73" t="s">
        <v>1100</v>
      </c>
      <c r="D285" s="73" t="s">
        <v>1467</v>
      </c>
    </row>
    <row r="286" customFormat="false" ht="15" hidden="false" customHeight="false" outlineLevel="0" collapsed="false">
      <c r="A286" s="0" t="s">
        <v>1468</v>
      </c>
      <c r="B286" s="78" t="n">
        <f aca="false">IF('Rate Card'!L15="","",'Rate Card'!L15)</f>
        <v>25</v>
      </c>
      <c r="C286" s="73" t="s">
        <v>973</v>
      </c>
      <c r="D286" s="73" t="s">
        <v>1469</v>
      </c>
    </row>
    <row r="287" customFormat="false" ht="15" hidden="false" customHeight="false" outlineLevel="0" collapsed="false">
      <c r="A287" s="0" t="s">
        <v>1470</v>
      </c>
      <c r="B287" s="78" t="n">
        <f aca="false">IF('Rate Card'!M15="","",'Rate Card'!M15)</f>
        <v>10</v>
      </c>
      <c r="C287" s="73" t="s">
        <v>973</v>
      </c>
      <c r="D287" s="73" t="s">
        <v>1471</v>
      </c>
    </row>
    <row r="288" customFormat="false" ht="15" hidden="false" customHeight="false" outlineLevel="0" collapsed="false">
      <c r="A288" s="0" t="s">
        <v>1472</v>
      </c>
      <c r="B288" s="79" t="n">
        <f aca="false">IF('Rate Card'!N15="","",'Rate Card'!N15)</f>
        <v>0.05</v>
      </c>
      <c r="C288" s="73" t="s">
        <v>1100</v>
      </c>
      <c r="D288" s="73" t="s">
        <v>1473</v>
      </c>
    </row>
    <row r="289" customFormat="false" ht="15" hidden="false" customHeight="false" outlineLevel="0" collapsed="false">
      <c r="A289" s="0" t="s">
        <v>1474</v>
      </c>
      <c r="B289" s="78" t="n">
        <f aca="false">IF('Rate Card'!P15="","",'Rate Card'!P15)</f>
        <v>76.3</v>
      </c>
      <c r="C289" s="73" t="s">
        <v>973</v>
      </c>
      <c r="D289" s="73" t="s">
        <v>1475</v>
      </c>
    </row>
    <row r="290" customFormat="false" ht="15" hidden="false" customHeight="false" outlineLevel="0" collapsed="false">
      <c r="A290" s="0" t="s">
        <v>1476</v>
      </c>
      <c r="B290" s="0" t="str">
        <f aca="false">IF('Rate Card'!G16="","",'Rate Card'!G16)</f>
        <v>Express</v>
      </c>
      <c r="C290" s="0" t="s">
        <v>970</v>
      </c>
      <c r="D290" s="0" t="s">
        <v>1477</v>
      </c>
    </row>
    <row r="291" customFormat="false" ht="15" hidden="false" customHeight="false" outlineLevel="0" collapsed="false">
      <c r="A291" s="0" t="s">
        <v>1478</v>
      </c>
      <c r="B291" s="77" t="n">
        <f aca="false">IF('Rate Card'!H16="","",'Rate Card'!H16)</f>
        <v>2</v>
      </c>
      <c r="C291" s="73" t="s">
        <v>973</v>
      </c>
      <c r="D291" s="73" t="s">
        <v>1479</v>
      </c>
    </row>
    <row r="292" customFormat="false" ht="15" hidden="false" customHeight="false" outlineLevel="0" collapsed="false">
      <c r="A292" s="0" t="s">
        <v>1480</v>
      </c>
      <c r="B292" s="77" t="n">
        <f aca="false">IF('Rate Card'!S16="","",'Rate Card'!S16)</f>
        <v>3</v>
      </c>
      <c r="C292" s="73" t="s">
        <v>973</v>
      </c>
      <c r="D292" s="73" t="s">
        <v>1481</v>
      </c>
    </row>
    <row r="293" customFormat="false" ht="15" hidden="false" customHeight="false" outlineLevel="0" collapsed="false">
      <c r="A293" s="0" t="s">
        <v>1482</v>
      </c>
      <c r="B293" s="78" t="n">
        <f aca="false">IF('Rate Card'!I16="","",'Rate Card'!I16)</f>
        <v>1.85</v>
      </c>
      <c r="C293" s="73" t="s">
        <v>973</v>
      </c>
      <c r="D293" s="73" t="s">
        <v>1483</v>
      </c>
    </row>
    <row r="294" customFormat="false" ht="15" hidden="false" customHeight="false" outlineLevel="0" collapsed="false">
      <c r="A294" s="0" t="s">
        <v>1484</v>
      </c>
      <c r="B294" s="78" t="n">
        <f aca="false">IF('Rate Card'!J16="","",'Rate Card'!J16)</f>
        <v>60</v>
      </c>
      <c r="C294" s="73" t="s">
        <v>973</v>
      </c>
      <c r="D294" s="73" t="s">
        <v>1485</v>
      </c>
    </row>
    <row r="295" customFormat="false" ht="15" hidden="false" customHeight="false" outlineLevel="0" collapsed="false">
      <c r="A295" s="0" t="s">
        <v>1486</v>
      </c>
      <c r="B295" s="79" t="n">
        <f aca="false">IF('Rate Card'!K16="","",'Rate Card'!K16)</f>
        <v>0.18</v>
      </c>
      <c r="C295" s="73" t="s">
        <v>1100</v>
      </c>
      <c r="D295" s="73" t="s">
        <v>1487</v>
      </c>
    </row>
    <row r="296" customFormat="false" ht="15" hidden="false" customHeight="false" outlineLevel="0" collapsed="false">
      <c r="A296" s="0" t="s">
        <v>1488</v>
      </c>
      <c r="B296" s="78" t="n">
        <f aca="false">IF('Rate Card'!L16="","",'Rate Card'!L16)</f>
        <v>25</v>
      </c>
      <c r="C296" s="73" t="s">
        <v>973</v>
      </c>
      <c r="D296" s="73" t="s">
        <v>1489</v>
      </c>
    </row>
    <row r="297" customFormat="false" ht="15" hidden="false" customHeight="false" outlineLevel="0" collapsed="false">
      <c r="A297" s="0" t="s">
        <v>1490</v>
      </c>
      <c r="B297" s="78" t="n">
        <f aca="false">IF('Rate Card'!M16="","",'Rate Card'!M16)</f>
        <v>10</v>
      </c>
      <c r="C297" s="73" t="s">
        <v>973</v>
      </c>
      <c r="D297" s="73" t="s">
        <v>1491</v>
      </c>
    </row>
    <row r="298" customFormat="false" ht="15" hidden="false" customHeight="false" outlineLevel="0" collapsed="false">
      <c r="A298" s="0" t="s">
        <v>1492</v>
      </c>
      <c r="B298" s="79" t="n">
        <f aca="false">IF('Rate Card'!N16="","",'Rate Card'!N16)</f>
        <v>0.05</v>
      </c>
      <c r="C298" s="73" t="s">
        <v>1100</v>
      </c>
      <c r="D298" s="73" t="s">
        <v>1493</v>
      </c>
    </row>
    <row r="299" customFormat="false" ht="15" hidden="false" customHeight="false" outlineLevel="0" collapsed="false">
      <c r="A299" s="0" t="s">
        <v>1494</v>
      </c>
      <c r="B299" s="78" t="n">
        <f aca="false">IF('Rate Card'!P16="","",'Rate Card'!P16)</f>
        <v>157.248</v>
      </c>
      <c r="C299" s="73" t="s">
        <v>973</v>
      </c>
      <c r="D299" s="73" t="s">
        <v>1495</v>
      </c>
    </row>
    <row r="300" customFormat="false" ht="15" hidden="false" customHeight="false" outlineLevel="0" collapsed="false">
      <c r="A300" s="0" t="s">
        <v>1496</v>
      </c>
      <c r="B300" s="0" t="str">
        <f aca="false">IF('Rate Card'!G17="","",'Rate Card'!G17)</f>
        <v>Air</v>
      </c>
      <c r="C300" s="0" t="s">
        <v>970</v>
      </c>
      <c r="D300" s="0" t="s">
        <v>1497</v>
      </c>
    </row>
    <row r="301" customFormat="false" ht="15" hidden="false" customHeight="false" outlineLevel="0" collapsed="false">
      <c r="A301" s="0" t="s">
        <v>1498</v>
      </c>
      <c r="B301" s="77" t="n">
        <f aca="false">IF('Rate Card'!H17="","",'Rate Card'!H17)</f>
        <v>3</v>
      </c>
      <c r="C301" s="73" t="s">
        <v>973</v>
      </c>
      <c r="D301" s="73" t="s">
        <v>1499</v>
      </c>
    </row>
    <row r="302" customFormat="false" ht="15" hidden="false" customHeight="false" outlineLevel="0" collapsed="false">
      <c r="A302" s="0" t="s">
        <v>1500</v>
      </c>
      <c r="B302" s="77" t="n">
        <f aca="false">IF('Rate Card'!S17="","",'Rate Card'!S17)</f>
        <v>5</v>
      </c>
      <c r="C302" s="73" t="s">
        <v>973</v>
      </c>
      <c r="D302" s="73" t="s">
        <v>1501</v>
      </c>
    </row>
    <row r="303" customFormat="false" ht="15" hidden="false" customHeight="false" outlineLevel="0" collapsed="false">
      <c r="A303" s="0" t="s">
        <v>1502</v>
      </c>
      <c r="B303" s="78" t="n">
        <f aca="false">IF('Rate Card'!I17="","",'Rate Card'!I17)</f>
        <v>3.93</v>
      </c>
      <c r="C303" s="73" t="s">
        <v>973</v>
      </c>
      <c r="D303" s="73" t="s">
        <v>1503</v>
      </c>
    </row>
    <row r="304" customFormat="false" ht="15" hidden="false" customHeight="false" outlineLevel="0" collapsed="false">
      <c r="A304" s="0" t="s">
        <v>1504</v>
      </c>
      <c r="B304" s="78" t="n">
        <f aca="false">IF('Rate Card'!J17="","",'Rate Card'!J17)</f>
        <v>120</v>
      </c>
      <c r="C304" s="73" t="s">
        <v>973</v>
      </c>
      <c r="D304" s="73" t="s">
        <v>1505</v>
      </c>
    </row>
    <row r="305" customFormat="false" ht="15" hidden="false" customHeight="false" outlineLevel="0" collapsed="false">
      <c r="A305" s="0" t="s">
        <v>1506</v>
      </c>
      <c r="B305" s="79" t="n">
        <f aca="false">IF('Rate Card'!K17="","",'Rate Card'!K17)</f>
        <v>0.18</v>
      </c>
      <c r="C305" s="73" t="s">
        <v>1100</v>
      </c>
      <c r="D305" s="73" t="s">
        <v>1507</v>
      </c>
    </row>
    <row r="306" customFormat="false" ht="15" hidden="false" customHeight="false" outlineLevel="0" collapsed="false">
      <c r="A306" s="0" t="s">
        <v>1508</v>
      </c>
      <c r="B306" s="78" t="n">
        <f aca="false">IF('Rate Card'!L17="","",'Rate Card'!L17)</f>
        <v>25</v>
      </c>
      <c r="C306" s="73" t="s">
        <v>973</v>
      </c>
      <c r="D306" s="73" t="s">
        <v>1509</v>
      </c>
    </row>
    <row r="307" customFormat="false" ht="15" hidden="false" customHeight="false" outlineLevel="0" collapsed="false">
      <c r="A307" s="0" t="s">
        <v>1510</v>
      </c>
      <c r="B307" s="78" t="n">
        <f aca="false">IF('Rate Card'!M17="","",'Rate Card'!M17)</f>
        <v>10</v>
      </c>
      <c r="C307" s="73" t="s">
        <v>973</v>
      </c>
      <c r="D307" s="73" t="s">
        <v>1511</v>
      </c>
    </row>
    <row r="308" customFormat="false" ht="15" hidden="false" customHeight="false" outlineLevel="0" collapsed="false">
      <c r="A308" s="0" t="s">
        <v>1512</v>
      </c>
      <c r="B308" s="79" t="n">
        <f aca="false">IF('Rate Card'!N17="","",'Rate Card'!N17)</f>
        <v>0.05</v>
      </c>
      <c r="C308" s="73" t="s">
        <v>1100</v>
      </c>
      <c r="D308" s="73" t="s">
        <v>1513</v>
      </c>
    </row>
    <row r="309" customFormat="false" ht="15" hidden="false" customHeight="false" outlineLevel="0" collapsed="false">
      <c r="A309" s="0" t="s">
        <v>1514</v>
      </c>
      <c r="B309" s="78" t="n">
        <f aca="false">IF('Rate Card'!P17="","",'Rate Card'!P17)</f>
        <v>1338.1094</v>
      </c>
      <c r="C309" s="73" t="s">
        <v>973</v>
      </c>
      <c r="D309" s="73" t="s">
        <v>1515</v>
      </c>
    </row>
    <row r="310" customFormat="false" ht="15" hidden="false" customHeight="false" outlineLevel="0" collapsed="false">
      <c r="A310" s="0" t="s">
        <v>1516</v>
      </c>
      <c r="B310" s="0" t="str">
        <f aca="false">IF('Rate Card'!G18="","",'Rate Card'!G18)</f>
        <v>Air / groupage</v>
      </c>
      <c r="C310" s="0" t="s">
        <v>970</v>
      </c>
      <c r="D310" s="0" t="s">
        <v>1517</v>
      </c>
    </row>
    <row r="311" customFormat="false" ht="15" hidden="false" customHeight="false" outlineLevel="0" collapsed="false">
      <c r="A311" s="0" t="s">
        <v>1518</v>
      </c>
      <c r="B311" s="77" t="n">
        <f aca="false">IF('Rate Card'!H18="","",'Rate Card'!H18)</f>
        <v>4</v>
      </c>
      <c r="C311" s="73" t="s">
        <v>973</v>
      </c>
      <c r="D311" s="73" t="s">
        <v>1519</v>
      </c>
    </row>
    <row r="312" customFormat="false" ht="15" hidden="false" customHeight="false" outlineLevel="0" collapsed="false">
      <c r="A312" s="0" t="s">
        <v>1520</v>
      </c>
      <c r="B312" s="77" t="n">
        <f aca="false">IF('Rate Card'!S18="","",'Rate Card'!S18)</f>
        <v>6</v>
      </c>
      <c r="C312" s="73" t="s">
        <v>973</v>
      </c>
      <c r="D312" s="73" t="s">
        <v>1521</v>
      </c>
    </row>
    <row r="313" customFormat="false" ht="15" hidden="false" customHeight="false" outlineLevel="0" collapsed="false">
      <c r="A313" s="0" t="s">
        <v>1522</v>
      </c>
      <c r="B313" s="78" t="n">
        <f aca="false">IF('Rate Card'!I18="","",'Rate Card'!I18)</f>
        <v>2.79</v>
      </c>
      <c r="C313" s="73" t="s">
        <v>973</v>
      </c>
      <c r="D313" s="73" t="s">
        <v>1523</v>
      </c>
    </row>
    <row r="314" customFormat="false" ht="15" hidden="false" customHeight="false" outlineLevel="0" collapsed="false">
      <c r="A314" s="0" t="s">
        <v>1524</v>
      </c>
      <c r="B314" s="78" t="n">
        <f aca="false">IF('Rate Card'!J18="","",'Rate Card'!J18)</f>
        <v>250</v>
      </c>
      <c r="C314" s="73" t="s">
        <v>973</v>
      </c>
      <c r="D314" s="73" t="s">
        <v>1525</v>
      </c>
    </row>
    <row r="315" customFormat="false" ht="15" hidden="false" customHeight="false" outlineLevel="0" collapsed="false">
      <c r="A315" s="0" t="s">
        <v>1526</v>
      </c>
      <c r="B315" s="79" t="n">
        <f aca="false">IF('Rate Card'!K18="","",'Rate Card'!K18)</f>
        <v>0.18</v>
      </c>
      <c r="C315" s="73" t="s">
        <v>1100</v>
      </c>
      <c r="D315" s="73" t="s">
        <v>1527</v>
      </c>
    </row>
    <row r="316" customFormat="false" ht="15" hidden="false" customHeight="false" outlineLevel="0" collapsed="false">
      <c r="A316" s="0" t="s">
        <v>1528</v>
      </c>
      <c r="B316" s="78" t="n">
        <f aca="false">IF('Rate Card'!L18="","",'Rate Card'!L18)</f>
        <v>25</v>
      </c>
      <c r="C316" s="73" t="s">
        <v>973</v>
      </c>
      <c r="D316" s="73" t="s">
        <v>1529</v>
      </c>
    </row>
    <row r="317" customFormat="false" ht="15" hidden="false" customHeight="false" outlineLevel="0" collapsed="false">
      <c r="A317" s="0" t="s">
        <v>1530</v>
      </c>
      <c r="B317" s="78" t="n">
        <f aca="false">IF('Rate Card'!M18="","",'Rate Card'!M18)</f>
        <v>10</v>
      </c>
      <c r="C317" s="73" t="s">
        <v>973</v>
      </c>
      <c r="D317" s="73" t="s">
        <v>1531</v>
      </c>
    </row>
    <row r="318" customFormat="false" ht="15" hidden="false" customHeight="false" outlineLevel="0" collapsed="false">
      <c r="A318" s="0" t="s">
        <v>1532</v>
      </c>
      <c r="B318" s="79" t="n">
        <f aca="false">IF('Rate Card'!N18="","",'Rate Card'!N18)</f>
        <v>0.05</v>
      </c>
      <c r="C318" s="73" t="s">
        <v>1100</v>
      </c>
      <c r="D318" s="73" t="s">
        <v>1533</v>
      </c>
    </row>
    <row r="319" customFormat="false" ht="15" hidden="false" customHeight="false" outlineLevel="0" collapsed="false">
      <c r="A319" s="0" t="s">
        <v>1534</v>
      </c>
      <c r="B319" s="78" t="n">
        <f aca="false">IF('Rate Card'!P18="","",'Rate Card'!P18)</f>
        <v>3379.8752</v>
      </c>
      <c r="C319" s="73" t="s">
        <v>973</v>
      </c>
      <c r="D319" s="73" t="s">
        <v>1535</v>
      </c>
    </row>
    <row r="320" customFormat="false" ht="15" hidden="false" customHeight="false" outlineLevel="0" collapsed="false">
      <c r="A320" s="0" t="s">
        <v>1536</v>
      </c>
      <c r="B320" s="0" t="str">
        <f aca="false">IF('Rate Card'!G19="","",'Rate Card'!G19)</f>
        <v>Road FTL</v>
      </c>
      <c r="C320" s="0" t="s">
        <v>970</v>
      </c>
      <c r="D320" s="0" t="s">
        <v>1537</v>
      </c>
    </row>
    <row r="321" customFormat="false" ht="15" hidden="false" customHeight="false" outlineLevel="0" collapsed="false">
      <c r="A321" s="0" t="s">
        <v>1538</v>
      </c>
      <c r="B321" s="77" t="n">
        <f aca="false">IF('Rate Card'!H19="","",'Rate Card'!H19)</f>
        <v>6</v>
      </c>
      <c r="C321" s="73" t="s">
        <v>973</v>
      </c>
      <c r="D321" s="73" t="s">
        <v>1539</v>
      </c>
    </row>
    <row r="322" customFormat="false" ht="15" hidden="false" customHeight="false" outlineLevel="0" collapsed="false">
      <c r="A322" s="0" t="s">
        <v>1540</v>
      </c>
      <c r="B322" s="77" t="n">
        <f aca="false">IF('Rate Card'!S19="","",'Rate Card'!S19)</f>
        <v>9</v>
      </c>
      <c r="C322" s="73" t="s">
        <v>973</v>
      </c>
      <c r="D322" s="73" t="s">
        <v>1541</v>
      </c>
    </row>
    <row r="323" customFormat="false" ht="15" hidden="false" customHeight="false" outlineLevel="0" collapsed="false">
      <c r="A323" s="0" t="s">
        <v>1542</v>
      </c>
      <c r="B323" s="78" t="n">
        <f aca="false">IF('Rate Card'!I19="","",'Rate Card'!I19)</f>
        <v>3.36</v>
      </c>
      <c r="C323" s="73" t="s">
        <v>973</v>
      </c>
      <c r="D323" s="73" t="s">
        <v>1543</v>
      </c>
    </row>
    <row r="324" customFormat="false" ht="15" hidden="false" customHeight="false" outlineLevel="0" collapsed="false">
      <c r="A324" s="0" t="s">
        <v>1544</v>
      </c>
      <c r="B324" s="78" t="n">
        <f aca="false">IF('Rate Card'!J19="","",'Rate Card'!J19)</f>
        <v>600</v>
      </c>
      <c r="C324" s="73" t="s">
        <v>973</v>
      </c>
      <c r="D324" s="73" t="s">
        <v>1545</v>
      </c>
    </row>
    <row r="325" customFormat="false" ht="15" hidden="false" customHeight="false" outlineLevel="0" collapsed="false">
      <c r="A325" s="0" t="s">
        <v>1546</v>
      </c>
      <c r="B325" s="79" t="n">
        <f aca="false">IF('Rate Card'!K19="","",'Rate Card'!K19)</f>
        <v>0.18</v>
      </c>
      <c r="C325" s="73" t="s">
        <v>1100</v>
      </c>
      <c r="D325" s="73" t="s">
        <v>1547</v>
      </c>
    </row>
    <row r="326" customFormat="false" ht="15" hidden="false" customHeight="false" outlineLevel="0" collapsed="false">
      <c r="A326" s="0" t="s">
        <v>1548</v>
      </c>
      <c r="B326" s="78" t="n">
        <f aca="false">IF('Rate Card'!L19="","",'Rate Card'!L19)</f>
        <v>25</v>
      </c>
      <c r="C326" s="73" t="s">
        <v>973</v>
      </c>
      <c r="D326" s="73" t="s">
        <v>1549</v>
      </c>
    </row>
    <row r="327" customFormat="false" ht="15" hidden="false" customHeight="false" outlineLevel="0" collapsed="false">
      <c r="A327" s="0" t="s">
        <v>1550</v>
      </c>
      <c r="B327" s="78" t="n">
        <f aca="false">IF('Rate Card'!M19="","",'Rate Card'!M19)</f>
        <v>10</v>
      </c>
      <c r="C327" s="73" t="s">
        <v>973</v>
      </c>
      <c r="D327" s="73" t="s">
        <v>1551</v>
      </c>
    </row>
    <row r="328" customFormat="false" ht="15" hidden="false" customHeight="false" outlineLevel="0" collapsed="false">
      <c r="A328" s="0" t="s">
        <v>1552</v>
      </c>
      <c r="B328" s="79" t="n">
        <f aca="false">IF('Rate Card'!N19="","",'Rate Card'!N19)</f>
        <v>0.05</v>
      </c>
      <c r="C328" s="73" t="s">
        <v>1100</v>
      </c>
      <c r="D328" s="73" t="s">
        <v>1553</v>
      </c>
    </row>
    <row r="329" customFormat="false" ht="15" hidden="false" customHeight="false" outlineLevel="0" collapsed="false">
      <c r="A329" s="0" t="s">
        <v>1554</v>
      </c>
      <c r="B329" s="78" t="n">
        <f aca="false">IF('Rate Card'!P19="","",'Rate Card'!P19)</f>
        <v>10220.5712</v>
      </c>
      <c r="C329" s="73" t="s">
        <v>973</v>
      </c>
      <c r="D329" s="73" t="s">
        <v>1555</v>
      </c>
    </row>
    <row r="330" customFormat="false" ht="15" hidden="false" customHeight="false" outlineLevel="0" collapsed="false">
      <c r="A330" s="0" t="s">
        <v>1556</v>
      </c>
      <c r="B330" s="0" t="str">
        <f aca="false">IF('Rate Card'!G20="","",'Rate Card'!G20)</f>
        <v>Express</v>
      </c>
      <c r="C330" s="0" t="s">
        <v>970</v>
      </c>
      <c r="D330" s="0" t="s">
        <v>1557</v>
      </c>
    </row>
    <row r="331" customFormat="false" ht="15" hidden="false" customHeight="false" outlineLevel="0" collapsed="false">
      <c r="A331" s="0" t="s">
        <v>1558</v>
      </c>
      <c r="B331" s="77" t="n">
        <f aca="false">IF('Rate Card'!H20="","",'Rate Card'!H20)</f>
        <v>1</v>
      </c>
      <c r="C331" s="73" t="s">
        <v>973</v>
      </c>
      <c r="D331" s="73" t="s">
        <v>1559</v>
      </c>
    </row>
    <row r="332" customFormat="false" ht="15" hidden="false" customHeight="false" outlineLevel="0" collapsed="false">
      <c r="A332" s="0" t="s">
        <v>1560</v>
      </c>
      <c r="B332" s="77" t="n">
        <f aca="false">IF('Rate Card'!S20="","",'Rate Card'!S20)</f>
        <v>2</v>
      </c>
      <c r="C332" s="73" t="s">
        <v>973</v>
      </c>
      <c r="D332" s="73" t="s">
        <v>1561</v>
      </c>
    </row>
    <row r="333" customFormat="false" ht="15" hidden="false" customHeight="false" outlineLevel="0" collapsed="false">
      <c r="A333" s="0" t="s">
        <v>1562</v>
      </c>
      <c r="B333" s="78" t="n">
        <f aca="false">IF('Rate Card'!I20="","",'Rate Card'!I20)</f>
        <v>1.82</v>
      </c>
      <c r="C333" s="73" t="s">
        <v>973</v>
      </c>
      <c r="D333" s="73" t="s">
        <v>1563</v>
      </c>
    </row>
    <row r="334" customFormat="false" ht="15" hidden="false" customHeight="false" outlineLevel="0" collapsed="false">
      <c r="A334" s="0" t="s">
        <v>1564</v>
      </c>
      <c r="B334" s="78" t="n">
        <f aca="false">IF('Rate Card'!J20="","",'Rate Card'!J20)</f>
        <v>35</v>
      </c>
      <c r="C334" s="73" t="s">
        <v>973</v>
      </c>
      <c r="D334" s="73" t="s">
        <v>1565</v>
      </c>
    </row>
    <row r="335" customFormat="false" ht="15" hidden="false" customHeight="false" outlineLevel="0" collapsed="false">
      <c r="A335" s="0" t="s">
        <v>1566</v>
      </c>
      <c r="B335" s="79" t="n">
        <f aca="false">IF('Rate Card'!K20="","",'Rate Card'!K20)</f>
        <v>0.18</v>
      </c>
      <c r="C335" s="73" t="s">
        <v>1100</v>
      </c>
      <c r="D335" s="73" t="s">
        <v>1567</v>
      </c>
    </row>
    <row r="336" customFormat="false" ht="15" hidden="false" customHeight="false" outlineLevel="0" collapsed="false">
      <c r="A336" s="0" t="s">
        <v>1568</v>
      </c>
      <c r="B336" s="78" t="n">
        <f aca="false">IF('Rate Card'!L20="","",'Rate Card'!L20)</f>
        <v>25</v>
      </c>
      <c r="C336" s="73" t="s">
        <v>973</v>
      </c>
      <c r="D336" s="73" t="s">
        <v>1569</v>
      </c>
    </row>
    <row r="337" customFormat="false" ht="15" hidden="false" customHeight="false" outlineLevel="0" collapsed="false">
      <c r="A337" s="0" t="s">
        <v>1570</v>
      </c>
      <c r="B337" s="78" t="n">
        <f aca="false">IF('Rate Card'!M20="","",'Rate Card'!M20)</f>
        <v>10</v>
      </c>
      <c r="C337" s="73" t="s">
        <v>973</v>
      </c>
      <c r="D337" s="73" t="s">
        <v>1571</v>
      </c>
    </row>
    <row r="338" customFormat="false" ht="15" hidden="false" customHeight="false" outlineLevel="0" collapsed="false">
      <c r="A338" s="0" t="s">
        <v>1572</v>
      </c>
      <c r="B338" s="79" t="n">
        <f aca="false">IF('Rate Card'!N20="","",'Rate Card'!N20)</f>
        <v>0.05</v>
      </c>
      <c r="C338" s="73" t="s">
        <v>1100</v>
      </c>
      <c r="D338" s="73" t="s">
        <v>1573</v>
      </c>
    </row>
    <row r="339" customFormat="false" ht="15" hidden="false" customHeight="false" outlineLevel="0" collapsed="false">
      <c r="A339" s="0" t="s">
        <v>1574</v>
      </c>
      <c r="B339" s="78" t="n">
        <f aca="false">IF('Rate Card'!P20="","",'Rate Card'!P20)</f>
        <v>76.3</v>
      </c>
      <c r="C339" s="73" t="s">
        <v>973</v>
      </c>
      <c r="D339" s="73" t="s">
        <v>1575</v>
      </c>
    </row>
    <row r="340" customFormat="false" ht="15" hidden="false" customHeight="false" outlineLevel="0" collapsed="false">
      <c r="A340" s="0" t="s">
        <v>1576</v>
      </c>
      <c r="B340" s="0" t="str">
        <f aca="false">IF('Rate Card'!G21="","",'Rate Card'!G21)</f>
        <v>Express</v>
      </c>
      <c r="C340" s="0" t="s">
        <v>970</v>
      </c>
      <c r="D340" s="0" t="s">
        <v>1577</v>
      </c>
    </row>
    <row r="341" customFormat="false" ht="15" hidden="false" customHeight="false" outlineLevel="0" collapsed="false">
      <c r="A341" s="0" t="s">
        <v>1578</v>
      </c>
      <c r="B341" s="77" t="n">
        <f aca="false">IF('Rate Card'!H21="","",'Rate Card'!H21)</f>
        <v>2</v>
      </c>
      <c r="C341" s="73" t="s">
        <v>973</v>
      </c>
      <c r="D341" s="73" t="s">
        <v>1579</v>
      </c>
    </row>
    <row r="342" customFormat="false" ht="15" hidden="false" customHeight="false" outlineLevel="0" collapsed="false">
      <c r="A342" s="0" t="s">
        <v>1580</v>
      </c>
      <c r="B342" s="77" t="n">
        <f aca="false">IF('Rate Card'!S21="","",'Rate Card'!S21)</f>
        <v>3</v>
      </c>
      <c r="C342" s="73" t="s">
        <v>973</v>
      </c>
      <c r="D342" s="73" t="s">
        <v>1581</v>
      </c>
    </row>
    <row r="343" customFormat="false" ht="15" hidden="false" customHeight="false" outlineLevel="0" collapsed="false">
      <c r="A343" s="0" t="s">
        <v>1582</v>
      </c>
      <c r="B343" s="78" t="n">
        <f aca="false">IF('Rate Card'!I21="","",'Rate Card'!I21)</f>
        <v>1.93</v>
      </c>
      <c r="C343" s="73" t="s">
        <v>973</v>
      </c>
      <c r="D343" s="73" t="s">
        <v>1583</v>
      </c>
    </row>
    <row r="344" customFormat="false" ht="15" hidden="false" customHeight="false" outlineLevel="0" collapsed="false">
      <c r="A344" s="0" t="s">
        <v>1584</v>
      </c>
      <c r="B344" s="78" t="n">
        <f aca="false">IF('Rate Card'!J21="","",'Rate Card'!J21)</f>
        <v>60</v>
      </c>
      <c r="C344" s="73" t="s">
        <v>973</v>
      </c>
      <c r="D344" s="73" t="s">
        <v>1585</v>
      </c>
    </row>
    <row r="345" customFormat="false" ht="15" hidden="false" customHeight="false" outlineLevel="0" collapsed="false">
      <c r="A345" s="0" t="s">
        <v>1586</v>
      </c>
      <c r="B345" s="79" t="n">
        <f aca="false">IF('Rate Card'!K21="","",'Rate Card'!K21)</f>
        <v>0.18</v>
      </c>
      <c r="C345" s="73" t="s">
        <v>1100</v>
      </c>
      <c r="D345" s="73" t="s">
        <v>1587</v>
      </c>
    </row>
    <row r="346" customFormat="false" ht="15" hidden="false" customHeight="false" outlineLevel="0" collapsed="false">
      <c r="A346" s="0" t="s">
        <v>1588</v>
      </c>
      <c r="B346" s="78" t="n">
        <f aca="false">IF('Rate Card'!L21="","",'Rate Card'!L21)</f>
        <v>25</v>
      </c>
      <c r="C346" s="73" t="s">
        <v>973</v>
      </c>
      <c r="D346" s="73" t="s">
        <v>1589</v>
      </c>
    </row>
    <row r="347" customFormat="false" ht="15" hidden="false" customHeight="false" outlineLevel="0" collapsed="false">
      <c r="A347" s="0" t="s">
        <v>1590</v>
      </c>
      <c r="B347" s="78" t="n">
        <f aca="false">IF('Rate Card'!M21="","",'Rate Card'!M21)</f>
        <v>10</v>
      </c>
      <c r="C347" s="73" t="s">
        <v>973</v>
      </c>
      <c r="D347" s="73" t="s">
        <v>1591</v>
      </c>
    </row>
    <row r="348" customFormat="false" ht="15" hidden="false" customHeight="false" outlineLevel="0" collapsed="false">
      <c r="A348" s="0" t="s">
        <v>1592</v>
      </c>
      <c r="B348" s="79" t="n">
        <f aca="false">IF('Rate Card'!N21="","",'Rate Card'!N21)</f>
        <v>0.05</v>
      </c>
      <c r="C348" s="73" t="s">
        <v>1100</v>
      </c>
      <c r="D348" s="73" t="s">
        <v>1593</v>
      </c>
    </row>
    <row r="349" customFormat="false" ht="15" hidden="false" customHeight="false" outlineLevel="0" collapsed="false">
      <c r="A349" s="0" t="s">
        <v>1594</v>
      </c>
      <c r="B349" s="78" t="n">
        <f aca="false">IF('Rate Card'!P21="","",'Rate Card'!P21)</f>
        <v>162.5344</v>
      </c>
      <c r="C349" s="73" t="s">
        <v>973</v>
      </c>
      <c r="D349" s="73" t="s">
        <v>1595</v>
      </c>
    </row>
    <row r="350" customFormat="false" ht="15" hidden="false" customHeight="false" outlineLevel="0" collapsed="false">
      <c r="A350" s="0" t="s">
        <v>1596</v>
      </c>
      <c r="B350" s="0" t="str">
        <f aca="false">IF('Rate Card'!G22="","",'Rate Card'!G22)</f>
        <v>Air</v>
      </c>
      <c r="C350" s="0" t="s">
        <v>970</v>
      </c>
      <c r="D350" s="0" t="s">
        <v>1597</v>
      </c>
    </row>
    <row r="351" customFormat="false" ht="15" hidden="false" customHeight="false" outlineLevel="0" collapsed="false">
      <c r="A351" s="0" t="s">
        <v>1598</v>
      </c>
      <c r="B351" s="77" t="n">
        <f aca="false">IF('Rate Card'!H22="","",'Rate Card'!H22)</f>
        <v>3</v>
      </c>
      <c r="C351" s="73" t="s">
        <v>973</v>
      </c>
      <c r="D351" s="73" t="s">
        <v>1599</v>
      </c>
    </row>
    <row r="352" customFormat="false" ht="15" hidden="false" customHeight="false" outlineLevel="0" collapsed="false">
      <c r="A352" s="0" t="s">
        <v>1600</v>
      </c>
      <c r="B352" s="77" t="n">
        <f aca="false">IF('Rate Card'!S22="","",'Rate Card'!S22)</f>
        <v>5</v>
      </c>
      <c r="C352" s="73" t="s">
        <v>973</v>
      </c>
      <c r="D352" s="73" t="s">
        <v>1601</v>
      </c>
    </row>
    <row r="353" customFormat="false" ht="15" hidden="false" customHeight="false" outlineLevel="0" collapsed="false">
      <c r="A353" s="0" t="s">
        <v>1602</v>
      </c>
      <c r="B353" s="78" t="n">
        <f aca="false">IF('Rate Card'!I22="","",'Rate Card'!I22)</f>
        <v>2.29</v>
      </c>
      <c r="C353" s="73" t="s">
        <v>973</v>
      </c>
      <c r="D353" s="73" t="s">
        <v>1603</v>
      </c>
    </row>
    <row r="354" customFormat="false" ht="15" hidden="false" customHeight="false" outlineLevel="0" collapsed="false">
      <c r="A354" s="0" t="s">
        <v>1604</v>
      </c>
      <c r="B354" s="78" t="n">
        <f aca="false">IF('Rate Card'!J22="","",'Rate Card'!J22)</f>
        <v>120</v>
      </c>
      <c r="C354" s="73" t="s">
        <v>973</v>
      </c>
      <c r="D354" s="73" t="s">
        <v>1605</v>
      </c>
    </row>
    <row r="355" customFormat="false" ht="15" hidden="false" customHeight="false" outlineLevel="0" collapsed="false">
      <c r="A355" s="0" t="s">
        <v>1606</v>
      </c>
      <c r="B355" s="79" t="n">
        <f aca="false">IF('Rate Card'!K22="","",'Rate Card'!K22)</f>
        <v>0.18</v>
      </c>
      <c r="C355" s="73" t="s">
        <v>1100</v>
      </c>
      <c r="D355" s="73" t="s">
        <v>1607</v>
      </c>
    </row>
    <row r="356" customFormat="false" ht="15" hidden="false" customHeight="false" outlineLevel="0" collapsed="false">
      <c r="A356" s="0" t="s">
        <v>1608</v>
      </c>
      <c r="B356" s="78" t="n">
        <f aca="false">IF('Rate Card'!L22="","",'Rate Card'!L22)</f>
        <v>25</v>
      </c>
      <c r="C356" s="73" t="s">
        <v>973</v>
      </c>
      <c r="D356" s="73" t="s">
        <v>1609</v>
      </c>
    </row>
    <row r="357" customFormat="false" ht="15" hidden="false" customHeight="false" outlineLevel="0" collapsed="false">
      <c r="A357" s="0" t="s">
        <v>1610</v>
      </c>
      <c r="B357" s="78" t="n">
        <f aca="false">IF('Rate Card'!M22="","",'Rate Card'!M22)</f>
        <v>10</v>
      </c>
      <c r="C357" s="73" t="s">
        <v>973</v>
      </c>
      <c r="D357" s="73" t="s">
        <v>1611</v>
      </c>
    </row>
    <row r="358" customFormat="false" ht="15" hidden="false" customHeight="false" outlineLevel="0" collapsed="false">
      <c r="A358" s="0" t="s">
        <v>1612</v>
      </c>
      <c r="B358" s="79" t="n">
        <f aca="false">IF('Rate Card'!N22="","",'Rate Card'!N22)</f>
        <v>0.05</v>
      </c>
      <c r="C358" s="73" t="s">
        <v>1100</v>
      </c>
      <c r="D358" s="73" t="s">
        <v>1613</v>
      </c>
    </row>
    <row r="359" customFormat="false" ht="15" hidden="false" customHeight="false" outlineLevel="0" collapsed="false">
      <c r="A359" s="0" t="s">
        <v>1614</v>
      </c>
      <c r="B359" s="78" t="n">
        <f aca="false">IF('Rate Card'!P22="","",'Rate Card'!P22)</f>
        <v>794.3182</v>
      </c>
      <c r="C359" s="73" t="s">
        <v>973</v>
      </c>
      <c r="D359" s="73" t="s">
        <v>1615</v>
      </c>
    </row>
    <row r="360" customFormat="false" ht="15" hidden="false" customHeight="false" outlineLevel="0" collapsed="false">
      <c r="A360" s="0" t="s">
        <v>1616</v>
      </c>
      <c r="B360" s="0" t="str">
        <f aca="false">IF('Rate Card'!G23="","",'Rate Card'!G23)</f>
        <v>Air / groupage</v>
      </c>
      <c r="C360" s="0" t="s">
        <v>970</v>
      </c>
      <c r="D360" s="0" t="s">
        <v>1617</v>
      </c>
    </row>
    <row r="361" customFormat="false" ht="15" hidden="false" customHeight="false" outlineLevel="0" collapsed="false">
      <c r="A361" s="0" t="s">
        <v>1618</v>
      </c>
      <c r="B361" s="77" t="n">
        <f aca="false">IF('Rate Card'!H23="","",'Rate Card'!H23)</f>
        <v>4</v>
      </c>
      <c r="C361" s="73" t="s">
        <v>973</v>
      </c>
      <c r="D361" s="73" t="s">
        <v>1619</v>
      </c>
    </row>
    <row r="362" customFormat="false" ht="15" hidden="false" customHeight="false" outlineLevel="0" collapsed="false">
      <c r="A362" s="0" t="s">
        <v>1620</v>
      </c>
      <c r="B362" s="77" t="n">
        <f aca="false">IF('Rate Card'!S23="","",'Rate Card'!S23)</f>
        <v>6</v>
      </c>
      <c r="C362" s="73" t="s">
        <v>973</v>
      </c>
      <c r="D362" s="73" t="s">
        <v>1621</v>
      </c>
    </row>
    <row r="363" customFormat="false" ht="15" hidden="false" customHeight="false" outlineLevel="0" collapsed="false">
      <c r="A363" s="0" t="s">
        <v>1622</v>
      </c>
      <c r="B363" s="78" t="n">
        <f aca="false">IF('Rate Card'!I23="","",'Rate Card'!I23)</f>
        <v>4.38</v>
      </c>
      <c r="C363" s="73" t="s">
        <v>973</v>
      </c>
      <c r="D363" s="73" t="s">
        <v>1623</v>
      </c>
    </row>
    <row r="364" customFormat="false" ht="15" hidden="false" customHeight="false" outlineLevel="0" collapsed="false">
      <c r="A364" s="0" t="s">
        <v>1624</v>
      </c>
      <c r="B364" s="78" t="n">
        <f aca="false">IF('Rate Card'!J23="","",'Rate Card'!J23)</f>
        <v>250</v>
      </c>
      <c r="C364" s="73" t="s">
        <v>973</v>
      </c>
      <c r="D364" s="73" t="s">
        <v>1625</v>
      </c>
    </row>
    <row r="365" customFormat="false" ht="15" hidden="false" customHeight="false" outlineLevel="0" collapsed="false">
      <c r="A365" s="0" t="s">
        <v>1626</v>
      </c>
      <c r="B365" s="79" t="n">
        <f aca="false">IF('Rate Card'!K23="","",'Rate Card'!K23)</f>
        <v>0.18</v>
      </c>
      <c r="C365" s="73" t="s">
        <v>1100</v>
      </c>
      <c r="D365" s="73" t="s">
        <v>1627</v>
      </c>
    </row>
    <row r="366" customFormat="false" ht="15" hidden="false" customHeight="false" outlineLevel="0" collapsed="false">
      <c r="A366" s="0" t="s">
        <v>1628</v>
      </c>
      <c r="B366" s="78" t="n">
        <f aca="false">IF('Rate Card'!L23="","",'Rate Card'!L23)</f>
        <v>25</v>
      </c>
      <c r="C366" s="73" t="s">
        <v>973</v>
      </c>
      <c r="D366" s="73" t="s">
        <v>1629</v>
      </c>
    </row>
    <row r="367" customFormat="false" ht="15" hidden="false" customHeight="false" outlineLevel="0" collapsed="false">
      <c r="A367" s="0" t="s">
        <v>1630</v>
      </c>
      <c r="B367" s="78" t="n">
        <f aca="false">IF('Rate Card'!M23="","",'Rate Card'!M23)</f>
        <v>10</v>
      </c>
      <c r="C367" s="73" t="s">
        <v>973</v>
      </c>
      <c r="D367" s="73" t="s">
        <v>1631</v>
      </c>
    </row>
    <row r="368" customFormat="false" ht="15" hidden="false" customHeight="false" outlineLevel="0" collapsed="false">
      <c r="A368" s="0" t="s">
        <v>1632</v>
      </c>
      <c r="B368" s="79" t="n">
        <f aca="false">IF('Rate Card'!N23="","",'Rate Card'!N23)</f>
        <v>0.05</v>
      </c>
      <c r="C368" s="73" t="s">
        <v>1100</v>
      </c>
      <c r="D368" s="73" t="s">
        <v>1633</v>
      </c>
    </row>
    <row r="369" customFormat="false" ht="15" hidden="false" customHeight="false" outlineLevel="0" collapsed="false">
      <c r="A369" s="0" t="s">
        <v>1634</v>
      </c>
      <c r="B369" s="78" t="n">
        <f aca="false">IF('Rate Card'!P23="","",'Rate Card'!P23)</f>
        <v>5286.0944</v>
      </c>
      <c r="C369" s="73" t="s">
        <v>973</v>
      </c>
      <c r="D369" s="73" t="s">
        <v>1635</v>
      </c>
    </row>
    <row r="370" customFormat="false" ht="15" hidden="false" customHeight="false" outlineLevel="0" collapsed="false">
      <c r="A370" s="0" t="s">
        <v>1636</v>
      </c>
      <c r="B370" s="0" t="str">
        <f aca="false">IF('Rate Card'!G24="","",'Rate Card'!G24)</f>
        <v>Road FTL</v>
      </c>
      <c r="C370" s="0" t="s">
        <v>970</v>
      </c>
      <c r="D370" s="0" t="s">
        <v>1637</v>
      </c>
    </row>
    <row r="371" customFormat="false" ht="15" hidden="false" customHeight="false" outlineLevel="0" collapsed="false">
      <c r="A371" s="0" t="s">
        <v>1638</v>
      </c>
      <c r="B371" s="77" t="n">
        <f aca="false">IF('Rate Card'!H24="","",'Rate Card'!H24)</f>
        <v>6</v>
      </c>
      <c r="C371" s="73" t="s">
        <v>973</v>
      </c>
      <c r="D371" s="73" t="s">
        <v>1639</v>
      </c>
    </row>
    <row r="372" customFormat="false" ht="15" hidden="false" customHeight="false" outlineLevel="0" collapsed="false">
      <c r="A372" s="0" t="s">
        <v>1640</v>
      </c>
      <c r="B372" s="77" t="n">
        <f aca="false">IF('Rate Card'!S24="","",'Rate Card'!S24)</f>
        <v>9</v>
      </c>
      <c r="C372" s="73" t="s">
        <v>973</v>
      </c>
      <c r="D372" s="73" t="s">
        <v>1641</v>
      </c>
    </row>
    <row r="373" customFormat="false" ht="15" hidden="false" customHeight="false" outlineLevel="0" collapsed="false">
      <c r="A373" s="0" t="s">
        <v>1642</v>
      </c>
      <c r="B373" s="78" t="n">
        <f aca="false">IF('Rate Card'!I24="","",'Rate Card'!I24)</f>
        <v>2.33</v>
      </c>
      <c r="C373" s="73" t="s">
        <v>973</v>
      </c>
      <c r="D373" s="73" t="s">
        <v>1643</v>
      </c>
    </row>
    <row r="374" customFormat="false" ht="15" hidden="false" customHeight="false" outlineLevel="0" collapsed="false">
      <c r="A374" s="0" t="s">
        <v>1644</v>
      </c>
      <c r="B374" s="78" t="n">
        <f aca="false">IF('Rate Card'!J24="","",'Rate Card'!J24)</f>
        <v>600</v>
      </c>
      <c r="C374" s="73" t="s">
        <v>973</v>
      </c>
      <c r="D374" s="73" t="s">
        <v>1645</v>
      </c>
    </row>
    <row r="375" customFormat="false" ht="15" hidden="false" customHeight="false" outlineLevel="0" collapsed="false">
      <c r="A375" s="0" t="s">
        <v>1646</v>
      </c>
      <c r="B375" s="79" t="n">
        <f aca="false">IF('Rate Card'!K24="","",'Rate Card'!K24)</f>
        <v>0.18</v>
      </c>
      <c r="C375" s="73" t="s">
        <v>1100</v>
      </c>
      <c r="D375" s="73" t="s">
        <v>1647</v>
      </c>
    </row>
    <row r="376" customFormat="false" ht="15" hidden="false" customHeight="false" outlineLevel="0" collapsed="false">
      <c r="A376" s="0" t="s">
        <v>1648</v>
      </c>
      <c r="B376" s="78" t="n">
        <f aca="false">IF('Rate Card'!L24="","",'Rate Card'!L24)</f>
        <v>25</v>
      </c>
      <c r="C376" s="73" t="s">
        <v>973</v>
      </c>
      <c r="D376" s="73" t="s">
        <v>1649</v>
      </c>
    </row>
    <row r="377" customFormat="false" ht="15" hidden="false" customHeight="false" outlineLevel="0" collapsed="false">
      <c r="A377" s="0" t="s">
        <v>1650</v>
      </c>
      <c r="B377" s="78" t="n">
        <f aca="false">IF('Rate Card'!M24="","",'Rate Card'!M24)</f>
        <v>10</v>
      </c>
      <c r="C377" s="73" t="s">
        <v>973</v>
      </c>
      <c r="D377" s="73" t="s">
        <v>1651</v>
      </c>
    </row>
    <row r="378" customFormat="false" ht="15" hidden="false" customHeight="false" outlineLevel="0" collapsed="false">
      <c r="A378" s="0" t="s">
        <v>1652</v>
      </c>
      <c r="B378" s="79" t="n">
        <f aca="false">IF('Rate Card'!N24="","",'Rate Card'!N24)</f>
        <v>0.05</v>
      </c>
      <c r="C378" s="73" t="s">
        <v>1100</v>
      </c>
      <c r="D378" s="73" t="s">
        <v>1653</v>
      </c>
    </row>
    <row r="379" customFormat="false" ht="15" hidden="false" customHeight="false" outlineLevel="0" collapsed="false">
      <c r="A379" s="0" t="s">
        <v>1654</v>
      </c>
      <c r="B379" s="78" t="n">
        <f aca="false">IF('Rate Card'!P24="","",'Rate Card'!P24)</f>
        <v>7098.2086</v>
      </c>
      <c r="C379" s="73" t="s">
        <v>973</v>
      </c>
      <c r="D379" s="73" t="s">
        <v>1655</v>
      </c>
    </row>
    <row r="380" customFormat="false" ht="15" hidden="false" customHeight="false" outlineLevel="0" collapsed="false">
      <c r="A380" s="0" t="s">
        <v>1656</v>
      </c>
      <c r="B380" s="0" t="str">
        <f aca="false">IF('Rate Card'!G25="","",'Rate Card'!G25)</f>
        <v>Express</v>
      </c>
      <c r="C380" s="0" t="s">
        <v>970</v>
      </c>
      <c r="D380" s="0" t="s">
        <v>1657</v>
      </c>
    </row>
    <row r="381" customFormat="false" ht="15" hidden="false" customHeight="false" outlineLevel="0" collapsed="false">
      <c r="A381" s="0" t="s">
        <v>1658</v>
      </c>
      <c r="B381" s="77" t="n">
        <f aca="false">IF('Rate Card'!H25="","",'Rate Card'!H25)</f>
        <v>1</v>
      </c>
      <c r="C381" s="73" t="s">
        <v>973</v>
      </c>
      <c r="D381" s="73" t="s">
        <v>1659</v>
      </c>
    </row>
    <row r="382" customFormat="false" ht="15" hidden="false" customHeight="false" outlineLevel="0" collapsed="false">
      <c r="A382" s="0" t="s">
        <v>1660</v>
      </c>
      <c r="B382" s="77" t="n">
        <f aca="false">IF('Rate Card'!S25="","",'Rate Card'!S25)</f>
        <v>2</v>
      </c>
      <c r="C382" s="73" t="s">
        <v>973</v>
      </c>
      <c r="D382" s="73" t="s">
        <v>1661</v>
      </c>
    </row>
    <row r="383" customFormat="false" ht="15" hidden="false" customHeight="false" outlineLevel="0" collapsed="false">
      <c r="A383" s="0" t="s">
        <v>1662</v>
      </c>
      <c r="B383" s="78" t="n">
        <f aca="false">IF('Rate Card'!I25="","",'Rate Card'!I25)</f>
        <v>3.84</v>
      </c>
      <c r="C383" s="73" t="s">
        <v>973</v>
      </c>
      <c r="D383" s="73" t="s">
        <v>1663</v>
      </c>
    </row>
    <row r="384" customFormat="false" ht="15" hidden="false" customHeight="false" outlineLevel="0" collapsed="false">
      <c r="A384" s="0" t="s">
        <v>1664</v>
      </c>
      <c r="B384" s="78" t="n">
        <f aca="false">IF('Rate Card'!J25="","",'Rate Card'!J25)</f>
        <v>35</v>
      </c>
      <c r="C384" s="73" t="s">
        <v>973</v>
      </c>
      <c r="D384" s="73" t="s">
        <v>1665</v>
      </c>
    </row>
    <row r="385" customFormat="false" ht="15" hidden="false" customHeight="false" outlineLevel="0" collapsed="false">
      <c r="A385" s="0" t="s">
        <v>1666</v>
      </c>
      <c r="B385" s="79" t="n">
        <f aca="false">IF('Rate Card'!K25="","",'Rate Card'!K25)</f>
        <v>0.18</v>
      </c>
      <c r="C385" s="73" t="s">
        <v>1100</v>
      </c>
      <c r="D385" s="73" t="s">
        <v>1667</v>
      </c>
    </row>
    <row r="386" customFormat="false" ht="15" hidden="false" customHeight="false" outlineLevel="0" collapsed="false">
      <c r="A386" s="0" t="s">
        <v>1668</v>
      </c>
      <c r="B386" s="78" t="n">
        <f aca="false">IF('Rate Card'!L25="","",'Rate Card'!L25)</f>
        <v>25</v>
      </c>
      <c r="C386" s="73" t="s">
        <v>973</v>
      </c>
      <c r="D386" s="73" t="s">
        <v>1669</v>
      </c>
    </row>
    <row r="387" customFormat="false" ht="15" hidden="false" customHeight="false" outlineLevel="0" collapsed="false">
      <c r="A387" s="0" t="s">
        <v>1670</v>
      </c>
      <c r="B387" s="78" t="n">
        <f aca="false">IF('Rate Card'!M25="","",'Rate Card'!M25)</f>
        <v>10</v>
      </c>
      <c r="C387" s="73" t="s">
        <v>973</v>
      </c>
      <c r="D387" s="73" t="s">
        <v>1671</v>
      </c>
    </row>
    <row r="388" customFormat="false" ht="15" hidden="false" customHeight="false" outlineLevel="0" collapsed="false">
      <c r="A388" s="0" t="s">
        <v>1672</v>
      </c>
      <c r="B388" s="79" t="n">
        <f aca="false">IF('Rate Card'!N25="","",'Rate Card'!N25)</f>
        <v>0.05</v>
      </c>
      <c r="C388" s="73" t="s">
        <v>1100</v>
      </c>
      <c r="D388" s="73" t="s">
        <v>1673</v>
      </c>
    </row>
    <row r="389" customFormat="false" ht="15" hidden="false" customHeight="false" outlineLevel="0" collapsed="false">
      <c r="A389" s="0" t="s">
        <v>1674</v>
      </c>
      <c r="B389" s="78" t="n">
        <f aca="false">IF('Rate Card'!P25="","",'Rate Card'!P25)</f>
        <v>76.3</v>
      </c>
      <c r="C389" s="73" t="s">
        <v>973</v>
      </c>
      <c r="D389" s="73" t="s">
        <v>1675</v>
      </c>
    </row>
    <row r="390" customFormat="false" ht="15" hidden="false" customHeight="false" outlineLevel="0" collapsed="false">
      <c r="A390" s="0" t="s">
        <v>1676</v>
      </c>
      <c r="B390" s="0" t="str">
        <f aca="false">IF('Rate Card'!G26="","",'Rate Card'!G26)</f>
        <v>Express</v>
      </c>
      <c r="C390" s="0" t="s">
        <v>970</v>
      </c>
      <c r="D390" s="0" t="s">
        <v>1677</v>
      </c>
    </row>
    <row r="391" customFormat="false" ht="15" hidden="false" customHeight="false" outlineLevel="0" collapsed="false">
      <c r="A391" s="0" t="s">
        <v>1678</v>
      </c>
      <c r="B391" s="77" t="n">
        <f aca="false">IF('Rate Card'!H26="","",'Rate Card'!H26)</f>
        <v>2</v>
      </c>
      <c r="C391" s="73" t="s">
        <v>973</v>
      </c>
      <c r="D391" s="73" t="s">
        <v>1679</v>
      </c>
    </row>
    <row r="392" customFormat="false" ht="15" hidden="false" customHeight="false" outlineLevel="0" collapsed="false">
      <c r="A392" s="0" t="s">
        <v>1680</v>
      </c>
      <c r="B392" s="77" t="n">
        <f aca="false">IF('Rate Card'!S26="","",'Rate Card'!S26)</f>
        <v>3</v>
      </c>
      <c r="C392" s="73" t="s">
        <v>973</v>
      </c>
      <c r="D392" s="73" t="s">
        <v>1681</v>
      </c>
    </row>
    <row r="393" customFormat="false" ht="15" hidden="false" customHeight="false" outlineLevel="0" collapsed="false">
      <c r="A393" s="0" t="s">
        <v>1682</v>
      </c>
      <c r="B393" s="78" t="n">
        <f aca="false">IF('Rate Card'!I26="","",'Rate Card'!I26)</f>
        <v>4.31</v>
      </c>
      <c r="C393" s="73" t="s">
        <v>973</v>
      </c>
      <c r="D393" s="73" t="s">
        <v>1683</v>
      </c>
    </row>
    <row r="394" customFormat="false" ht="15" hidden="false" customHeight="false" outlineLevel="0" collapsed="false">
      <c r="A394" s="0" t="s">
        <v>1684</v>
      </c>
      <c r="B394" s="78" t="n">
        <f aca="false">IF('Rate Card'!J26="","",'Rate Card'!J26)</f>
        <v>60</v>
      </c>
      <c r="C394" s="73" t="s">
        <v>973</v>
      </c>
      <c r="D394" s="73" t="s">
        <v>1685</v>
      </c>
    </row>
    <row r="395" customFormat="false" ht="15" hidden="false" customHeight="false" outlineLevel="0" collapsed="false">
      <c r="A395" s="0" t="s">
        <v>1686</v>
      </c>
      <c r="B395" s="79" t="n">
        <f aca="false">IF('Rate Card'!K26="","",'Rate Card'!K26)</f>
        <v>0.18</v>
      </c>
      <c r="C395" s="73" t="s">
        <v>1100</v>
      </c>
      <c r="D395" s="73" t="s">
        <v>1687</v>
      </c>
    </row>
    <row r="396" customFormat="false" ht="15" hidden="false" customHeight="false" outlineLevel="0" collapsed="false">
      <c r="A396" s="0" t="s">
        <v>1688</v>
      </c>
      <c r="B396" s="78" t="n">
        <f aca="false">IF('Rate Card'!L26="","",'Rate Card'!L26)</f>
        <v>25</v>
      </c>
      <c r="C396" s="73" t="s">
        <v>973</v>
      </c>
      <c r="D396" s="73" t="s">
        <v>1689</v>
      </c>
    </row>
    <row r="397" customFormat="false" ht="15" hidden="false" customHeight="false" outlineLevel="0" collapsed="false">
      <c r="A397" s="0" t="s">
        <v>1690</v>
      </c>
      <c r="B397" s="78" t="n">
        <f aca="false">IF('Rate Card'!M26="","",'Rate Card'!M26)</f>
        <v>10</v>
      </c>
      <c r="C397" s="73" t="s">
        <v>973</v>
      </c>
      <c r="D397" s="73" t="s">
        <v>1691</v>
      </c>
    </row>
    <row r="398" customFormat="false" ht="15" hidden="false" customHeight="false" outlineLevel="0" collapsed="false">
      <c r="A398" s="0" t="s">
        <v>1692</v>
      </c>
      <c r="B398" s="79" t="n">
        <f aca="false">IF('Rate Card'!N26="","",'Rate Card'!N26)</f>
        <v>0.05</v>
      </c>
      <c r="C398" s="73" t="s">
        <v>1100</v>
      </c>
      <c r="D398" s="73" t="s">
        <v>1693</v>
      </c>
    </row>
    <row r="399" customFormat="false" ht="15" hidden="false" customHeight="false" outlineLevel="0" collapsed="false">
      <c r="A399" s="0" t="s">
        <v>1694</v>
      </c>
      <c r="B399" s="78" t="n">
        <f aca="false">IF('Rate Card'!P26="","",'Rate Card'!P26)</f>
        <v>319.8048</v>
      </c>
      <c r="C399" s="73" t="s">
        <v>973</v>
      </c>
      <c r="D399" s="73" t="s">
        <v>1695</v>
      </c>
    </row>
    <row r="400" customFormat="false" ht="15" hidden="false" customHeight="false" outlineLevel="0" collapsed="false">
      <c r="A400" s="0" t="s">
        <v>1696</v>
      </c>
      <c r="B400" s="0" t="str">
        <f aca="false">IF('Rate Card'!G27="","",'Rate Card'!G27)</f>
        <v>Air</v>
      </c>
      <c r="C400" s="0" t="s">
        <v>970</v>
      </c>
      <c r="D400" s="0" t="s">
        <v>1697</v>
      </c>
    </row>
    <row r="401" customFormat="false" ht="15" hidden="false" customHeight="false" outlineLevel="0" collapsed="false">
      <c r="A401" s="0" t="s">
        <v>1698</v>
      </c>
      <c r="B401" s="77" t="n">
        <f aca="false">IF('Rate Card'!H27="","",'Rate Card'!H27)</f>
        <v>3</v>
      </c>
      <c r="C401" s="73" t="s">
        <v>973</v>
      </c>
      <c r="D401" s="73" t="s">
        <v>1699</v>
      </c>
    </row>
    <row r="402" customFormat="false" ht="15" hidden="false" customHeight="false" outlineLevel="0" collapsed="false">
      <c r="A402" s="0" t="s">
        <v>1700</v>
      </c>
      <c r="B402" s="77" t="n">
        <f aca="false">IF('Rate Card'!S27="","",'Rate Card'!S27)</f>
        <v>5</v>
      </c>
      <c r="C402" s="73" t="s">
        <v>973</v>
      </c>
      <c r="D402" s="73" t="s">
        <v>1701</v>
      </c>
    </row>
    <row r="403" customFormat="false" ht="15" hidden="false" customHeight="false" outlineLevel="0" collapsed="false">
      <c r="A403" s="0" t="s">
        <v>1702</v>
      </c>
      <c r="B403" s="78" t="n">
        <f aca="false">IF('Rate Card'!I27="","",'Rate Card'!I27)</f>
        <v>4.34</v>
      </c>
      <c r="C403" s="73" t="s">
        <v>973</v>
      </c>
      <c r="D403" s="73" t="s">
        <v>1703</v>
      </c>
    </row>
    <row r="404" customFormat="false" ht="15" hidden="false" customHeight="false" outlineLevel="0" collapsed="false">
      <c r="A404" s="0" t="s">
        <v>1704</v>
      </c>
      <c r="B404" s="78" t="n">
        <f aca="false">IF('Rate Card'!J27="","",'Rate Card'!J27)</f>
        <v>120</v>
      </c>
      <c r="C404" s="73" t="s">
        <v>973</v>
      </c>
      <c r="D404" s="73" t="s">
        <v>1705</v>
      </c>
    </row>
    <row r="405" customFormat="false" ht="15" hidden="false" customHeight="false" outlineLevel="0" collapsed="false">
      <c r="A405" s="0" t="s">
        <v>1706</v>
      </c>
      <c r="B405" s="79" t="n">
        <f aca="false">IF('Rate Card'!K27="","",'Rate Card'!K27)</f>
        <v>0.18</v>
      </c>
      <c r="C405" s="73" t="s">
        <v>1100</v>
      </c>
      <c r="D405" s="73" t="s">
        <v>1707</v>
      </c>
    </row>
    <row r="406" customFormat="false" ht="15" hidden="false" customHeight="false" outlineLevel="0" collapsed="false">
      <c r="A406" s="0" t="s">
        <v>1708</v>
      </c>
      <c r="B406" s="78" t="n">
        <f aca="false">IF('Rate Card'!L27="","",'Rate Card'!L27)</f>
        <v>25</v>
      </c>
      <c r="C406" s="73" t="s">
        <v>973</v>
      </c>
      <c r="D406" s="73" t="s">
        <v>1709</v>
      </c>
    </row>
    <row r="407" customFormat="false" ht="15" hidden="false" customHeight="false" outlineLevel="0" collapsed="false">
      <c r="A407" s="0" t="s">
        <v>1710</v>
      </c>
      <c r="B407" s="78" t="n">
        <f aca="false">IF('Rate Card'!M27="","",'Rate Card'!M27)</f>
        <v>10</v>
      </c>
      <c r="C407" s="73" t="s">
        <v>973</v>
      </c>
      <c r="D407" s="73" t="s">
        <v>1711</v>
      </c>
    </row>
    <row r="408" customFormat="false" ht="15" hidden="false" customHeight="false" outlineLevel="0" collapsed="false">
      <c r="A408" s="0" t="s">
        <v>1712</v>
      </c>
      <c r="B408" s="79" t="n">
        <f aca="false">IF('Rate Card'!N27="","",'Rate Card'!N27)</f>
        <v>0.05</v>
      </c>
      <c r="C408" s="73" t="s">
        <v>1100</v>
      </c>
      <c r="D408" s="73" t="s">
        <v>1713</v>
      </c>
    </row>
    <row r="409" customFormat="false" ht="15" hidden="false" customHeight="false" outlineLevel="0" collapsed="false">
      <c r="A409" s="0" t="s">
        <v>1714</v>
      </c>
      <c r="B409" s="78" t="n">
        <f aca="false">IF('Rate Card'!P27="","",'Rate Card'!P27)</f>
        <v>1474.0572</v>
      </c>
      <c r="C409" s="73" t="s">
        <v>973</v>
      </c>
      <c r="D409" s="73" t="s">
        <v>1715</v>
      </c>
    </row>
    <row r="410" customFormat="false" ht="15" hidden="false" customHeight="false" outlineLevel="0" collapsed="false">
      <c r="A410" s="0" t="s">
        <v>1716</v>
      </c>
      <c r="B410" s="0" t="str">
        <f aca="false">IF('Rate Card'!G28="","",'Rate Card'!G28)</f>
        <v>Air / groupage</v>
      </c>
      <c r="C410" s="0" t="s">
        <v>970</v>
      </c>
      <c r="D410" s="0" t="s">
        <v>1717</v>
      </c>
    </row>
    <row r="411" customFormat="false" ht="15" hidden="false" customHeight="false" outlineLevel="0" collapsed="false">
      <c r="A411" s="0" t="s">
        <v>1718</v>
      </c>
      <c r="B411" s="77" t="n">
        <f aca="false">IF('Rate Card'!H28="","",'Rate Card'!H28)</f>
        <v>4</v>
      </c>
      <c r="C411" s="73" t="s">
        <v>973</v>
      </c>
      <c r="D411" s="73" t="s">
        <v>1719</v>
      </c>
    </row>
    <row r="412" customFormat="false" ht="15" hidden="false" customHeight="false" outlineLevel="0" collapsed="false">
      <c r="A412" s="0" t="s">
        <v>1720</v>
      </c>
      <c r="B412" s="77" t="n">
        <f aca="false">IF('Rate Card'!S28="","",'Rate Card'!S28)</f>
        <v>6</v>
      </c>
      <c r="C412" s="73" t="s">
        <v>973</v>
      </c>
      <c r="D412" s="73" t="s">
        <v>1721</v>
      </c>
    </row>
    <row r="413" customFormat="false" ht="15" hidden="false" customHeight="false" outlineLevel="0" collapsed="false">
      <c r="A413" s="0" t="s">
        <v>1722</v>
      </c>
      <c r="B413" s="78" t="n">
        <f aca="false">IF('Rate Card'!I28="","",'Rate Card'!I28)</f>
        <v>2.73</v>
      </c>
      <c r="C413" s="73" t="s">
        <v>973</v>
      </c>
      <c r="D413" s="73" t="s">
        <v>1723</v>
      </c>
    </row>
    <row r="414" customFormat="false" ht="15" hidden="false" customHeight="false" outlineLevel="0" collapsed="false">
      <c r="A414" s="0" t="s">
        <v>1724</v>
      </c>
      <c r="B414" s="78" t="n">
        <f aca="false">IF('Rate Card'!J28="","",'Rate Card'!J28)</f>
        <v>250</v>
      </c>
      <c r="C414" s="73" t="s">
        <v>973</v>
      </c>
      <c r="D414" s="73" t="s">
        <v>1725</v>
      </c>
    </row>
    <row r="415" customFormat="false" ht="15" hidden="false" customHeight="false" outlineLevel="0" collapsed="false">
      <c r="A415" s="0" t="s">
        <v>1726</v>
      </c>
      <c r="B415" s="79" t="n">
        <f aca="false">IF('Rate Card'!K28="","",'Rate Card'!K28)</f>
        <v>0.18</v>
      </c>
      <c r="C415" s="73" t="s">
        <v>1100</v>
      </c>
      <c r="D415" s="73" t="s">
        <v>1727</v>
      </c>
    </row>
    <row r="416" customFormat="false" ht="15" hidden="false" customHeight="false" outlineLevel="0" collapsed="false">
      <c r="A416" s="0" t="s">
        <v>1728</v>
      </c>
      <c r="B416" s="78" t="n">
        <f aca="false">IF('Rate Card'!L28="","",'Rate Card'!L28)</f>
        <v>25</v>
      </c>
      <c r="C416" s="73" t="s">
        <v>973</v>
      </c>
      <c r="D416" s="73" t="s">
        <v>1729</v>
      </c>
    </row>
    <row r="417" customFormat="false" ht="15" hidden="false" customHeight="false" outlineLevel="0" collapsed="false">
      <c r="A417" s="0" t="s">
        <v>1730</v>
      </c>
      <c r="B417" s="78" t="n">
        <f aca="false">IF('Rate Card'!M28="","",'Rate Card'!M28)</f>
        <v>10</v>
      </c>
      <c r="C417" s="73" t="s">
        <v>973</v>
      </c>
      <c r="D417" s="73" t="s">
        <v>1731</v>
      </c>
    </row>
    <row r="418" customFormat="false" ht="15" hidden="false" customHeight="false" outlineLevel="0" collapsed="false">
      <c r="A418" s="0" t="s">
        <v>1732</v>
      </c>
      <c r="B418" s="79" t="n">
        <f aca="false">IF('Rate Card'!N28="","",'Rate Card'!N28)</f>
        <v>0.05</v>
      </c>
      <c r="C418" s="73" t="s">
        <v>1100</v>
      </c>
      <c r="D418" s="73" t="s">
        <v>1733</v>
      </c>
    </row>
    <row r="419" customFormat="false" ht="15" hidden="false" customHeight="false" outlineLevel="0" collapsed="false">
      <c r="A419" s="0" t="s">
        <v>1734</v>
      </c>
      <c r="B419" s="78" t="n">
        <f aca="false">IF('Rate Card'!P28="","",'Rate Card'!P28)</f>
        <v>3307.9424</v>
      </c>
      <c r="C419" s="73" t="s">
        <v>973</v>
      </c>
      <c r="D419" s="73" t="s">
        <v>1735</v>
      </c>
    </row>
    <row r="420" customFormat="false" ht="15" hidden="false" customHeight="false" outlineLevel="0" collapsed="false">
      <c r="A420" s="0" t="s">
        <v>1736</v>
      </c>
      <c r="B420" s="0" t="str">
        <f aca="false">IF('Rate Card'!G29="","",'Rate Card'!G29)</f>
        <v>Road FTL</v>
      </c>
      <c r="C420" s="0" t="s">
        <v>970</v>
      </c>
      <c r="D420" s="0" t="s">
        <v>1737</v>
      </c>
    </row>
    <row r="421" customFormat="false" ht="15" hidden="false" customHeight="false" outlineLevel="0" collapsed="false">
      <c r="A421" s="0" t="s">
        <v>1738</v>
      </c>
      <c r="B421" s="77" t="n">
        <f aca="false">IF('Rate Card'!H29="","",'Rate Card'!H29)</f>
        <v>6</v>
      </c>
      <c r="C421" s="73" t="s">
        <v>973</v>
      </c>
      <c r="D421" s="73" t="s">
        <v>1739</v>
      </c>
    </row>
    <row r="422" customFormat="false" ht="15" hidden="false" customHeight="false" outlineLevel="0" collapsed="false">
      <c r="A422" s="0" t="s">
        <v>1740</v>
      </c>
      <c r="B422" s="77" t="n">
        <f aca="false">IF('Rate Card'!S29="","",'Rate Card'!S29)</f>
        <v>9</v>
      </c>
      <c r="C422" s="73" t="s">
        <v>973</v>
      </c>
      <c r="D422" s="73" t="s">
        <v>1741</v>
      </c>
    </row>
    <row r="423" customFormat="false" ht="15" hidden="false" customHeight="false" outlineLevel="0" collapsed="false">
      <c r="A423" s="0" t="s">
        <v>1742</v>
      </c>
      <c r="B423" s="78" t="n">
        <f aca="false">IF('Rate Card'!I29="","",'Rate Card'!I29)</f>
        <v>2.76</v>
      </c>
      <c r="C423" s="73" t="s">
        <v>973</v>
      </c>
      <c r="D423" s="73" t="s">
        <v>1743</v>
      </c>
    </row>
    <row r="424" customFormat="false" ht="15" hidden="false" customHeight="false" outlineLevel="0" collapsed="false">
      <c r="A424" s="0" t="s">
        <v>1744</v>
      </c>
      <c r="B424" s="78" t="n">
        <f aca="false">IF('Rate Card'!J29="","",'Rate Card'!J29)</f>
        <v>600</v>
      </c>
      <c r="C424" s="73" t="s">
        <v>973</v>
      </c>
      <c r="D424" s="73" t="s">
        <v>1745</v>
      </c>
    </row>
    <row r="425" customFormat="false" ht="15" hidden="false" customHeight="false" outlineLevel="0" collapsed="false">
      <c r="A425" s="0" t="s">
        <v>1746</v>
      </c>
      <c r="B425" s="79" t="n">
        <f aca="false">IF('Rate Card'!K29="","",'Rate Card'!K29)</f>
        <v>0.18</v>
      </c>
      <c r="C425" s="73" t="s">
        <v>1100</v>
      </c>
      <c r="D425" s="73" t="s">
        <v>1747</v>
      </c>
    </row>
    <row r="426" customFormat="false" ht="15" hidden="false" customHeight="false" outlineLevel="0" collapsed="false">
      <c r="A426" s="0" t="s">
        <v>1748</v>
      </c>
      <c r="B426" s="78" t="n">
        <f aca="false">IF('Rate Card'!L29="","",'Rate Card'!L29)</f>
        <v>25</v>
      </c>
      <c r="C426" s="73" t="s">
        <v>973</v>
      </c>
      <c r="D426" s="73" t="s">
        <v>1749</v>
      </c>
    </row>
    <row r="427" customFormat="false" ht="15" hidden="false" customHeight="false" outlineLevel="0" collapsed="false">
      <c r="A427" s="0" t="s">
        <v>1750</v>
      </c>
      <c r="B427" s="78" t="n">
        <f aca="false">IF('Rate Card'!M29="","",'Rate Card'!M29)</f>
        <v>10</v>
      </c>
      <c r="C427" s="73" t="s">
        <v>973</v>
      </c>
      <c r="D427" s="73" t="s">
        <v>1751</v>
      </c>
    </row>
    <row r="428" customFormat="false" ht="15" hidden="false" customHeight="false" outlineLevel="0" collapsed="false">
      <c r="A428" s="0" t="s">
        <v>1752</v>
      </c>
      <c r="B428" s="79" t="n">
        <f aca="false">IF('Rate Card'!N29="","",'Rate Card'!N29)</f>
        <v>0.05</v>
      </c>
      <c r="C428" s="73" t="s">
        <v>1100</v>
      </c>
      <c r="D428" s="73" t="s">
        <v>1753</v>
      </c>
    </row>
    <row r="429" customFormat="false" ht="15" hidden="false" customHeight="false" outlineLevel="0" collapsed="false">
      <c r="A429" s="0" t="s">
        <v>1754</v>
      </c>
      <c r="B429" s="78" t="n">
        <f aca="false">IF('Rate Card'!P29="","",'Rate Card'!P29)</f>
        <v>8401.7192</v>
      </c>
      <c r="C429" s="73" t="s">
        <v>973</v>
      </c>
      <c r="D429" s="73" t="s">
        <v>1755</v>
      </c>
    </row>
    <row r="430" customFormat="false" ht="15" hidden="false" customHeight="false" outlineLevel="0" collapsed="false">
      <c r="A430" s="0" t="s">
        <v>1756</v>
      </c>
      <c r="B430" s="0" t="str">
        <f aca="false">IF('Rate Card'!G30="","",'Rate Card'!G30)</f>
        <v>Express</v>
      </c>
      <c r="C430" s="0" t="s">
        <v>970</v>
      </c>
      <c r="D430" s="0" t="s">
        <v>1757</v>
      </c>
    </row>
    <row r="431" customFormat="false" ht="15" hidden="false" customHeight="false" outlineLevel="0" collapsed="false">
      <c r="A431" s="0" t="s">
        <v>1758</v>
      </c>
      <c r="B431" s="77" t="n">
        <f aca="false">IF('Rate Card'!H30="","",'Rate Card'!H30)</f>
        <v>1</v>
      </c>
      <c r="C431" s="73" t="s">
        <v>973</v>
      </c>
      <c r="D431" s="73" t="s">
        <v>1759</v>
      </c>
    </row>
    <row r="432" customFormat="false" ht="15" hidden="false" customHeight="false" outlineLevel="0" collapsed="false">
      <c r="A432" s="0" t="s">
        <v>1760</v>
      </c>
      <c r="B432" s="77" t="n">
        <f aca="false">IF('Rate Card'!S30="","",'Rate Card'!S30)</f>
        <v>2</v>
      </c>
      <c r="C432" s="73" t="s">
        <v>973</v>
      </c>
      <c r="D432" s="73" t="s">
        <v>1761</v>
      </c>
    </row>
    <row r="433" customFormat="false" ht="15" hidden="false" customHeight="false" outlineLevel="0" collapsed="false">
      <c r="A433" s="0" t="s">
        <v>1762</v>
      </c>
      <c r="B433" s="78" t="n">
        <f aca="false">IF('Rate Card'!I30="","",'Rate Card'!I30)</f>
        <v>3.22</v>
      </c>
      <c r="C433" s="73" t="s">
        <v>973</v>
      </c>
      <c r="D433" s="73" t="s">
        <v>1763</v>
      </c>
    </row>
    <row r="434" customFormat="false" ht="15" hidden="false" customHeight="false" outlineLevel="0" collapsed="false">
      <c r="A434" s="0" t="s">
        <v>1764</v>
      </c>
      <c r="B434" s="78" t="n">
        <f aca="false">IF('Rate Card'!J30="","",'Rate Card'!J30)</f>
        <v>35</v>
      </c>
      <c r="C434" s="73" t="s">
        <v>973</v>
      </c>
      <c r="D434" s="73" t="s">
        <v>1765</v>
      </c>
    </row>
    <row r="435" customFormat="false" ht="15" hidden="false" customHeight="false" outlineLevel="0" collapsed="false">
      <c r="A435" s="0" t="s">
        <v>1766</v>
      </c>
      <c r="B435" s="79" t="n">
        <f aca="false">IF('Rate Card'!K30="","",'Rate Card'!K30)</f>
        <v>0.18</v>
      </c>
      <c r="C435" s="73" t="s">
        <v>1100</v>
      </c>
      <c r="D435" s="73" t="s">
        <v>1767</v>
      </c>
    </row>
    <row r="436" customFormat="false" ht="15" hidden="false" customHeight="false" outlineLevel="0" collapsed="false">
      <c r="A436" s="0" t="s">
        <v>1768</v>
      </c>
      <c r="B436" s="78" t="n">
        <f aca="false">IF('Rate Card'!L30="","",'Rate Card'!L30)</f>
        <v>25</v>
      </c>
      <c r="C436" s="73" t="s">
        <v>973</v>
      </c>
      <c r="D436" s="73" t="s">
        <v>1769</v>
      </c>
    </row>
    <row r="437" customFormat="false" ht="15" hidden="false" customHeight="false" outlineLevel="0" collapsed="false">
      <c r="A437" s="0" t="s">
        <v>1770</v>
      </c>
      <c r="B437" s="78" t="n">
        <f aca="false">IF('Rate Card'!M30="","",'Rate Card'!M30)</f>
        <v>10</v>
      </c>
      <c r="C437" s="73" t="s">
        <v>973</v>
      </c>
      <c r="D437" s="73" t="s">
        <v>1771</v>
      </c>
    </row>
    <row r="438" customFormat="false" ht="15" hidden="false" customHeight="false" outlineLevel="0" collapsed="false">
      <c r="A438" s="0" t="s">
        <v>1772</v>
      </c>
      <c r="B438" s="79" t="n">
        <f aca="false">IF('Rate Card'!N30="","",'Rate Card'!N30)</f>
        <v>0.05</v>
      </c>
      <c r="C438" s="73" t="s">
        <v>1100</v>
      </c>
      <c r="D438" s="73" t="s">
        <v>1773</v>
      </c>
    </row>
    <row r="439" customFormat="false" ht="15" hidden="false" customHeight="false" outlineLevel="0" collapsed="false">
      <c r="A439" s="0" t="s">
        <v>1774</v>
      </c>
      <c r="B439" s="78" t="n">
        <f aca="false">IF('Rate Card'!P30="","",'Rate Card'!P30)</f>
        <v>76.3</v>
      </c>
      <c r="C439" s="73" t="s">
        <v>973</v>
      </c>
      <c r="D439" s="73" t="s">
        <v>1775</v>
      </c>
    </row>
    <row r="440" customFormat="false" ht="15" hidden="false" customHeight="false" outlineLevel="0" collapsed="false">
      <c r="A440" s="0" t="s">
        <v>1776</v>
      </c>
      <c r="B440" s="0" t="str">
        <f aca="false">IF('Rate Card'!G31="","",'Rate Card'!G31)</f>
        <v>Express</v>
      </c>
      <c r="C440" s="0" t="s">
        <v>970</v>
      </c>
      <c r="D440" s="0" t="s">
        <v>1777</v>
      </c>
    </row>
    <row r="441" customFormat="false" ht="15" hidden="false" customHeight="false" outlineLevel="0" collapsed="false">
      <c r="A441" s="0" t="s">
        <v>1778</v>
      </c>
      <c r="B441" s="77" t="n">
        <f aca="false">IF('Rate Card'!H31="","",'Rate Card'!H31)</f>
        <v>2</v>
      </c>
      <c r="C441" s="73" t="s">
        <v>973</v>
      </c>
      <c r="D441" s="73" t="s">
        <v>1779</v>
      </c>
    </row>
    <row r="442" customFormat="false" ht="15" hidden="false" customHeight="false" outlineLevel="0" collapsed="false">
      <c r="A442" s="0" t="s">
        <v>1780</v>
      </c>
      <c r="B442" s="77" t="n">
        <f aca="false">IF('Rate Card'!S31="","",'Rate Card'!S31)</f>
        <v>3</v>
      </c>
      <c r="C442" s="73" t="s">
        <v>973</v>
      </c>
      <c r="D442" s="73" t="s">
        <v>1781</v>
      </c>
    </row>
    <row r="443" customFormat="false" ht="15" hidden="false" customHeight="false" outlineLevel="0" collapsed="false">
      <c r="A443" s="0" t="s">
        <v>1782</v>
      </c>
      <c r="B443" s="78" t="n">
        <f aca="false">IF('Rate Card'!I31="","",'Rate Card'!I31)</f>
        <v>3.89</v>
      </c>
      <c r="C443" s="73" t="s">
        <v>973</v>
      </c>
      <c r="D443" s="73" t="s">
        <v>1783</v>
      </c>
    </row>
    <row r="444" customFormat="false" ht="15" hidden="false" customHeight="false" outlineLevel="0" collapsed="false">
      <c r="A444" s="0" t="s">
        <v>1784</v>
      </c>
      <c r="B444" s="78" t="n">
        <f aca="false">IF('Rate Card'!J31="","",'Rate Card'!J31)</f>
        <v>60</v>
      </c>
      <c r="C444" s="73" t="s">
        <v>973</v>
      </c>
      <c r="D444" s="73" t="s">
        <v>1785</v>
      </c>
    </row>
    <row r="445" customFormat="false" ht="15" hidden="false" customHeight="false" outlineLevel="0" collapsed="false">
      <c r="A445" s="0" t="s">
        <v>1786</v>
      </c>
      <c r="B445" s="79" t="n">
        <f aca="false">IF('Rate Card'!K31="","",'Rate Card'!K31)</f>
        <v>0.18</v>
      </c>
      <c r="C445" s="73" t="s">
        <v>1100</v>
      </c>
      <c r="D445" s="73" t="s">
        <v>1787</v>
      </c>
    </row>
    <row r="446" customFormat="false" ht="15" hidden="false" customHeight="false" outlineLevel="0" collapsed="false">
      <c r="A446" s="0" t="s">
        <v>1788</v>
      </c>
      <c r="B446" s="78" t="n">
        <f aca="false">IF('Rate Card'!L31="","",'Rate Card'!L31)</f>
        <v>25</v>
      </c>
      <c r="C446" s="73" t="s">
        <v>973</v>
      </c>
      <c r="D446" s="73" t="s">
        <v>1789</v>
      </c>
    </row>
    <row r="447" customFormat="false" ht="15" hidden="false" customHeight="false" outlineLevel="0" collapsed="false">
      <c r="A447" s="0" t="s">
        <v>1790</v>
      </c>
      <c r="B447" s="78" t="n">
        <f aca="false">IF('Rate Card'!M31="","",'Rate Card'!M31)</f>
        <v>10</v>
      </c>
      <c r="C447" s="73" t="s">
        <v>973</v>
      </c>
      <c r="D447" s="73" t="s">
        <v>1791</v>
      </c>
    </row>
    <row r="448" customFormat="false" ht="15" hidden="false" customHeight="false" outlineLevel="0" collapsed="false">
      <c r="A448" s="0" t="s">
        <v>1792</v>
      </c>
      <c r="B448" s="79" t="n">
        <f aca="false">IF('Rate Card'!N31="","",'Rate Card'!N31)</f>
        <v>0.05</v>
      </c>
      <c r="C448" s="73" t="s">
        <v>1100</v>
      </c>
      <c r="D448" s="73" t="s">
        <v>1793</v>
      </c>
    </row>
    <row r="449" customFormat="false" ht="15" hidden="false" customHeight="false" outlineLevel="0" collapsed="false">
      <c r="A449" s="0" t="s">
        <v>1794</v>
      </c>
      <c r="B449" s="78" t="n">
        <f aca="false">IF('Rate Card'!P31="","",'Rate Card'!P31)</f>
        <v>292.0512</v>
      </c>
      <c r="C449" s="73" t="s">
        <v>973</v>
      </c>
      <c r="D449" s="73" t="s">
        <v>1795</v>
      </c>
    </row>
    <row r="450" customFormat="false" ht="15" hidden="false" customHeight="false" outlineLevel="0" collapsed="false">
      <c r="A450" s="0" t="s">
        <v>1796</v>
      </c>
      <c r="B450" s="0" t="str">
        <f aca="false">IF('Rate Card'!G32="","",'Rate Card'!G32)</f>
        <v>Air</v>
      </c>
      <c r="C450" s="0" t="s">
        <v>970</v>
      </c>
      <c r="D450" s="0" t="s">
        <v>1797</v>
      </c>
    </row>
    <row r="451" customFormat="false" ht="15" hidden="false" customHeight="false" outlineLevel="0" collapsed="false">
      <c r="A451" s="0" t="s">
        <v>1798</v>
      </c>
      <c r="B451" s="77" t="n">
        <f aca="false">IF('Rate Card'!H32="","",'Rate Card'!H32)</f>
        <v>3</v>
      </c>
      <c r="C451" s="73" t="s">
        <v>973</v>
      </c>
      <c r="D451" s="73" t="s">
        <v>1799</v>
      </c>
    </row>
    <row r="452" customFormat="false" ht="15" hidden="false" customHeight="false" outlineLevel="0" collapsed="false">
      <c r="A452" s="0" t="s">
        <v>1800</v>
      </c>
      <c r="B452" s="77" t="n">
        <f aca="false">IF('Rate Card'!S32="","",'Rate Card'!S32)</f>
        <v>5</v>
      </c>
      <c r="C452" s="73" t="s">
        <v>973</v>
      </c>
      <c r="D452" s="73" t="s">
        <v>1801</v>
      </c>
    </row>
    <row r="453" customFormat="false" ht="15" hidden="false" customHeight="false" outlineLevel="0" collapsed="false">
      <c r="A453" s="0" t="s">
        <v>1802</v>
      </c>
      <c r="B453" s="78" t="n">
        <f aca="false">IF('Rate Card'!I32="","",'Rate Card'!I32)</f>
        <v>2.09</v>
      </c>
      <c r="C453" s="73" t="s">
        <v>973</v>
      </c>
      <c r="D453" s="73" t="s">
        <v>1803</v>
      </c>
    </row>
    <row r="454" customFormat="false" ht="15" hidden="false" customHeight="false" outlineLevel="0" collapsed="false">
      <c r="A454" s="0" t="s">
        <v>1804</v>
      </c>
      <c r="B454" s="78" t="n">
        <f aca="false">IF('Rate Card'!J32="","",'Rate Card'!J32)</f>
        <v>120</v>
      </c>
      <c r="C454" s="73" t="s">
        <v>973</v>
      </c>
      <c r="D454" s="73" t="s">
        <v>1805</v>
      </c>
    </row>
    <row r="455" customFormat="false" ht="15" hidden="false" customHeight="false" outlineLevel="0" collapsed="false">
      <c r="A455" s="0" t="s">
        <v>1806</v>
      </c>
      <c r="B455" s="79" t="n">
        <f aca="false">IF('Rate Card'!K32="","",'Rate Card'!K32)</f>
        <v>0.18</v>
      </c>
      <c r="C455" s="73" t="s">
        <v>1100</v>
      </c>
      <c r="D455" s="73" t="s">
        <v>1807</v>
      </c>
    </row>
    <row r="456" customFormat="false" ht="15" hidden="false" customHeight="false" outlineLevel="0" collapsed="false">
      <c r="A456" s="0" t="s">
        <v>1808</v>
      </c>
      <c r="B456" s="78" t="n">
        <f aca="false">IF('Rate Card'!L32="","",'Rate Card'!L32)</f>
        <v>25</v>
      </c>
      <c r="C456" s="73" t="s">
        <v>973</v>
      </c>
      <c r="D456" s="73" t="s">
        <v>1809</v>
      </c>
    </row>
    <row r="457" customFormat="false" ht="15" hidden="false" customHeight="false" outlineLevel="0" collapsed="false">
      <c r="A457" s="0" t="s">
        <v>1810</v>
      </c>
      <c r="B457" s="78" t="n">
        <f aca="false">IF('Rate Card'!M32="","",'Rate Card'!M32)</f>
        <v>10</v>
      </c>
      <c r="C457" s="73" t="s">
        <v>973</v>
      </c>
      <c r="D457" s="73" t="s">
        <v>1811</v>
      </c>
    </row>
    <row r="458" customFormat="false" ht="15" hidden="false" customHeight="false" outlineLevel="0" collapsed="false">
      <c r="A458" s="0" t="s">
        <v>1812</v>
      </c>
      <c r="B458" s="79" t="n">
        <f aca="false">IF('Rate Card'!N32="","",'Rate Card'!N32)</f>
        <v>0.05</v>
      </c>
      <c r="C458" s="73" t="s">
        <v>1100</v>
      </c>
      <c r="D458" s="73" t="s">
        <v>1813</v>
      </c>
    </row>
    <row r="459" customFormat="false" ht="15" hidden="false" customHeight="false" outlineLevel="0" collapsed="false">
      <c r="A459" s="0" t="s">
        <v>1814</v>
      </c>
      <c r="B459" s="78" t="n">
        <f aca="false">IF('Rate Card'!P32="","",'Rate Card'!P32)</f>
        <v>728.0022</v>
      </c>
      <c r="C459" s="73" t="s">
        <v>973</v>
      </c>
      <c r="D459" s="73" t="s">
        <v>1815</v>
      </c>
    </row>
    <row r="460" customFormat="false" ht="15" hidden="false" customHeight="false" outlineLevel="0" collapsed="false">
      <c r="A460" s="0" t="s">
        <v>1816</v>
      </c>
      <c r="B460" s="0" t="str">
        <f aca="false">IF('Rate Card'!G33="","",'Rate Card'!G33)</f>
        <v>Air / groupage</v>
      </c>
      <c r="C460" s="0" t="s">
        <v>970</v>
      </c>
      <c r="D460" s="0" t="s">
        <v>1817</v>
      </c>
    </row>
    <row r="461" customFormat="false" ht="15" hidden="false" customHeight="false" outlineLevel="0" collapsed="false">
      <c r="A461" s="0" t="s">
        <v>1818</v>
      </c>
      <c r="B461" s="77" t="n">
        <f aca="false">IF('Rate Card'!H33="","",'Rate Card'!H33)</f>
        <v>4</v>
      </c>
      <c r="C461" s="73" t="s">
        <v>973</v>
      </c>
      <c r="D461" s="73" t="s">
        <v>1819</v>
      </c>
    </row>
    <row r="462" customFormat="false" ht="15" hidden="false" customHeight="false" outlineLevel="0" collapsed="false">
      <c r="A462" s="0" t="s">
        <v>1820</v>
      </c>
      <c r="B462" s="77" t="n">
        <f aca="false">IF('Rate Card'!S33="","",'Rate Card'!S33)</f>
        <v>6</v>
      </c>
      <c r="C462" s="73" t="s">
        <v>973</v>
      </c>
      <c r="D462" s="73" t="s">
        <v>1821</v>
      </c>
    </row>
    <row r="463" customFormat="false" ht="15" hidden="false" customHeight="false" outlineLevel="0" collapsed="false">
      <c r="A463" s="0" t="s">
        <v>1822</v>
      </c>
      <c r="B463" s="78" t="n">
        <f aca="false">IF('Rate Card'!I33="","",'Rate Card'!I33)</f>
        <v>3.82</v>
      </c>
      <c r="C463" s="73" t="s">
        <v>973</v>
      </c>
      <c r="D463" s="73" t="s">
        <v>1823</v>
      </c>
    </row>
    <row r="464" customFormat="false" ht="15" hidden="false" customHeight="false" outlineLevel="0" collapsed="false">
      <c r="A464" s="0" t="s">
        <v>1824</v>
      </c>
      <c r="B464" s="78" t="n">
        <f aca="false">IF('Rate Card'!J33="","",'Rate Card'!J33)</f>
        <v>250</v>
      </c>
      <c r="C464" s="73" t="s">
        <v>973</v>
      </c>
      <c r="D464" s="73" t="s">
        <v>1825</v>
      </c>
    </row>
    <row r="465" customFormat="false" ht="15" hidden="false" customHeight="false" outlineLevel="0" collapsed="false">
      <c r="A465" s="0" t="s">
        <v>1826</v>
      </c>
      <c r="B465" s="79" t="n">
        <f aca="false">IF('Rate Card'!K33="","",'Rate Card'!K33)</f>
        <v>0.18</v>
      </c>
      <c r="C465" s="73" t="s">
        <v>1100</v>
      </c>
      <c r="D465" s="73" t="s">
        <v>1827</v>
      </c>
    </row>
    <row r="466" customFormat="false" ht="15" hidden="false" customHeight="false" outlineLevel="0" collapsed="false">
      <c r="A466" s="0" t="s">
        <v>1828</v>
      </c>
      <c r="B466" s="78" t="n">
        <f aca="false">IF('Rate Card'!L33="","",'Rate Card'!L33)</f>
        <v>25</v>
      </c>
      <c r="C466" s="73" t="s">
        <v>973</v>
      </c>
      <c r="D466" s="73" t="s">
        <v>1829</v>
      </c>
    </row>
    <row r="467" customFormat="false" ht="15" hidden="false" customHeight="false" outlineLevel="0" collapsed="false">
      <c r="A467" s="0" t="s">
        <v>1830</v>
      </c>
      <c r="B467" s="78" t="n">
        <f aca="false">IF('Rate Card'!M33="","",'Rate Card'!M33)</f>
        <v>10</v>
      </c>
      <c r="C467" s="73" t="s">
        <v>973</v>
      </c>
      <c r="D467" s="73" t="s">
        <v>1831</v>
      </c>
    </row>
    <row r="468" customFormat="false" ht="15" hidden="false" customHeight="false" outlineLevel="0" collapsed="false">
      <c r="A468" s="0" t="s">
        <v>1832</v>
      </c>
      <c r="B468" s="79" t="n">
        <f aca="false">IF('Rate Card'!N33="","",'Rate Card'!N33)</f>
        <v>0.05</v>
      </c>
      <c r="C468" s="73" t="s">
        <v>1100</v>
      </c>
      <c r="D468" s="73" t="s">
        <v>1833</v>
      </c>
    </row>
    <row r="469" customFormat="false" ht="15" hidden="false" customHeight="false" outlineLevel="0" collapsed="false">
      <c r="A469" s="0" t="s">
        <v>1834</v>
      </c>
      <c r="B469" s="78" t="n">
        <f aca="false">IF('Rate Card'!P33="","",'Rate Card'!P33)</f>
        <v>4614.7216</v>
      </c>
      <c r="C469" s="73" t="s">
        <v>973</v>
      </c>
      <c r="D469" s="73" t="s">
        <v>1835</v>
      </c>
    </row>
    <row r="470" customFormat="false" ht="15" hidden="false" customHeight="false" outlineLevel="0" collapsed="false">
      <c r="A470" s="0" t="s">
        <v>1836</v>
      </c>
      <c r="B470" s="0" t="str">
        <f aca="false">IF('Rate Card'!G34="","",'Rate Card'!G34)</f>
        <v>Road FTL</v>
      </c>
      <c r="C470" s="0" t="s">
        <v>970</v>
      </c>
      <c r="D470" s="0" t="s">
        <v>1837</v>
      </c>
    </row>
    <row r="471" customFormat="false" ht="15" hidden="false" customHeight="false" outlineLevel="0" collapsed="false">
      <c r="A471" s="0" t="s">
        <v>1838</v>
      </c>
      <c r="B471" s="77" t="n">
        <f aca="false">IF('Rate Card'!H34="","",'Rate Card'!H34)</f>
        <v>6</v>
      </c>
      <c r="C471" s="73" t="s">
        <v>973</v>
      </c>
      <c r="D471" s="73" t="s">
        <v>1839</v>
      </c>
    </row>
    <row r="472" customFormat="false" ht="15" hidden="false" customHeight="false" outlineLevel="0" collapsed="false">
      <c r="A472" s="0" t="s">
        <v>1840</v>
      </c>
      <c r="B472" s="77" t="n">
        <f aca="false">IF('Rate Card'!S34="","",'Rate Card'!S34)</f>
        <v>9</v>
      </c>
      <c r="C472" s="73" t="s">
        <v>973</v>
      </c>
      <c r="D472" s="73" t="s">
        <v>1841</v>
      </c>
    </row>
    <row r="473" customFormat="false" ht="15" hidden="false" customHeight="false" outlineLevel="0" collapsed="false">
      <c r="A473" s="0" t="s">
        <v>1842</v>
      </c>
      <c r="B473" s="78" t="n">
        <f aca="false">IF('Rate Card'!I34="","",'Rate Card'!I34)</f>
        <v>3.95</v>
      </c>
      <c r="C473" s="73" t="s">
        <v>973</v>
      </c>
      <c r="D473" s="73" t="s">
        <v>1843</v>
      </c>
    </row>
    <row r="474" customFormat="false" ht="15" hidden="false" customHeight="false" outlineLevel="0" collapsed="false">
      <c r="A474" s="0" t="s">
        <v>1844</v>
      </c>
      <c r="B474" s="78" t="n">
        <f aca="false">IF('Rate Card'!J34="","",'Rate Card'!J34)</f>
        <v>600</v>
      </c>
      <c r="C474" s="73" t="s">
        <v>973</v>
      </c>
      <c r="D474" s="73" t="s">
        <v>1845</v>
      </c>
    </row>
    <row r="475" customFormat="false" ht="15" hidden="false" customHeight="false" outlineLevel="0" collapsed="false">
      <c r="A475" s="0" t="s">
        <v>1846</v>
      </c>
      <c r="B475" s="79" t="n">
        <f aca="false">IF('Rate Card'!K34="","",'Rate Card'!K34)</f>
        <v>0.18</v>
      </c>
      <c r="C475" s="73" t="s">
        <v>1100</v>
      </c>
      <c r="D475" s="73" t="s">
        <v>1847</v>
      </c>
    </row>
    <row r="476" customFormat="false" ht="15" hidden="false" customHeight="false" outlineLevel="0" collapsed="false">
      <c r="A476" s="0" t="s">
        <v>1848</v>
      </c>
      <c r="B476" s="78" t="n">
        <f aca="false">IF('Rate Card'!L34="","",'Rate Card'!L34)</f>
        <v>25</v>
      </c>
      <c r="C476" s="73" t="s">
        <v>973</v>
      </c>
      <c r="D476" s="73" t="s">
        <v>1849</v>
      </c>
    </row>
    <row r="477" customFormat="false" ht="15" hidden="false" customHeight="false" outlineLevel="0" collapsed="false">
      <c r="A477" s="0" t="s">
        <v>1850</v>
      </c>
      <c r="B477" s="78" t="n">
        <f aca="false">IF('Rate Card'!M34="","",'Rate Card'!M34)</f>
        <v>10</v>
      </c>
      <c r="C477" s="73" t="s">
        <v>973</v>
      </c>
      <c r="D477" s="73" t="s">
        <v>1851</v>
      </c>
    </row>
    <row r="478" customFormat="false" ht="15" hidden="false" customHeight="false" outlineLevel="0" collapsed="false">
      <c r="A478" s="0" t="s">
        <v>1852</v>
      </c>
      <c r="B478" s="79" t="n">
        <f aca="false">IF('Rate Card'!N34="","",'Rate Card'!N34)</f>
        <v>0.05</v>
      </c>
      <c r="C478" s="73" t="s">
        <v>1100</v>
      </c>
      <c r="D478" s="73" t="s">
        <v>1853</v>
      </c>
    </row>
    <row r="479" customFormat="false" ht="15" hidden="false" customHeight="false" outlineLevel="0" collapsed="false">
      <c r="A479" s="0" t="s">
        <v>1854</v>
      </c>
      <c r="B479" s="78" t="n">
        <f aca="false">IF('Rate Card'!P34="","",'Rate Card'!P34)</f>
        <v>12009.109</v>
      </c>
      <c r="C479" s="73" t="s">
        <v>973</v>
      </c>
      <c r="D479" s="73" t="s">
        <v>1855</v>
      </c>
    </row>
    <row r="480" customFormat="false" ht="15" hidden="false" customHeight="false" outlineLevel="0" collapsed="false">
      <c r="A480" s="0" t="s">
        <v>1856</v>
      </c>
      <c r="B480" s="0" t="str">
        <f aca="false">IF('Rate Card'!G35="","",'Rate Card'!G35)</f>
        <v>Express</v>
      </c>
      <c r="C480" s="0" t="s">
        <v>970</v>
      </c>
      <c r="D480" s="0" t="s">
        <v>1857</v>
      </c>
    </row>
    <row r="481" customFormat="false" ht="15" hidden="false" customHeight="false" outlineLevel="0" collapsed="false">
      <c r="A481" s="0" t="s">
        <v>1858</v>
      </c>
      <c r="B481" s="77" t="n">
        <f aca="false">IF('Rate Card'!H35="","",'Rate Card'!H35)</f>
        <v>1</v>
      </c>
      <c r="C481" s="73" t="s">
        <v>973</v>
      </c>
      <c r="D481" s="73" t="s">
        <v>1859</v>
      </c>
    </row>
    <row r="482" customFormat="false" ht="15" hidden="false" customHeight="false" outlineLevel="0" collapsed="false">
      <c r="A482" s="0" t="s">
        <v>1860</v>
      </c>
      <c r="B482" s="77" t="n">
        <f aca="false">IF('Rate Card'!S35="","",'Rate Card'!S35)</f>
        <v>2</v>
      </c>
      <c r="C482" s="73" t="s">
        <v>973</v>
      </c>
      <c r="D482" s="73" t="s">
        <v>1861</v>
      </c>
    </row>
    <row r="483" customFormat="false" ht="15" hidden="false" customHeight="false" outlineLevel="0" collapsed="false">
      <c r="A483" s="0" t="s">
        <v>1862</v>
      </c>
      <c r="B483" s="78" t="n">
        <f aca="false">IF('Rate Card'!I35="","",'Rate Card'!I35)</f>
        <v>4.12</v>
      </c>
      <c r="C483" s="73" t="s">
        <v>973</v>
      </c>
      <c r="D483" s="73" t="s">
        <v>1863</v>
      </c>
    </row>
    <row r="484" customFormat="false" ht="15" hidden="false" customHeight="false" outlineLevel="0" collapsed="false">
      <c r="A484" s="0" t="s">
        <v>1864</v>
      </c>
      <c r="B484" s="78" t="n">
        <f aca="false">IF('Rate Card'!J35="","",'Rate Card'!J35)</f>
        <v>35</v>
      </c>
      <c r="C484" s="73" t="s">
        <v>973</v>
      </c>
      <c r="D484" s="73" t="s">
        <v>1865</v>
      </c>
    </row>
    <row r="485" customFormat="false" ht="15" hidden="false" customHeight="false" outlineLevel="0" collapsed="false">
      <c r="A485" s="0" t="s">
        <v>1866</v>
      </c>
      <c r="B485" s="79" t="n">
        <f aca="false">IF('Rate Card'!K35="","",'Rate Card'!K35)</f>
        <v>0.18</v>
      </c>
      <c r="C485" s="73" t="s">
        <v>1100</v>
      </c>
      <c r="D485" s="73" t="s">
        <v>1867</v>
      </c>
    </row>
    <row r="486" customFormat="false" ht="15" hidden="false" customHeight="false" outlineLevel="0" collapsed="false">
      <c r="A486" s="0" t="s">
        <v>1868</v>
      </c>
      <c r="B486" s="78" t="n">
        <f aca="false">IF('Rate Card'!L35="","",'Rate Card'!L35)</f>
        <v>25</v>
      </c>
      <c r="C486" s="73" t="s">
        <v>973</v>
      </c>
      <c r="D486" s="73" t="s">
        <v>1869</v>
      </c>
    </row>
    <row r="487" customFormat="false" ht="15" hidden="false" customHeight="false" outlineLevel="0" collapsed="false">
      <c r="A487" s="0" t="s">
        <v>1870</v>
      </c>
      <c r="B487" s="78" t="n">
        <f aca="false">IF('Rate Card'!M35="","",'Rate Card'!M35)</f>
        <v>10</v>
      </c>
      <c r="C487" s="73" t="s">
        <v>973</v>
      </c>
      <c r="D487" s="73" t="s">
        <v>1871</v>
      </c>
    </row>
    <row r="488" customFormat="false" ht="15" hidden="false" customHeight="false" outlineLevel="0" collapsed="false">
      <c r="A488" s="0" t="s">
        <v>1872</v>
      </c>
      <c r="B488" s="79" t="n">
        <f aca="false">IF('Rate Card'!N35="","",'Rate Card'!N35)</f>
        <v>0.05</v>
      </c>
      <c r="C488" s="73" t="s">
        <v>1100</v>
      </c>
      <c r="D488" s="73" t="s">
        <v>1873</v>
      </c>
    </row>
    <row r="489" customFormat="false" ht="15" hidden="false" customHeight="false" outlineLevel="0" collapsed="false">
      <c r="A489" s="0" t="s">
        <v>1874</v>
      </c>
      <c r="B489" s="78" t="n">
        <f aca="false">IF('Rate Card'!P35="","",'Rate Card'!P35)</f>
        <v>76.3</v>
      </c>
      <c r="C489" s="73" t="s">
        <v>973</v>
      </c>
      <c r="D489" s="73" t="s">
        <v>1875</v>
      </c>
    </row>
    <row r="490" customFormat="false" ht="15" hidden="false" customHeight="false" outlineLevel="0" collapsed="false">
      <c r="A490" s="0" t="s">
        <v>1876</v>
      </c>
      <c r="B490" s="0" t="str">
        <f aca="false">IF('Rate Card'!G36="","",'Rate Card'!G36)</f>
        <v>Express</v>
      </c>
      <c r="C490" s="0" t="s">
        <v>970</v>
      </c>
      <c r="D490" s="0" t="s">
        <v>1877</v>
      </c>
    </row>
    <row r="491" customFormat="false" ht="15" hidden="false" customHeight="false" outlineLevel="0" collapsed="false">
      <c r="A491" s="0" t="s">
        <v>1878</v>
      </c>
      <c r="B491" s="77" t="n">
        <f aca="false">IF('Rate Card'!H36="","",'Rate Card'!H36)</f>
        <v>2</v>
      </c>
      <c r="C491" s="73" t="s">
        <v>973</v>
      </c>
      <c r="D491" s="73" t="s">
        <v>1879</v>
      </c>
    </row>
    <row r="492" customFormat="false" ht="15" hidden="false" customHeight="false" outlineLevel="0" collapsed="false">
      <c r="A492" s="0" t="s">
        <v>1880</v>
      </c>
      <c r="B492" s="77" t="n">
        <f aca="false">IF('Rate Card'!S36="","",'Rate Card'!S36)</f>
        <v>3</v>
      </c>
      <c r="C492" s="73" t="s">
        <v>973</v>
      </c>
      <c r="D492" s="73" t="s">
        <v>1881</v>
      </c>
    </row>
    <row r="493" customFormat="false" ht="15" hidden="false" customHeight="false" outlineLevel="0" collapsed="false">
      <c r="A493" s="0" t="s">
        <v>1882</v>
      </c>
      <c r="B493" s="78" t="n">
        <f aca="false">IF('Rate Card'!I36="","",'Rate Card'!I36)</f>
        <v>1.9</v>
      </c>
      <c r="C493" s="73" t="s">
        <v>973</v>
      </c>
      <c r="D493" s="73" t="s">
        <v>1883</v>
      </c>
    </row>
    <row r="494" customFormat="false" ht="15" hidden="false" customHeight="false" outlineLevel="0" collapsed="false">
      <c r="A494" s="0" t="s">
        <v>1884</v>
      </c>
      <c r="B494" s="78" t="n">
        <f aca="false">IF('Rate Card'!J36="","",'Rate Card'!J36)</f>
        <v>60</v>
      </c>
      <c r="C494" s="73" t="s">
        <v>973</v>
      </c>
      <c r="D494" s="73" t="s">
        <v>1885</v>
      </c>
    </row>
    <row r="495" customFormat="false" ht="15" hidden="false" customHeight="false" outlineLevel="0" collapsed="false">
      <c r="A495" s="0" t="s">
        <v>1886</v>
      </c>
      <c r="B495" s="79" t="n">
        <f aca="false">IF('Rate Card'!K36="","",'Rate Card'!K36)</f>
        <v>0.18</v>
      </c>
      <c r="C495" s="73" t="s">
        <v>1100</v>
      </c>
      <c r="D495" s="73" t="s">
        <v>1887</v>
      </c>
    </row>
    <row r="496" customFormat="false" ht="15" hidden="false" customHeight="false" outlineLevel="0" collapsed="false">
      <c r="A496" s="0" t="s">
        <v>1888</v>
      </c>
      <c r="B496" s="78" t="n">
        <f aca="false">IF('Rate Card'!L36="","",'Rate Card'!L36)</f>
        <v>25</v>
      </c>
      <c r="C496" s="73" t="s">
        <v>973</v>
      </c>
      <c r="D496" s="73" t="s">
        <v>1889</v>
      </c>
    </row>
    <row r="497" customFormat="false" ht="15" hidden="false" customHeight="false" outlineLevel="0" collapsed="false">
      <c r="A497" s="0" t="s">
        <v>1890</v>
      </c>
      <c r="B497" s="78" t="n">
        <f aca="false">IF('Rate Card'!M36="","",'Rate Card'!M36)</f>
        <v>10</v>
      </c>
      <c r="C497" s="73" t="s">
        <v>973</v>
      </c>
      <c r="D497" s="73" t="s">
        <v>1891</v>
      </c>
    </row>
    <row r="498" customFormat="false" ht="15" hidden="false" customHeight="false" outlineLevel="0" collapsed="false">
      <c r="A498" s="0" t="s">
        <v>1892</v>
      </c>
      <c r="B498" s="79" t="n">
        <f aca="false">IF('Rate Card'!N36="","",'Rate Card'!N36)</f>
        <v>0.05</v>
      </c>
      <c r="C498" s="73" t="s">
        <v>1100</v>
      </c>
      <c r="D498" s="73" t="s">
        <v>1893</v>
      </c>
    </row>
    <row r="499" customFormat="false" ht="15" hidden="false" customHeight="false" outlineLevel="0" collapsed="false">
      <c r="A499" s="0" t="s">
        <v>1894</v>
      </c>
      <c r="B499" s="78" t="n">
        <f aca="false">IF('Rate Card'!P36="","",'Rate Card'!P36)</f>
        <v>160.552</v>
      </c>
      <c r="C499" s="73" t="s">
        <v>973</v>
      </c>
      <c r="D499" s="73" t="s">
        <v>1895</v>
      </c>
    </row>
    <row r="500" customFormat="false" ht="15" hidden="false" customHeight="false" outlineLevel="0" collapsed="false">
      <c r="A500" s="0" t="s">
        <v>1896</v>
      </c>
      <c r="B500" s="0" t="str">
        <f aca="false">IF('Rate Card'!G37="","",'Rate Card'!G37)</f>
        <v>Air</v>
      </c>
      <c r="C500" s="0" t="s">
        <v>970</v>
      </c>
      <c r="D500" s="0" t="s">
        <v>1897</v>
      </c>
    </row>
    <row r="501" customFormat="false" ht="15" hidden="false" customHeight="false" outlineLevel="0" collapsed="false">
      <c r="A501" s="0" t="s">
        <v>1898</v>
      </c>
      <c r="B501" s="77" t="n">
        <f aca="false">IF('Rate Card'!H37="","",'Rate Card'!H37)</f>
        <v>3</v>
      </c>
      <c r="C501" s="73" t="s">
        <v>973</v>
      </c>
      <c r="D501" s="73" t="s">
        <v>1899</v>
      </c>
    </row>
    <row r="502" customFormat="false" ht="15" hidden="false" customHeight="false" outlineLevel="0" collapsed="false">
      <c r="A502" s="0" t="s">
        <v>1900</v>
      </c>
      <c r="B502" s="77" t="n">
        <f aca="false">IF('Rate Card'!S37="","",'Rate Card'!S37)</f>
        <v>5</v>
      </c>
      <c r="C502" s="73" t="s">
        <v>973</v>
      </c>
      <c r="D502" s="73" t="s">
        <v>1901</v>
      </c>
    </row>
    <row r="503" customFormat="false" ht="15" hidden="false" customHeight="false" outlineLevel="0" collapsed="false">
      <c r="A503" s="0" t="s">
        <v>1902</v>
      </c>
      <c r="B503" s="78" t="n">
        <f aca="false">IF('Rate Card'!I37="","",'Rate Card'!I37)</f>
        <v>4.35</v>
      </c>
      <c r="C503" s="73" t="s">
        <v>973</v>
      </c>
      <c r="D503" s="73" t="s">
        <v>1903</v>
      </c>
    </row>
    <row r="504" customFormat="false" ht="15" hidden="false" customHeight="false" outlineLevel="0" collapsed="false">
      <c r="A504" s="0" t="s">
        <v>1904</v>
      </c>
      <c r="B504" s="78" t="n">
        <f aca="false">IF('Rate Card'!J37="","",'Rate Card'!J37)</f>
        <v>120</v>
      </c>
      <c r="C504" s="73" t="s">
        <v>973</v>
      </c>
      <c r="D504" s="73" t="s">
        <v>1905</v>
      </c>
    </row>
    <row r="505" customFormat="false" ht="15" hidden="false" customHeight="false" outlineLevel="0" collapsed="false">
      <c r="A505" s="0" t="s">
        <v>1906</v>
      </c>
      <c r="B505" s="79" t="n">
        <f aca="false">IF('Rate Card'!K37="","",'Rate Card'!K37)</f>
        <v>0.18</v>
      </c>
      <c r="C505" s="73" t="s">
        <v>1100</v>
      </c>
      <c r="D505" s="73" t="s">
        <v>1907</v>
      </c>
    </row>
    <row r="506" customFormat="false" ht="15" hidden="false" customHeight="false" outlineLevel="0" collapsed="false">
      <c r="A506" s="0" t="s">
        <v>1908</v>
      </c>
      <c r="B506" s="78" t="n">
        <f aca="false">IF('Rate Card'!L37="","",'Rate Card'!L37)</f>
        <v>25</v>
      </c>
      <c r="C506" s="73" t="s">
        <v>973</v>
      </c>
      <c r="D506" s="73" t="s">
        <v>1909</v>
      </c>
    </row>
    <row r="507" customFormat="false" ht="15" hidden="false" customHeight="false" outlineLevel="0" collapsed="false">
      <c r="A507" s="0" t="s">
        <v>1910</v>
      </c>
      <c r="B507" s="78" t="n">
        <f aca="false">IF('Rate Card'!M37="","",'Rate Card'!M37)</f>
        <v>10</v>
      </c>
      <c r="C507" s="73" t="s">
        <v>973</v>
      </c>
      <c r="D507" s="73" t="s">
        <v>1911</v>
      </c>
    </row>
    <row r="508" customFormat="false" ht="15" hidden="false" customHeight="false" outlineLevel="0" collapsed="false">
      <c r="A508" s="0" t="s">
        <v>1912</v>
      </c>
      <c r="B508" s="79" t="n">
        <f aca="false">IF('Rate Card'!N37="","",'Rate Card'!N37)</f>
        <v>0.05</v>
      </c>
      <c r="C508" s="73" t="s">
        <v>1100</v>
      </c>
      <c r="D508" s="73" t="s">
        <v>1913</v>
      </c>
    </row>
    <row r="509" customFormat="false" ht="15" hidden="false" customHeight="false" outlineLevel="0" collapsed="false">
      <c r="A509" s="0" t="s">
        <v>1914</v>
      </c>
      <c r="B509" s="78" t="n">
        <f aca="false">IF('Rate Card'!P37="","",'Rate Card'!P37)</f>
        <v>1477.373</v>
      </c>
      <c r="C509" s="73" t="s">
        <v>973</v>
      </c>
      <c r="D509" s="73" t="s">
        <v>1915</v>
      </c>
    </row>
    <row r="510" customFormat="false" ht="15" hidden="false" customHeight="false" outlineLevel="0" collapsed="false">
      <c r="A510" s="0" t="s">
        <v>1916</v>
      </c>
      <c r="B510" s="0" t="str">
        <f aca="false">IF('Rate Card'!G38="","",'Rate Card'!G38)</f>
        <v>Air / groupage</v>
      </c>
      <c r="C510" s="0" t="s">
        <v>970</v>
      </c>
      <c r="D510" s="0" t="s">
        <v>1917</v>
      </c>
    </row>
    <row r="511" customFormat="false" ht="15" hidden="false" customHeight="false" outlineLevel="0" collapsed="false">
      <c r="A511" s="0" t="s">
        <v>1918</v>
      </c>
      <c r="B511" s="77" t="n">
        <f aca="false">IF('Rate Card'!H38="","",'Rate Card'!H38)</f>
        <v>4</v>
      </c>
      <c r="C511" s="73" t="s">
        <v>973</v>
      </c>
      <c r="D511" s="73" t="s">
        <v>1919</v>
      </c>
    </row>
    <row r="512" customFormat="false" ht="15" hidden="false" customHeight="false" outlineLevel="0" collapsed="false">
      <c r="A512" s="0" t="s">
        <v>1920</v>
      </c>
      <c r="B512" s="77" t="n">
        <f aca="false">IF('Rate Card'!S38="","",'Rate Card'!S38)</f>
        <v>6</v>
      </c>
      <c r="C512" s="73" t="s">
        <v>973</v>
      </c>
      <c r="D512" s="73" t="s">
        <v>1921</v>
      </c>
    </row>
    <row r="513" customFormat="false" ht="15" hidden="false" customHeight="false" outlineLevel="0" collapsed="false">
      <c r="A513" s="0" t="s">
        <v>1922</v>
      </c>
      <c r="B513" s="78" t="n">
        <f aca="false">IF('Rate Card'!I38="","",'Rate Card'!I38)</f>
        <v>2.05</v>
      </c>
      <c r="C513" s="73" t="s">
        <v>973</v>
      </c>
      <c r="D513" s="73" t="s">
        <v>1923</v>
      </c>
    </row>
    <row r="514" customFormat="false" ht="15" hidden="false" customHeight="false" outlineLevel="0" collapsed="false">
      <c r="A514" s="0" t="s">
        <v>1924</v>
      </c>
      <c r="B514" s="78" t="n">
        <f aca="false">IF('Rate Card'!J38="","",'Rate Card'!J38)</f>
        <v>250</v>
      </c>
      <c r="C514" s="73" t="s">
        <v>973</v>
      </c>
      <c r="D514" s="73" t="s">
        <v>1925</v>
      </c>
    </row>
    <row r="515" customFormat="false" ht="15" hidden="false" customHeight="false" outlineLevel="0" collapsed="false">
      <c r="A515" s="0" t="s">
        <v>1926</v>
      </c>
      <c r="B515" s="79" t="n">
        <f aca="false">IF('Rate Card'!K38="","",'Rate Card'!K38)</f>
        <v>0.18</v>
      </c>
      <c r="C515" s="73" t="s">
        <v>1100</v>
      </c>
      <c r="D515" s="73" t="s">
        <v>1927</v>
      </c>
    </row>
    <row r="516" customFormat="false" ht="15" hidden="false" customHeight="false" outlineLevel="0" collapsed="false">
      <c r="A516" s="0" t="s">
        <v>1928</v>
      </c>
      <c r="B516" s="78" t="n">
        <f aca="false">IF('Rate Card'!L38="","",'Rate Card'!L38)</f>
        <v>25</v>
      </c>
      <c r="C516" s="73" t="s">
        <v>973</v>
      </c>
      <c r="D516" s="73" t="s">
        <v>1929</v>
      </c>
    </row>
    <row r="517" customFormat="false" ht="15" hidden="false" customHeight="false" outlineLevel="0" collapsed="false">
      <c r="A517" s="0" t="s">
        <v>1930</v>
      </c>
      <c r="B517" s="78" t="n">
        <f aca="false">IF('Rate Card'!M38="","",'Rate Card'!M38)</f>
        <v>10</v>
      </c>
      <c r="C517" s="73" t="s">
        <v>973</v>
      </c>
      <c r="D517" s="73" t="s">
        <v>1931</v>
      </c>
    </row>
    <row r="518" customFormat="false" ht="15" hidden="false" customHeight="false" outlineLevel="0" collapsed="false">
      <c r="A518" s="0" t="s">
        <v>1932</v>
      </c>
      <c r="B518" s="79" t="n">
        <f aca="false">IF('Rate Card'!N38="","",'Rate Card'!N38)</f>
        <v>0.05</v>
      </c>
      <c r="C518" s="73" t="s">
        <v>1100</v>
      </c>
      <c r="D518" s="73" t="s">
        <v>1933</v>
      </c>
    </row>
    <row r="519" customFormat="false" ht="15" hidden="false" customHeight="false" outlineLevel="0" collapsed="false">
      <c r="A519" s="0" t="s">
        <v>1934</v>
      </c>
      <c r="B519" s="78" t="n">
        <f aca="false">IF('Rate Card'!P38="","",'Rate Card'!P38)</f>
        <v>2492.704</v>
      </c>
      <c r="C519" s="73" t="s">
        <v>973</v>
      </c>
      <c r="D519" s="73" t="s">
        <v>1935</v>
      </c>
    </row>
    <row r="520" customFormat="false" ht="15" hidden="false" customHeight="false" outlineLevel="0" collapsed="false">
      <c r="A520" s="0" t="s">
        <v>1936</v>
      </c>
      <c r="B520" s="0" t="str">
        <f aca="false">IF('Rate Card'!G39="","",'Rate Card'!G39)</f>
        <v>Road FTL</v>
      </c>
      <c r="C520" s="0" t="s">
        <v>970</v>
      </c>
      <c r="D520" s="0" t="s">
        <v>1937</v>
      </c>
    </row>
    <row r="521" customFormat="false" ht="15" hidden="false" customHeight="false" outlineLevel="0" collapsed="false">
      <c r="A521" s="0" t="s">
        <v>1938</v>
      </c>
      <c r="B521" s="77" t="n">
        <f aca="false">IF('Rate Card'!H39="","",'Rate Card'!H39)</f>
        <v>6</v>
      </c>
      <c r="C521" s="73" t="s">
        <v>973</v>
      </c>
      <c r="D521" s="73" t="s">
        <v>1939</v>
      </c>
    </row>
    <row r="522" customFormat="false" ht="15" hidden="false" customHeight="false" outlineLevel="0" collapsed="false">
      <c r="A522" s="0" t="s">
        <v>1940</v>
      </c>
      <c r="B522" s="77" t="n">
        <f aca="false">IF('Rate Card'!S39="","",'Rate Card'!S39)</f>
        <v>9</v>
      </c>
      <c r="C522" s="73" t="s">
        <v>973</v>
      </c>
      <c r="D522" s="73" t="s">
        <v>1941</v>
      </c>
    </row>
    <row r="523" customFormat="false" ht="15" hidden="false" customHeight="false" outlineLevel="0" collapsed="false">
      <c r="A523" s="0" t="s">
        <v>1942</v>
      </c>
      <c r="B523" s="78" t="n">
        <f aca="false">IF('Rate Card'!I39="","",'Rate Card'!I39)</f>
        <v>2.72</v>
      </c>
      <c r="C523" s="73" t="s">
        <v>973</v>
      </c>
      <c r="D523" s="73" t="s">
        <v>1943</v>
      </c>
    </row>
    <row r="524" customFormat="false" ht="15" hidden="false" customHeight="false" outlineLevel="0" collapsed="false">
      <c r="A524" s="0" t="s">
        <v>1944</v>
      </c>
      <c r="B524" s="78" t="n">
        <f aca="false">IF('Rate Card'!J39="","",'Rate Card'!J39)</f>
        <v>600</v>
      </c>
      <c r="C524" s="73" t="s">
        <v>973</v>
      </c>
      <c r="D524" s="73" t="s">
        <v>1945</v>
      </c>
    </row>
    <row r="525" customFormat="false" ht="15" hidden="false" customHeight="false" outlineLevel="0" collapsed="false">
      <c r="A525" s="0" t="s">
        <v>1946</v>
      </c>
      <c r="B525" s="79" t="n">
        <f aca="false">IF('Rate Card'!K39="","",'Rate Card'!K39)</f>
        <v>0.18</v>
      </c>
      <c r="C525" s="73" t="s">
        <v>1100</v>
      </c>
      <c r="D525" s="73" t="s">
        <v>1947</v>
      </c>
    </row>
    <row r="526" customFormat="false" ht="15" hidden="false" customHeight="false" outlineLevel="0" collapsed="false">
      <c r="A526" s="0" t="s">
        <v>1948</v>
      </c>
      <c r="B526" s="78" t="n">
        <f aca="false">IF('Rate Card'!L39="","",'Rate Card'!L39)</f>
        <v>25</v>
      </c>
      <c r="C526" s="73" t="s">
        <v>973</v>
      </c>
      <c r="D526" s="73" t="s">
        <v>1949</v>
      </c>
    </row>
    <row r="527" customFormat="false" ht="15" hidden="false" customHeight="false" outlineLevel="0" collapsed="false">
      <c r="A527" s="0" t="s">
        <v>1950</v>
      </c>
      <c r="B527" s="78" t="n">
        <f aca="false">IF('Rate Card'!M39="","",'Rate Card'!M39)</f>
        <v>10</v>
      </c>
      <c r="C527" s="73" t="s">
        <v>973</v>
      </c>
      <c r="D527" s="73" t="s">
        <v>1951</v>
      </c>
    </row>
    <row r="528" customFormat="false" ht="15" hidden="false" customHeight="false" outlineLevel="0" collapsed="false">
      <c r="A528" s="0" t="s">
        <v>1952</v>
      </c>
      <c r="B528" s="79" t="n">
        <f aca="false">IF('Rate Card'!N39="","",'Rate Card'!N39)</f>
        <v>0.05</v>
      </c>
      <c r="C528" s="73" t="s">
        <v>1100</v>
      </c>
      <c r="D528" s="73" t="s">
        <v>1953</v>
      </c>
    </row>
    <row r="529" customFormat="false" ht="15" hidden="false" customHeight="false" outlineLevel="0" collapsed="false">
      <c r="A529" s="0" t="s">
        <v>1954</v>
      </c>
      <c r="B529" s="78" t="n">
        <f aca="false">IF('Rate Card'!P39="","",'Rate Card'!P39)</f>
        <v>8280.4624</v>
      </c>
      <c r="C529" s="73" t="s">
        <v>973</v>
      </c>
      <c r="D529" s="73" t="s">
        <v>1955</v>
      </c>
    </row>
    <row r="530" customFormat="false" ht="15" hidden="false" customHeight="false" outlineLevel="0" collapsed="false">
      <c r="A530" s="0" t="s">
        <v>1956</v>
      </c>
      <c r="B530" s="0" t="str">
        <f aca="false">IF('Rate Card'!G40="","",'Rate Card'!G40)</f>
        <v>Express</v>
      </c>
      <c r="C530" s="0" t="s">
        <v>970</v>
      </c>
      <c r="D530" s="0" t="s">
        <v>1957</v>
      </c>
    </row>
    <row r="531" customFormat="false" ht="15" hidden="false" customHeight="false" outlineLevel="0" collapsed="false">
      <c r="A531" s="0" t="s">
        <v>1958</v>
      </c>
      <c r="B531" s="77" t="n">
        <f aca="false">IF('Rate Card'!H40="","",'Rate Card'!H40)</f>
        <v>1</v>
      </c>
      <c r="C531" s="73" t="s">
        <v>973</v>
      </c>
      <c r="D531" s="73" t="s">
        <v>1959</v>
      </c>
    </row>
    <row r="532" customFormat="false" ht="15" hidden="false" customHeight="false" outlineLevel="0" collapsed="false">
      <c r="A532" s="0" t="s">
        <v>1960</v>
      </c>
      <c r="B532" s="77" t="n">
        <f aca="false">IF('Rate Card'!S40="","",'Rate Card'!S40)</f>
        <v>2</v>
      </c>
      <c r="C532" s="73" t="s">
        <v>973</v>
      </c>
      <c r="D532" s="73" t="s">
        <v>1961</v>
      </c>
    </row>
    <row r="533" customFormat="false" ht="15" hidden="false" customHeight="false" outlineLevel="0" collapsed="false">
      <c r="A533" s="0" t="s">
        <v>1962</v>
      </c>
      <c r="B533" s="78" t="n">
        <f aca="false">IF('Rate Card'!I40="","",'Rate Card'!I40)</f>
        <v>3.45</v>
      </c>
      <c r="C533" s="73" t="s">
        <v>973</v>
      </c>
      <c r="D533" s="73" t="s">
        <v>1963</v>
      </c>
    </row>
    <row r="534" customFormat="false" ht="15" hidden="false" customHeight="false" outlineLevel="0" collapsed="false">
      <c r="A534" s="0" t="s">
        <v>1964</v>
      </c>
      <c r="B534" s="78" t="n">
        <f aca="false">IF('Rate Card'!J40="","",'Rate Card'!J40)</f>
        <v>35</v>
      </c>
      <c r="C534" s="73" t="s">
        <v>973</v>
      </c>
      <c r="D534" s="73" t="s">
        <v>1965</v>
      </c>
    </row>
    <row r="535" customFormat="false" ht="15" hidden="false" customHeight="false" outlineLevel="0" collapsed="false">
      <c r="A535" s="0" t="s">
        <v>1966</v>
      </c>
      <c r="B535" s="79" t="n">
        <f aca="false">IF('Rate Card'!K40="","",'Rate Card'!K40)</f>
        <v>0.18</v>
      </c>
      <c r="C535" s="73" t="s">
        <v>1100</v>
      </c>
      <c r="D535" s="73" t="s">
        <v>1967</v>
      </c>
    </row>
    <row r="536" customFormat="false" ht="15" hidden="false" customHeight="false" outlineLevel="0" collapsed="false">
      <c r="A536" s="0" t="s">
        <v>1968</v>
      </c>
      <c r="B536" s="78" t="n">
        <f aca="false">IF('Rate Card'!L40="","",'Rate Card'!L40)</f>
        <v>25</v>
      </c>
      <c r="C536" s="73" t="s">
        <v>973</v>
      </c>
      <c r="D536" s="73" t="s">
        <v>1969</v>
      </c>
    </row>
    <row r="537" customFormat="false" ht="15" hidden="false" customHeight="false" outlineLevel="0" collapsed="false">
      <c r="A537" s="0" t="s">
        <v>1970</v>
      </c>
      <c r="B537" s="78" t="n">
        <f aca="false">IF('Rate Card'!M40="","",'Rate Card'!M40)</f>
        <v>10</v>
      </c>
      <c r="C537" s="73" t="s">
        <v>973</v>
      </c>
      <c r="D537" s="73" t="s">
        <v>1971</v>
      </c>
    </row>
    <row r="538" customFormat="false" ht="15" hidden="false" customHeight="false" outlineLevel="0" collapsed="false">
      <c r="A538" s="0" t="s">
        <v>1972</v>
      </c>
      <c r="B538" s="79" t="n">
        <f aca="false">IF('Rate Card'!N40="","",'Rate Card'!N40)</f>
        <v>0.05</v>
      </c>
      <c r="C538" s="73" t="s">
        <v>1100</v>
      </c>
      <c r="D538" s="73" t="s">
        <v>1973</v>
      </c>
    </row>
    <row r="539" customFormat="false" ht="15" hidden="false" customHeight="false" outlineLevel="0" collapsed="false">
      <c r="A539" s="0" t="s">
        <v>1974</v>
      </c>
      <c r="B539" s="78" t="n">
        <f aca="false">IF('Rate Card'!P40="","",'Rate Card'!P40)</f>
        <v>76.3</v>
      </c>
      <c r="C539" s="73" t="s">
        <v>973</v>
      </c>
      <c r="D539" s="73" t="s">
        <v>1975</v>
      </c>
    </row>
    <row r="540" customFormat="false" ht="15" hidden="false" customHeight="false" outlineLevel="0" collapsed="false">
      <c r="A540" s="0" t="s">
        <v>1976</v>
      </c>
      <c r="B540" s="0" t="str">
        <f aca="false">IF('Rate Card'!G41="","",'Rate Card'!G41)</f>
        <v>Express</v>
      </c>
      <c r="C540" s="0" t="s">
        <v>970</v>
      </c>
      <c r="D540" s="0" t="s">
        <v>1977</v>
      </c>
    </row>
    <row r="541" customFormat="false" ht="15" hidden="false" customHeight="false" outlineLevel="0" collapsed="false">
      <c r="A541" s="0" t="s">
        <v>1978</v>
      </c>
      <c r="B541" s="77" t="n">
        <f aca="false">IF('Rate Card'!H41="","",'Rate Card'!H41)</f>
        <v>2</v>
      </c>
      <c r="C541" s="73" t="s">
        <v>973</v>
      </c>
      <c r="D541" s="73" t="s">
        <v>1979</v>
      </c>
    </row>
    <row r="542" customFormat="false" ht="15" hidden="false" customHeight="false" outlineLevel="0" collapsed="false">
      <c r="A542" s="0" t="s">
        <v>1980</v>
      </c>
      <c r="B542" s="77" t="n">
        <f aca="false">IF('Rate Card'!S41="","",'Rate Card'!S41)</f>
        <v>3</v>
      </c>
      <c r="C542" s="73" t="s">
        <v>973</v>
      </c>
      <c r="D542" s="73" t="s">
        <v>1981</v>
      </c>
    </row>
    <row r="543" customFormat="false" ht="15" hidden="false" customHeight="false" outlineLevel="0" collapsed="false">
      <c r="A543" s="0" t="s">
        <v>1982</v>
      </c>
      <c r="B543" s="78" t="n">
        <f aca="false">IF('Rate Card'!I41="","",'Rate Card'!I41)</f>
        <v>4.28</v>
      </c>
      <c r="C543" s="73" t="s">
        <v>973</v>
      </c>
      <c r="D543" s="73" t="s">
        <v>1983</v>
      </c>
    </row>
    <row r="544" customFormat="false" ht="15" hidden="false" customHeight="false" outlineLevel="0" collapsed="false">
      <c r="A544" s="0" t="s">
        <v>1984</v>
      </c>
      <c r="B544" s="78" t="n">
        <f aca="false">IF('Rate Card'!J41="","",'Rate Card'!J41)</f>
        <v>60</v>
      </c>
      <c r="C544" s="73" t="s">
        <v>973</v>
      </c>
      <c r="D544" s="73" t="s">
        <v>1985</v>
      </c>
    </row>
    <row r="545" customFormat="false" ht="15" hidden="false" customHeight="false" outlineLevel="0" collapsed="false">
      <c r="A545" s="0" t="s">
        <v>1986</v>
      </c>
      <c r="B545" s="79" t="n">
        <f aca="false">IF('Rate Card'!K41="","",'Rate Card'!K41)</f>
        <v>0.18</v>
      </c>
      <c r="C545" s="73" t="s">
        <v>1100</v>
      </c>
      <c r="D545" s="73" t="s">
        <v>1987</v>
      </c>
    </row>
    <row r="546" customFormat="false" ht="15" hidden="false" customHeight="false" outlineLevel="0" collapsed="false">
      <c r="A546" s="0" t="s">
        <v>1988</v>
      </c>
      <c r="B546" s="78" t="n">
        <f aca="false">IF('Rate Card'!L41="","",'Rate Card'!L41)</f>
        <v>25</v>
      </c>
      <c r="C546" s="73" t="s">
        <v>973</v>
      </c>
      <c r="D546" s="73" t="s">
        <v>1989</v>
      </c>
    </row>
    <row r="547" customFormat="false" ht="15" hidden="false" customHeight="false" outlineLevel="0" collapsed="false">
      <c r="A547" s="0" t="s">
        <v>1990</v>
      </c>
      <c r="B547" s="78" t="n">
        <f aca="false">IF('Rate Card'!M41="","",'Rate Card'!M41)</f>
        <v>10</v>
      </c>
      <c r="C547" s="73" t="s">
        <v>973</v>
      </c>
      <c r="D547" s="73" t="s">
        <v>1991</v>
      </c>
    </row>
    <row r="548" customFormat="false" ht="15" hidden="false" customHeight="false" outlineLevel="0" collapsed="false">
      <c r="A548" s="0" t="s">
        <v>1992</v>
      </c>
      <c r="B548" s="79" t="n">
        <f aca="false">IF('Rate Card'!N41="","",'Rate Card'!N41)</f>
        <v>0.05</v>
      </c>
      <c r="C548" s="73" t="s">
        <v>1100</v>
      </c>
      <c r="D548" s="73" t="s">
        <v>1993</v>
      </c>
    </row>
    <row r="549" customFormat="false" ht="15" hidden="false" customHeight="false" outlineLevel="0" collapsed="false">
      <c r="A549" s="0" t="s">
        <v>1994</v>
      </c>
      <c r="B549" s="78" t="n">
        <f aca="false">IF('Rate Card'!P41="","",'Rate Card'!P41)</f>
        <v>317.8224</v>
      </c>
      <c r="C549" s="73" t="s">
        <v>973</v>
      </c>
      <c r="D549" s="73" t="s">
        <v>1995</v>
      </c>
    </row>
    <row r="550" customFormat="false" ht="15" hidden="false" customHeight="false" outlineLevel="0" collapsed="false">
      <c r="A550" s="0" t="s">
        <v>1996</v>
      </c>
      <c r="B550" s="0" t="str">
        <f aca="false">IF('Rate Card'!G42="","",'Rate Card'!G42)</f>
        <v>Air</v>
      </c>
      <c r="C550" s="0" t="s">
        <v>970</v>
      </c>
      <c r="D550" s="0" t="s">
        <v>1997</v>
      </c>
    </row>
    <row r="551" customFormat="false" ht="15" hidden="false" customHeight="false" outlineLevel="0" collapsed="false">
      <c r="A551" s="0" t="s">
        <v>1998</v>
      </c>
      <c r="B551" s="77" t="n">
        <f aca="false">IF('Rate Card'!H42="","",'Rate Card'!H42)</f>
        <v>3</v>
      </c>
      <c r="C551" s="73" t="s">
        <v>973</v>
      </c>
      <c r="D551" s="73" t="s">
        <v>1999</v>
      </c>
    </row>
    <row r="552" customFormat="false" ht="15" hidden="false" customHeight="false" outlineLevel="0" collapsed="false">
      <c r="A552" s="0" t="s">
        <v>2000</v>
      </c>
      <c r="B552" s="77" t="n">
        <f aca="false">IF('Rate Card'!S42="","",'Rate Card'!S42)</f>
        <v>5</v>
      </c>
      <c r="C552" s="73" t="s">
        <v>973</v>
      </c>
      <c r="D552" s="73" t="s">
        <v>2001</v>
      </c>
    </row>
    <row r="553" customFormat="false" ht="15" hidden="false" customHeight="false" outlineLevel="0" collapsed="false">
      <c r="A553" s="0" t="s">
        <v>2002</v>
      </c>
      <c r="B553" s="78" t="n">
        <f aca="false">IF('Rate Card'!I42="","",'Rate Card'!I42)</f>
        <v>2.72</v>
      </c>
      <c r="C553" s="73" t="s">
        <v>973</v>
      </c>
      <c r="D553" s="73" t="s">
        <v>2003</v>
      </c>
    </row>
    <row r="554" customFormat="false" ht="15" hidden="false" customHeight="false" outlineLevel="0" collapsed="false">
      <c r="A554" s="0" t="s">
        <v>2004</v>
      </c>
      <c r="B554" s="78" t="n">
        <f aca="false">IF('Rate Card'!J42="","",'Rate Card'!J42)</f>
        <v>120</v>
      </c>
      <c r="C554" s="73" t="s">
        <v>973</v>
      </c>
      <c r="D554" s="73" t="s">
        <v>2005</v>
      </c>
    </row>
    <row r="555" customFormat="false" ht="15" hidden="false" customHeight="false" outlineLevel="0" collapsed="false">
      <c r="A555" s="0" t="s">
        <v>2006</v>
      </c>
      <c r="B555" s="79" t="n">
        <f aca="false">IF('Rate Card'!K42="","",'Rate Card'!K42)</f>
        <v>0.18</v>
      </c>
      <c r="C555" s="73" t="s">
        <v>1100</v>
      </c>
      <c r="D555" s="73" t="s">
        <v>2007</v>
      </c>
    </row>
    <row r="556" customFormat="false" ht="15" hidden="false" customHeight="false" outlineLevel="0" collapsed="false">
      <c r="A556" s="0" t="s">
        <v>2008</v>
      </c>
      <c r="B556" s="78" t="n">
        <f aca="false">IF('Rate Card'!L42="","",'Rate Card'!L42)</f>
        <v>25</v>
      </c>
      <c r="C556" s="73" t="s">
        <v>973</v>
      </c>
      <c r="D556" s="73" t="s">
        <v>2009</v>
      </c>
    </row>
    <row r="557" customFormat="false" ht="15" hidden="false" customHeight="false" outlineLevel="0" collapsed="false">
      <c r="A557" s="0" t="s">
        <v>2010</v>
      </c>
      <c r="B557" s="78" t="n">
        <f aca="false">IF('Rate Card'!M42="","",'Rate Card'!M42)</f>
        <v>10</v>
      </c>
      <c r="C557" s="73" t="s">
        <v>973</v>
      </c>
      <c r="D557" s="73" t="s">
        <v>2011</v>
      </c>
    </row>
    <row r="558" customFormat="false" ht="15" hidden="false" customHeight="false" outlineLevel="0" collapsed="false">
      <c r="A558" s="0" t="s">
        <v>2012</v>
      </c>
      <c r="B558" s="79" t="n">
        <f aca="false">IF('Rate Card'!N42="","",'Rate Card'!N42)</f>
        <v>0.05</v>
      </c>
      <c r="C558" s="73" t="s">
        <v>1100</v>
      </c>
      <c r="D558" s="73" t="s">
        <v>2013</v>
      </c>
    </row>
    <row r="559" customFormat="false" ht="15" hidden="false" customHeight="false" outlineLevel="0" collapsed="false">
      <c r="A559" s="0" t="s">
        <v>2014</v>
      </c>
      <c r="B559" s="78" t="n">
        <f aca="false">IF('Rate Card'!P42="","",'Rate Card'!P42)</f>
        <v>936.8976</v>
      </c>
      <c r="C559" s="73" t="s">
        <v>973</v>
      </c>
      <c r="D559" s="73" t="s">
        <v>2015</v>
      </c>
    </row>
    <row r="560" customFormat="false" ht="15" hidden="false" customHeight="false" outlineLevel="0" collapsed="false">
      <c r="A560" s="0" t="s">
        <v>2016</v>
      </c>
      <c r="B560" s="0" t="str">
        <f aca="false">IF('Rate Card'!G43="","",'Rate Card'!G43)</f>
        <v>Air / groupage</v>
      </c>
      <c r="C560" s="0" t="s">
        <v>970</v>
      </c>
      <c r="D560" s="0" t="s">
        <v>2017</v>
      </c>
    </row>
    <row r="561" customFormat="false" ht="15" hidden="false" customHeight="false" outlineLevel="0" collapsed="false">
      <c r="A561" s="0" t="s">
        <v>2018</v>
      </c>
      <c r="B561" s="77" t="n">
        <f aca="false">IF('Rate Card'!H43="","",'Rate Card'!H43)</f>
        <v>4</v>
      </c>
      <c r="C561" s="73" t="s">
        <v>973</v>
      </c>
      <c r="D561" s="73" t="s">
        <v>2019</v>
      </c>
    </row>
    <row r="562" customFormat="false" ht="15" hidden="false" customHeight="false" outlineLevel="0" collapsed="false">
      <c r="A562" s="0" t="s">
        <v>2020</v>
      </c>
      <c r="B562" s="77" t="n">
        <f aca="false">IF('Rate Card'!S43="","",'Rate Card'!S43)</f>
        <v>6</v>
      </c>
      <c r="C562" s="73" t="s">
        <v>973</v>
      </c>
      <c r="D562" s="73" t="s">
        <v>2021</v>
      </c>
    </row>
    <row r="563" customFormat="false" ht="15" hidden="false" customHeight="false" outlineLevel="0" collapsed="false">
      <c r="A563" s="0" t="s">
        <v>2022</v>
      </c>
      <c r="B563" s="78" t="n">
        <f aca="false">IF('Rate Card'!I43="","",'Rate Card'!I43)</f>
        <v>4.3</v>
      </c>
      <c r="C563" s="73" t="s">
        <v>973</v>
      </c>
      <c r="D563" s="73" t="s">
        <v>2023</v>
      </c>
    </row>
    <row r="564" customFormat="false" ht="15" hidden="false" customHeight="false" outlineLevel="0" collapsed="false">
      <c r="A564" s="0" t="s">
        <v>2024</v>
      </c>
      <c r="B564" s="78" t="n">
        <f aca="false">IF('Rate Card'!J43="","",'Rate Card'!J43)</f>
        <v>250</v>
      </c>
      <c r="C564" s="73" t="s">
        <v>973</v>
      </c>
      <c r="D564" s="73" t="s">
        <v>2025</v>
      </c>
    </row>
    <row r="565" customFormat="false" ht="15" hidden="false" customHeight="false" outlineLevel="0" collapsed="false">
      <c r="A565" s="0" t="s">
        <v>2026</v>
      </c>
      <c r="B565" s="79" t="n">
        <f aca="false">IF('Rate Card'!K43="","",'Rate Card'!K43)</f>
        <v>0.18</v>
      </c>
      <c r="C565" s="73" t="s">
        <v>1100</v>
      </c>
      <c r="D565" s="73" t="s">
        <v>2027</v>
      </c>
    </row>
    <row r="566" customFormat="false" ht="15" hidden="false" customHeight="false" outlineLevel="0" collapsed="false">
      <c r="A566" s="0" t="s">
        <v>2028</v>
      </c>
      <c r="B566" s="78" t="n">
        <f aca="false">IF('Rate Card'!L43="","",'Rate Card'!L43)</f>
        <v>25</v>
      </c>
      <c r="C566" s="73" t="s">
        <v>973</v>
      </c>
      <c r="D566" s="73" t="s">
        <v>2029</v>
      </c>
    </row>
    <row r="567" customFormat="false" ht="15" hidden="false" customHeight="false" outlineLevel="0" collapsed="false">
      <c r="A567" s="0" t="s">
        <v>2030</v>
      </c>
      <c r="B567" s="78" t="n">
        <f aca="false">IF('Rate Card'!M43="","",'Rate Card'!M43)</f>
        <v>10</v>
      </c>
      <c r="C567" s="73" t="s">
        <v>973</v>
      </c>
      <c r="D567" s="73" t="s">
        <v>2031</v>
      </c>
    </row>
    <row r="568" customFormat="false" ht="15" hidden="false" customHeight="false" outlineLevel="0" collapsed="false">
      <c r="A568" s="0" t="s">
        <v>2032</v>
      </c>
      <c r="B568" s="79" t="n">
        <f aca="false">IF('Rate Card'!N43="","",'Rate Card'!N43)</f>
        <v>0.05</v>
      </c>
      <c r="C568" s="73" t="s">
        <v>1100</v>
      </c>
      <c r="D568" s="73" t="s">
        <v>2033</v>
      </c>
    </row>
    <row r="569" customFormat="false" ht="15" hidden="false" customHeight="false" outlineLevel="0" collapsed="false">
      <c r="A569" s="0" t="s">
        <v>2034</v>
      </c>
      <c r="B569" s="78" t="n">
        <f aca="false">IF('Rate Card'!P43="","",'Rate Card'!P43)</f>
        <v>5190.184</v>
      </c>
      <c r="C569" s="73" t="s">
        <v>973</v>
      </c>
      <c r="D569" s="73" t="s">
        <v>2035</v>
      </c>
    </row>
    <row r="570" customFormat="false" ht="15" hidden="false" customHeight="false" outlineLevel="0" collapsed="false">
      <c r="A570" s="0" t="s">
        <v>2036</v>
      </c>
      <c r="B570" s="0" t="str">
        <f aca="false">IF('Rate Card'!G44="","",'Rate Card'!G44)</f>
        <v>Road FTL</v>
      </c>
      <c r="C570" s="0" t="s">
        <v>970</v>
      </c>
      <c r="D570" s="0" t="s">
        <v>2037</v>
      </c>
    </row>
    <row r="571" customFormat="false" ht="15" hidden="false" customHeight="false" outlineLevel="0" collapsed="false">
      <c r="A571" s="0" t="s">
        <v>2038</v>
      </c>
      <c r="B571" s="77" t="n">
        <f aca="false">IF('Rate Card'!H44="","",'Rate Card'!H44)</f>
        <v>6</v>
      </c>
      <c r="C571" s="73" t="s">
        <v>973</v>
      </c>
      <c r="D571" s="73" t="s">
        <v>2039</v>
      </c>
    </row>
    <row r="572" customFormat="false" ht="15" hidden="false" customHeight="false" outlineLevel="0" collapsed="false">
      <c r="A572" s="0" t="s">
        <v>2040</v>
      </c>
      <c r="B572" s="77" t="n">
        <f aca="false">IF('Rate Card'!S44="","",'Rate Card'!S44)</f>
        <v>9</v>
      </c>
      <c r="C572" s="73" t="s">
        <v>973</v>
      </c>
      <c r="D572" s="73" t="s">
        <v>2041</v>
      </c>
    </row>
    <row r="573" customFormat="false" ht="15" hidden="false" customHeight="false" outlineLevel="0" collapsed="false">
      <c r="A573" s="0" t="s">
        <v>2042</v>
      </c>
      <c r="B573" s="78" t="n">
        <f aca="false">IF('Rate Card'!I44="","",'Rate Card'!I44)</f>
        <v>3.27</v>
      </c>
      <c r="C573" s="73" t="s">
        <v>973</v>
      </c>
      <c r="D573" s="73" t="s">
        <v>2043</v>
      </c>
    </row>
    <row r="574" customFormat="false" ht="15" hidden="false" customHeight="false" outlineLevel="0" collapsed="false">
      <c r="A574" s="0" t="s">
        <v>2044</v>
      </c>
      <c r="B574" s="78" t="n">
        <f aca="false">IF('Rate Card'!J44="","",'Rate Card'!J44)</f>
        <v>600</v>
      </c>
      <c r="C574" s="73" t="s">
        <v>973</v>
      </c>
      <c r="D574" s="73" t="s">
        <v>2045</v>
      </c>
    </row>
    <row r="575" customFormat="false" ht="15" hidden="false" customHeight="false" outlineLevel="0" collapsed="false">
      <c r="A575" s="0" t="s">
        <v>2046</v>
      </c>
      <c r="B575" s="79" t="n">
        <f aca="false">IF('Rate Card'!K44="","",'Rate Card'!K44)</f>
        <v>0.18</v>
      </c>
      <c r="C575" s="73" t="s">
        <v>1100</v>
      </c>
      <c r="D575" s="73" t="s">
        <v>2047</v>
      </c>
    </row>
    <row r="576" customFormat="false" ht="15" hidden="false" customHeight="false" outlineLevel="0" collapsed="false">
      <c r="A576" s="0" t="s">
        <v>2048</v>
      </c>
      <c r="B576" s="78" t="n">
        <f aca="false">IF('Rate Card'!L44="","",'Rate Card'!L44)</f>
        <v>25</v>
      </c>
      <c r="C576" s="73" t="s">
        <v>973</v>
      </c>
      <c r="D576" s="73" t="s">
        <v>2049</v>
      </c>
    </row>
    <row r="577" customFormat="false" ht="15" hidden="false" customHeight="false" outlineLevel="0" collapsed="false">
      <c r="A577" s="0" t="s">
        <v>2050</v>
      </c>
      <c r="B577" s="78" t="n">
        <f aca="false">IF('Rate Card'!M44="","",'Rate Card'!M44)</f>
        <v>10</v>
      </c>
      <c r="C577" s="73" t="s">
        <v>973</v>
      </c>
      <c r="D577" s="73" t="s">
        <v>2051</v>
      </c>
    </row>
    <row r="578" customFormat="false" ht="15" hidden="false" customHeight="false" outlineLevel="0" collapsed="false">
      <c r="A578" s="0" t="s">
        <v>2052</v>
      </c>
      <c r="B578" s="79" t="n">
        <f aca="false">IF('Rate Card'!N44="","",'Rate Card'!N44)</f>
        <v>0.05</v>
      </c>
      <c r="C578" s="73" t="s">
        <v>1100</v>
      </c>
      <c r="D578" s="73" t="s">
        <v>2053</v>
      </c>
    </row>
    <row r="579" customFormat="false" ht="15" hidden="false" customHeight="false" outlineLevel="0" collapsed="false">
      <c r="A579" s="0" t="s">
        <v>2054</v>
      </c>
      <c r="B579" s="78" t="n">
        <f aca="false">IF('Rate Card'!P44="","",'Rate Card'!P44)</f>
        <v>9947.7434</v>
      </c>
      <c r="C579" s="73" t="s">
        <v>973</v>
      </c>
      <c r="D579" s="73" t="s">
        <v>2055</v>
      </c>
    </row>
    <row r="580" customFormat="false" ht="15" hidden="false" customHeight="false" outlineLevel="0" collapsed="false">
      <c r="A580" s="0" t="s">
        <v>2056</v>
      </c>
      <c r="B580" s="0" t="str">
        <f aca="false">IF('Rate Card'!G45="","",'Rate Card'!G45)</f>
        <v>Express</v>
      </c>
      <c r="C580" s="0" t="s">
        <v>970</v>
      </c>
      <c r="D580" s="0" t="s">
        <v>2057</v>
      </c>
    </row>
    <row r="581" customFormat="false" ht="15" hidden="false" customHeight="false" outlineLevel="0" collapsed="false">
      <c r="A581" s="0" t="s">
        <v>2058</v>
      </c>
      <c r="B581" s="77" t="n">
        <f aca="false">IF('Rate Card'!H45="","",'Rate Card'!H45)</f>
        <v>1</v>
      </c>
      <c r="C581" s="73" t="s">
        <v>973</v>
      </c>
      <c r="D581" s="73" t="s">
        <v>2059</v>
      </c>
    </row>
    <row r="582" customFormat="false" ht="15" hidden="false" customHeight="false" outlineLevel="0" collapsed="false">
      <c r="A582" s="0" t="s">
        <v>2060</v>
      </c>
      <c r="B582" s="77" t="n">
        <f aca="false">IF('Rate Card'!S45="","",'Rate Card'!S45)</f>
        <v>2</v>
      </c>
      <c r="C582" s="73" t="s">
        <v>973</v>
      </c>
      <c r="D582" s="73" t="s">
        <v>2061</v>
      </c>
    </row>
    <row r="583" customFormat="false" ht="15" hidden="false" customHeight="false" outlineLevel="0" collapsed="false">
      <c r="A583" s="0" t="s">
        <v>2062</v>
      </c>
      <c r="B583" s="78" t="n">
        <f aca="false">IF('Rate Card'!I45="","",'Rate Card'!I45)</f>
        <v>2.64</v>
      </c>
      <c r="C583" s="73" t="s">
        <v>973</v>
      </c>
      <c r="D583" s="73" t="s">
        <v>2063</v>
      </c>
    </row>
    <row r="584" customFormat="false" ht="15" hidden="false" customHeight="false" outlineLevel="0" collapsed="false">
      <c r="A584" s="0" t="s">
        <v>2064</v>
      </c>
      <c r="B584" s="78" t="n">
        <f aca="false">IF('Rate Card'!J45="","",'Rate Card'!J45)</f>
        <v>35</v>
      </c>
      <c r="C584" s="73" t="s">
        <v>973</v>
      </c>
      <c r="D584" s="73" t="s">
        <v>2065</v>
      </c>
    </row>
    <row r="585" customFormat="false" ht="15" hidden="false" customHeight="false" outlineLevel="0" collapsed="false">
      <c r="A585" s="0" t="s">
        <v>2066</v>
      </c>
      <c r="B585" s="79" t="n">
        <f aca="false">IF('Rate Card'!K45="","",'Rate Card'!K45)</f>
        <v>0.18</v>
      </c>
      <c r="C585" s="73" t="s">
        <v>1100</v>
      </c>
      <c r="D585" s="73" t="s">
        <v>2067</v>
      </c>
    </row>
    <row r="586" customFormat="false" ht="15" hidden="false" customHeight="false" outlineLevel="0" collapsed="false">
      <c r="A586" s="0" t="s">
        <v>2068</v>
      </c>
      <c r="B586" s="78" t="n">
        <f aca="false">IF('Rate Card'!L45="","",'Rate Card'!L45)</f>
        <v>25</v>
      </c>
      <c r="C586" s="73" t="s">
        <v>973</v>
      </c>
      <c r="D586" s="73" t="s">
        <v>2069</v>
      </c>
    </row>
    <row r="587" customFormat="false" ht="15" hidden="false" customHeight="false" outlineLevel="0" collapsed="false">
      <c r="A587" s="0" t="s">
        <v>2070</v>
      </c>
      <c r="B587" s="78" t="n">
        <f aca="false">IF('Rate Card'!M45="","",'Rate Card'!M45)</f>
        <v>10</v>
      </c>
      <c r="C587" s="73" t="s">
        <v>973</v>
      </c>
      <c r="D587" s="73" t="s">
        <v>2071</v>
      </c>
    </row>
    <row r="588" customFormat="false" ht="15" hidden="false" customHeight="false" outlineLevel="0" collapsed="false">
      <c r="A588" s="0" t="s">
        <v>2072</v>
      </c>
      <c r="B588" s="79" t="n">
        <f aca="false">IF('Rate Card'!N45="","",'Rate Card'!N45)</f>
        <v>0.05</v>
      </c>
      <c r="C588" s="73" t="s">
        <v>1100</v>
      </c>
      <c r="D588" s="73" t="s">
        <v>2073</v>
      </c>
    </row>
    <row r="589" customFormat="false" ht="15" hidden="false" customHeight="false" outlineLevel="0" collapsed="false">
      <c r="A589" s="0" t="s">
        <v>2074</v>
      </c>
      <c r="B589" s="78" t="n">
        <f aca="false">IF('Rate Card'!P45="","",'Rate Card'!P45)</f>
        <v>76.3</v>
      </c>
      <c r="C589" s="73" t="s">
        <v>973</v>
      </c>
      <c r="D589" s="73" t="s">
        <v>2075</v>
      </c>
    </row>
    <row r="590" customFormat="false" ht="15" hidden="false" customHeight="false" outlineLevel="0" collapsed="false">
      <c r="A590" s="0" t="s">
        <v>2076</v>
      </c>
      <c r="B590" s="0" t="str">
        <f aca="false">IF('Rate Card'!G46="","",'Rate Card'!G46)</f>
        <v>Express</v>
      </c>
      <c r="C590" s="0" t="s">
        <v>970</v>
      </c>
      <c r="D590" s="0" t="s">
        <v>2077</v>
      </c>
    </row>
    <row r="591" customFormat="false" ht="15" hidden="false" customHeight="false" outlineLevel="0" collapsed="false">
      <c r="A591" s="0" t="s">
        <v>2078</v>
      </c>
      <c r="B591" s="77" t="n">
        <f aca="false">IF('Rate Card'!H46="","",'Rate Card'!H46)</f>
        <v>2</v>
      </c>
      <c r="C591" s="73" t="s">
        <v>973</v>
      </c>
      <c r="D591" s="73" t="s">
        <v>2079</v>
      </c>
    </row>
    <row r="592" customFormat="false" ht="15" hidden="false" customHeight="false" outlineLevel="0" collapsed="false">
      <c r="A592" s="0" t="s">
        <v>2080</v>
      </c>
      <c r="B592" s="77" t="n">
        <f aca="false">IF('Rate Card'!S46="","",'Rate Card'!S46)</f>
        <v>3</v>
      </c>
      <c r="C592" s="73" t="s">
        <v>973</v>
      </c>
      <c r="D592" s="73" t="s">
        <v>2081</v>
      </c>
    </row>
    <row r="593" customFormat="false" ht="15" hidden="false" customHeight="false" outlineLevel="0" collapsed="false">
      <c r="A593" s="0" t="s">
        <v>2082</v>
      </c>
      <c r="B593" s="78" t="n">
        <f aca="false">IF('Rate Card'!I46="","",'Rate Card'!I46)</f>
        <v>2.66</v>
      </c>
      <c r="C593" s="73" t="s">
        <v>973</v>
      </c>
      <c r="D593" s="73" t="s">
        <v>2083</v>
      </c>
    </row>
    <row r="594" customFormat="false" ht="15" hidden="false" customHeight="false" outlineLevel="0" collapsed="false">
      <c r="A594" s="0" t="s">
        <v>2084</v>
      </c>
      <c r="B594" s="78" t="n">
        <f aca="false">IF('Rate Card'!J46="","",'Rate Card'!J46)</f>
        <v>60</v>
      </c>
      <c r="C594" s="73" t="s">
        <v>973</v>
      </c>
      <c r="D594" s="73" t="s">
        <v>2085</v>
      </c>
    </row>
    <row r="595" customFormat="false" ht="15" hidden="false" customHeight="false" outlineLevel="0" collapsed="false">
      <c r="A595" s="0" t="s">
        <v>2086</v>
      </c>
      <c r="B595" s="79" t="n">
        <f aca="false">IF('Rate Card'!K46="","",'Rate Card'!K46)</f>
        <v>0.18</v>
      </c>
      <c r="C595" s="73" t="s">
        <v>1100</v>
      </c>
      <c r="D595" s="73" t="s">
        <v>2087</v>
      </c>
    </row>
    <row r="596" customFormat="false" ht="15" hidden="false" customHeight="false" outlineLevel="0" collapsed="false">
      <c r="A596" s="0" t="s">
        <v>2088</v>
      </c>
      <c r="B596" s="78" t="n">
        <f aca="false">IF('Rate Card'!L46="","",'Rate Card'!L46)</f>
        <v>25</v>
      </c>
      <c r="C596" s="73" t="s">
        <v>973</v>
      </c>
      <c r="D596" s="73" t="s">
        <v>2089</v>
      </c>
    </row>
    <row r="597" customFormat="false" ht="15" hidden="false" customHeight="false" outlineLevel="0" collapsed="false">
      <c r="A597" s="0" t="s">
        <v>2090</v>
      </c>
      <c r="B597" s="78" t="n">
        <f aca="false">IF('Rate Card'!M46="","",'Rate Card'!M46)</f>
        <v>10</v>
      </c>
      <c r="C597" s="73" t="s">
        <v>973</v>
      </c>
      <c r="D597" s="73" t="s">
        <v>2091</v>
      </c>
    </row>
    <row r="598" customFormat="false" ht="15" hidden="false" customHeight="false" outlineLevel="0" collapsed="false">
      <c r="A598" s="0" t="s">
        <v>2092</v>
      </c>
      <c r="B598" s="79" t="n">
        <f aca="false">IF('Rate Card'!N46="","",'Rate Card'!N46)</f>
        <v>0.05</v>
      </c>
      <c r="C598" s="73" t="s">
        <v>1100</v>
      </c>
      <c r="D598" s="73" t="s">
        <v>2093</v>
      </c>
    </row>
    <row r="599" customFormat="false" ht="15" hidden="false" customHeight="false" outlineLevel="0" collapsed="false">
      <c r="A599" s="0" t="s">
        <v>2094</v>
      </c>
      <c r="B599" s="78" t="n">
        <f aca="false">IF('Rate Card'!P46="","",'Rate Card'!P46)</f>
        <v>210.7728</v>
      </c>
      <c r="C599" s="73" t="s">
        <v>973</v>
      </c>
      <c r="D599" s="73" t="s">
        <v>2095</v>
      </c>
    </row>
    <row r="600" customFormat="false" ht="15" hidden="false" customHeight="false" outlineLevel="0" collapsed="false">
      <c r="A600" s="0" t="s">
        <v>2096</v>
      </c>
      <c r="B600" s="0" t="str">
        <f aca="false">IF('Rate Card'!G47="","",'Rate Card'!G47)</f>
        <v>Air</v>
      </c>
      <c r="C600" s="0" t="s">
        <v>970</v>
      </c>
      <c r="D600" s="0" t="s">
        <v>2097</v>
      </c>
    </row>
    <row r="601" customFormat="false" ht="15" hidden="false" customHeight="false" outlineLevel="0" collapsed="false">
      <c r="A601" s="0" t="s">
        <v>2098</v>
      </c>
      <c r="B601" s="77" t="n">
        <f aca="false">IF('Rate Card'!H47="","",'Rate Card'!H47)</f>
        <v>3</v>
      </c>
      <c r="C601" s="73" t="s">
        <v>973</v>
      </c>
      <c r="D601" s="73" t="s">
        <v>2099</v>
      </c>
    </row>
    <row r="602" customFormat="false" ht="15" hidden="false" customHeight="false" outlineLevel="0" collapsed="false">
      <c r="A602" s="0" t="s">
        <v>2100</v>
      </c>
      <c r="B602" s="77" t="n">
        <f aca="false">IF('Rate Card'!S47="","",'Rate Card'!S47)</f>
        <v>5</v>
      </c>
      <c r="C602" s="73" t="s">
        <v>973</v>
      </c>
      <c r="D602" s="73" t="s">
        <v>2101</v>
      </c>
    </row>
    <row r="603" customFormat="false" ht="15" hidden="false" customHeight="false" outlineLevel="0" collapsed="false">
      <c r="A603" s="0" t="s">
        <v>2102</v>
      </c>
      <c r="B603" s="78" t="n">
        <f aca="false">IF('Rate Card'!I47="","",'Rate Card'!I47)</f>
        <v>2.28</v>
      </c>
      <c r="C603" s="73" t="s">
        <v>973</v>
      </c>
      <c r="D603" s="73" t="s">
        <v>2103</v>
      </c>
    </row>
    <row r="604" customFormat="false" ht="15" hidden="false" customHeight="false" outlineLevel="0" collapsed="false">
      <c r="A604" s="0" t="s">
        <v>2104</v>
      </c>
      <c r="B604" s="78" t="n">
        <f aca="false">IF('Rate Card'!J47="","",'Rate Card'!J47)</f>
        <v>120</v>
      </c>
      <c r="C604" s="73" t="s">
        <v>973</v>
      </c>
      <c r="D604" s="73" t="s">
        <v>2105</v>
      </c>
    </row>
    <row r="605" customFormat="false" ht="15" hidden="false" customHeight="false" outlineLevel="0" collapsed="false">
      <c r="A605" s="0" t="s">
        <v>2106</v>
      </c>
      <c r="B605" s="79" t="n">
        <f aca="false">IF('Rate Card'!K47="","",'Rate Card'!K47)</f>
        <v>0.18</v>
      </c>
      <c r="C605" s="73" t="s">
        <v>1100</v>
      </c>
      <c r="D605" s="73" t="s">
        <v>2107</v>
      </c>
    </row>
    <row r="606" customFormat="false" ht="15" hidden="false" customHeight="false" outlineLevel="0" collapsed="false">
      <c r="A606" s="0" t="s">
        <v>2108</v>
      </c>
      <c r="B606" s="78" t="n">
        <f aca="false">IF('Rate Card'!L47="","",'Rate Card'!L47)</f>
        <v>25</v>
      </c>
      <c r="C606" s="73" t="s">
        <v>973</v>
      </c>
      <c r="D606" s="73" t="s">
        <v>2109</v>
      </c>
    </row>
    <row r="607" customFormat="false" ht="15" hidden="false" customHeight="false" outlineLevel="0" collapsed="false">
      <c r="A607" s="0" t="s">
        <v>2110</v>
      </c>
      <c r="B607" s="78" t="n">
        <f aca="false">IF('Rate Card'!M47="","",'Rate Card'!M47)</f>
        <v>10</v>
      </c>
      <c r="C607" s="73" t="s">
        <v>973</v>
      </c>
      <c r="D607" s="73" t="s">
        <v>2111</v>
      </c>
    </row>
    <row r="608" customFormat="false" ht="15" hidden="false" customHeight="false" outlineLevel="0" collapsed="false">
      <c r="A608" s="0" t="s">
        <v>2112</v>
      </c>
      <c r="B608" s="79" t="n">
        <f aca="false">IF('Rate Card'!N47="","",'Rate Card'!N47)</f>
        <v>0.05</v>
      </c>
      <c r="C608" s="73" t="s">
        <v>1100</v>
      </c>
      <c r="D608" s="73" t="s">
        <v>2113</v>
      </c>
    </row>
    <row r="609" customFormat="false" ht="15" hidden="false" customHeight="false" outlineLevel="0" collapsed="false">
      <c r="A609" s="0" t="s">
        <v>2114</v>
      </c>
      <c r="B609" s="78" t="n">
        <f aca="false">IF('Rate Card'!P47="","",'Rate Card'!P47)</f>
        <v>791.0024</v>
      </c>
      <c r="C609" s="73" t="s">
        <v>973</v>
      </c>
      <c r="D609" s="73" t="s">
        <v>2115</v>
      </c>
    </row>
    <row r="610" customFormat="false" ht="15" hidden="false" customHeight="false" outlineLevel="0" collapsed="false">
      <c r="A610" s="0" t="s">
        <v>2116</v>
      </c>
      <c r="B610" s="0" t="str">
        <f aca="false">IF('Rate Card'!G48="","",'Rate Card'!G48)</f>
        <v>Air / groupage</v>
      </c>
      <c r="C610" s="0" t="s">
        <v>970</v>
      </c>
      <c r="D610" s="0" t="s">
        <v>2117</v>
      </c>
    </row>
    <row r="611" customFormat="false" ht="15" hidden="false" customHeight="false" outlineLevel="0" collapsed="false">
      <c r="A611" s="0" t="s">
        <v>2118</v>
      </c>
      <c r="B611" s="77" t="n">
        <f aca="false">IF('Rate Card'!H48="","",'Rate Card'!H48)</f>
        <v>4</v>
      </c>
      <c r="C611" s="73" t="s">
        <v>973</v>
      </c>
      <c r="D611" s="73" t="s">
        <v>2119</v>
      </c>
    </row>
    <row r="612" customFormat="false" ht="15" hidden="false" customHeight="false" outlineLevel="0" collapsed="false">
      <c r="A612" s="0" t="s">
        <v>2120</v>
      </c>
      <c r="B612" s="77" t="n">
        <f aca="false">IF('Rate Card'!S48="","",'Rate Card'!S48)</f>
        <v>6</v>
      </c>
      <c r="C612" s="73" t="s">
        <v>973</v>
      </c>
      <c r="D612" s="73" t="s">
        <v>2121</v>
      </c>
    </row>
    <row r="613" customFormat="false" ht="15" hidden="false" customHeight="false" outlineLevel="0" collapsed="false">
      <c r="A613" s="0" t="s">
        <v>2122</v>
      </c>
      <c r="B613" s="78" t="n">
        <f aca="false">IF('Rate Card'!I48="","",'Rate Card'!I48)</f>
        <v>2.01</v>
      </c>
      <c r="C613" s="73" t="s">
        <v>973</v>
      </c>
      <c r="D613" s="73" t="s">
        <v>2123</v>
      </c>
    </row>
    <row r="614" customFormat="false" ht="15" hidden="false" customHeight="false" outlineLevel="0" collapsed="false">
      <c r="A614" s="0" t="s">
        <v>2124</v>
      </c>
      <c r="B614" s="78" t="n">
        <f aca="false">IF('Rate Card'!J48="","",'Rate Card'!J48)</f>
        <v>250</v>
      </c>
      <c r="C614" s="73" t="s">
        <v>973</v>
      </c>
      <c r="D614" s="73" t="s">
        <v>2125</v>
      </c>
    </row>
    <row r="615" customFormat="false" ht="15" hidden="false" customHeight="false" outlineLevel="0" collapsed="false">
      <c r="A615" s="0" t="s">
        <v>2126</v>
      </c>
      <c r="B615" s="79" t="n">
        <f aca="false">IF('Rate Card'!K48="","",'Rate Card'!K48)</f>
        <v>0.18</v>
      </c>
      <c r="C615" s="73" t="s">
        <v>1100</v>
      </c>
      <c r="D615" s="73" t="s">
        <v>2127</v>
      </c>
    </row>
    <row r="616" customFormat="false" ht="15" hidden="false" customHeight="false" outlineLevel="0" collapsed="false">
      <c r="A616" s="0" t="s">
        <v>2128</v>
      </c>
      <c r="B616" s="78" t="n">
        <f aca="false">IF('Rate Card'!L48="","",'Rate Card'!L48)</f>
        <v>25</v>
      </c>
      <c r="C616" s="73" t="s">
        <v>973</v>
      </c>
      <c r="D616" s="73" t="s">
        <v>2129</v>
      </c>
    </row>
    <row r="617" customFormat="false" ht="15" hidden="false" customHeight="false" outlineLevel="0" collapsed="false">
      <c r="A617" s="0" t="s">
        <v>2130</v>
      </c>
      <c r="B617" s="78" t="n">
        <f aca="false">IF('Rate Card'!M48="","",'Rate Card'!M48)</f>
        <v>10</v>
      </c>
      <c r="C617" s="73" t="s">
        <v>973</v>
      </c>
      <c r="D617" s="73" t="s">
        <v>2131</v>
      </c>
    </row>
    <row r="618" customFormat="false" ht="15" hidden="false" customHeight="false" outlineLevel="0" collapsed="false">
      <c r="A618" s="0" t="s">
        <v>2132</v>
      </c>
      <c r="B618" s="79" t="n">
        <f aca="false">IF('Rate Card'!N48="","",'Rate Card'!N48)</f>
        <v>0.05</v>
      </c>
      <c r="C618" s="73" t="s">
        <v>1100</v>
      </c>
      <c r="D618" s="73" t="s">
        <v>2133</v>
      </c>
    </row>
    <row r="619" customFormat="false" ht="15" hidden="false" customHeight="false" outlineLevel="0" collapsed="false">
      <c r="A619" s="0" t="s">
        <v>2134</v>
      </c>
      <c r="B619" s="78" t="n">
        <f aca="false">IF('Rate Card'!P48="","",'Rate Card'!P48)</f>
        <v>2444.7488</v>
      </c>
      <c r="C619" s="73" t="s">
        <v>973</v>
      </c>
      <c r="D619" s="73" t="s">
        <v>2135</v>
      </c>
    </row>
    <row r="620" customFormat="false" ht="15" hidden="false" customHeight="false" outlineLevel="0" collapsed="false">
      <c r="A620" s="0" t="s">
        <v>2136</v>
      </c>
      <c r="B620" s="0" t="str">
        <f aca="false">IF('Rate Card'!G49="","",'Rate Card'!G49)</f>
        <v>Road FTL</v>
      </c>
      <c r="C620" s="0" t="s">
        <v>970</v>
      </c>
      <c r="D620" s="0" t="s">
        <v>2137</v>
      </c>
    </row>
    <row r="621" customFormat="false" ht="15" hidden="false" customHeight="false" outlineLevel="0" collapsed="false">
      <c r="A621" s="0" t="s">
        <v>2138</v>
      </c>
      <c r="B621" s="77" t="n">
        <f aca="false">IF('Rate Card'!H49="","",'Rate Card'!H49)</f>
        <v>6</v>
      </c>
      <c r="C621" s="73" t="s">
        <v>973</v>
      </c>
      <c r="D621" s="73" t="s">
        <v>2139</v>
      </c>
    </row>
    <row r="622" customFormat="false" ht="15" hidden="false" customHeight="false" outlineLevel="0" collapsed="false">
      <c r="A622" s="0" t="s">
        <v>2140</v>
      </c>
      <c r="B622" s="77" t="n">
        <f aca="false">IF('Rate Card'!S49="","",'Rate Card'!S49)</f>
        <v>9</v>
      </c>
      <c r="C622" s="73" t="s">
        <v>973</v>
      </c>
      <c r="D622" s="73" t="s">
        <v>2141</v>
      </c>
    </row>
    <row r="623" customFormat="false" ht="15" hidden="false" customHeight="false" outlineLevel="0" collapsed="false">
      <c r="A623" s="0" t="s">
        <v>2142</v>
      </c>
      <c r="B623" s="78" t="n">
        <f aca="false">IF('Rate Card'!I49="","",'Rate Card'!I49)</f>
        <v>2.2</v>
      </c>
      <c r="C623" s="73" t="s">
        <v>973</v>
      </c>
      <c r="D623" s="73" t="s">
        <v>2143</v>
      </c>
    </row>
    <row r="624" customFormat="false" ht="15" hidden="false" customHeight="false" outlineLevel="0" collapsed="false">
      <c r="A624" s="0" t="s">
        <v>2144</v>
      </c>
      <c r="B624" s="78" t="n">
        <f aca="false">IF('Rate Card'!J49="","",'Rate Card'!J49)</f>
        <v>600</v>
      </c>
      <c r="C624" s="73" t="s">
        <v>973</v>
      </c>
      <c r="D624" s="73" t="s">
        <v>2145</v>
      </c>
    </row>
    <row r="625" customFormat="false" ht="15" hidden="false" customHeight="false" outlineLevel="0" collapsed="false">
      <c r="A625" s="0" t="s">
        <v>2146</v>
      </c>
      <c r="B625" s="79" t="n">
        <f aca="false">IF('Rate Card'!K49="","",'Rate Card'!K49)</f>
        <v>0.18</v>
      </c>
      <c r="C625" s="73" t="s">
        <v>1100</v>
      </c>
      <c r="D625" s="73" t="s">
        <v>2147</v>
      </c>
    </row>
    <row r="626" customFormat="false" ht="15" hidden="false" customHeight="false" outlineLevel="0" collapsed="false">
      <c r="A626" s="0" t="s">
        <v>2148</v>
      </c>
      <c r="B626" s="78" t="n">
        <f aca="false">IF('Rate Card'!L49="","",'Rate Card'!L49)</f>
        <v>25</v>
      </c>
      <c r="C626" s="73" t="s">
        <v>973</v>
      </c>
      <c r="D626" s="73" t="s">
        <v>2149</v>
      </c>
    </row>
    <row r="627" customFormat="false" ht="15" hidden="false" customHeight="false" outlineLevel="0" collapsed="false">
      <c r="A627" s="0" t="s">
        <v>2150</v>
      </c>
      <c r="B627" s="78" t="n">
        <f aca="false">IF('Rate Card'!M49="","",'Rate Card'!M49)</f>
        <v>10</v>
      </c>
      <c r="C627" s="73" t="s">
        <v>973</v>
      </c>
      <c r="D627" s="73" t="s">
        <v>2151</v>
      </c>
    </row>
    <row r="628" customFormat="false" ht="15" hidden="false" customHeight="false" outlineLevel="0" collapsed="false">
      <c r="A628" s="0" t="s">
        <v>2152</v>
      </c>
      <c r="B628" s="79" t="n">
        <f aca="false">IF('Rate Card'!N49="","",'Rate Card'!N49)</f>
        <v>0.05</v>
      </c>
      <c r="C628" s="73" t="s">
        <v>1100</v>
      </c>
      <c r="D628" s="73" t="s">
        <v>2153</v>
      </c>
    </row>
    <row r="629" customFormat="false" ht="15" hidden="false" customHeight="false" outlineLevel="0" collapsed="false">
      <c r="A629" s="0" t="s">
        <v>2154</v>
      </c>
      <c r="B629" s="78" t="n">
        <f aca="false">IF('Rate Card'!P49="","",'Rate Card'!P49)</f>
        <v>6704.124</v>
      </c>
      <c r="C629" s="73" t="s">
        <v>973</v>
      </c>
      <c r="D629" s="73" t="s">
        <v>2155</v>
      </c>
    </row>
    <row r="630" customFormat="false" ht="15" hidden="false" customHeight="false" outlineLevel="0" collapsed="false">
      <c r="A630" s="0" t="s">
        <v>2156</v>
      </c>
      <c r="B630" s="80" t="n">
        <f aca="false">IF('Cost Overview'!E14="","",'Cost Overview'!E14)</f>
        <v>111608.9824</v>
      </c>
      <c r="C630" s="73" t="s">
        <v>973</v>
      </c>
      <c r="D630" s="73" t="s">
        <v>2157</v>
      </c>
    </row>
    <row r="631" customFormat="false" ht="15" hidden="false" customHeight="false" outlineLevel="0" collapsed="false">
      <c r="A631" s="0" t="s">
        <v>2158</v>
      </c>
      <c r="B631" s="80" t="n">
        <f aca="false">IF('Cost Overview'!P14="","",'Cost Overview'!P14)</f>
        <v>111608.9824</v>
      </c>
      <c r="C631" s="73" t="s">
        <v>973</v>
      </c>
      <c r="D631" s="73" t="s">
        <v>2159</v>
      </c>
    </row>
    <row r="632" customFormat="false" ht="15" hidden="false" customHeight="false" outlineLevel="0" collapsed="false">
      <c r="A632" s="0" t="s">
        <v>2160</v>
      </c>
      <c r="B632" s="80" t="n">
        <f aca="false">IF('Cost Overview'!T7="","",'Cost Overview'!T7)</f>
        <v>0</v>
      </c>
      <c r="C632" s="73" t="s">
        <v>973</v>
      </c>
      <c r="D632" s="73" t="s">
        <v>2161</v>
      </c>
    </row>
    <row r="633" customFormat="false" ht="15" hidden="false" customHeight="false" outlineLevel="0" collapsed="false">
      <c r="A633" s="0" t="s">
        <v>2162</v>
      </c>
      <c r="B633" s="80" t="n">
        <f aca="false">IF('Cost Overview'!T8="","",'Cost Overview'!T8)</f>
        <v>111608.9824</v>
      </c>
      <c r="C633" s="73" t="s">
        <v>973</v>
      </c>
      <c r="D633" s="73" t="s">
        <v>2163</v>
      </c>
    </row>
    <row r="634" customFormat="false" ht="15" hidden="false" customHeight="false" outlineLevel="0" collapsed="false">
      <c r="A634" s="0" t="s">
        <v>2164</v>
      </c>
      <c r="B634" s="80" t="n">
        <f aca="false">IF('Cost Overview'!J14="","",'Cost Overview'!J14)</f>
        <v>243169.23083</v>
      </c>
      <c r="C634" s="73" t="s">
        <v>973</v>
      </c>
      <c r="D634" s="73" t="s">
        <v>2165</v>
      </c>
    </row>
    <row r="635" customFormat="false" ht="15" hidden="false" customHeight="false" outlineLevel="0" collapsed="false">
      <c r="A635" s="0" t="s">
        <v>2166</v>
      </c>
      <c r="B635" s="80" t="n">
        <f aca="false">IF('Cost Overview'!Q14="","",'Cost Overview'!Q14)</f>
        <v>243169.23083</v>
      </c>
      <c r="C635" s="73" t="s">
        <v>973</v>
      </c>
      <c r="D635" s="73" t="s">
        <v>2167</v>
      </c>
    </row>
    <row r="636" customFormat="false" ht="15" hidden="false" customHeight="false" outlineLevel="0" collapsed="false">
      <c r="A636" s="0" t="s">
        <v>2168</v>
      </c>
      <c r="B636" s="80" t="n">
        <f aca="false">IF('Cost Overview'!U7="","",'Cost Overview'!U7)</f>
        <v>0</v>
      </c>
      <c r="C636" s="73" t="s">
        <v>973</v>
      </c>
      <c r="D636" s="73" t="s">
        <v>2169</v>
      </c>
    </row>
    <row r="637" customFormat="false" ht="15" hidden="false" customHeight="false" outlineLevel="0" collapsed="false">
      <c r="A637" s="0" t="s">
        <v>2170</v>
      </c>
      <c r="B637" s="80" t="n">
        <f aca="false">IF('Cost Overview'!U8="","",'Cost Overview'!U8)</f>
        <v>243169.23083</v>
      </c>
      <c r="C637" s="73" t="s">
        <v>973</v>
      </c>
      <c r="D637" s="73" t="s">
        <v>2171</v>
      </c>
    </row>
    <row r="638" customFormat="false" ht="15" hidden="false" customHeight="false" outlineLevel="0" collapsed="false">
      <c r="A638" s="0" t="s">
        <v>2172</v>
      </c>
      <c r="B638" s="78" t="n">
        <f aca="false">IF('Cost Overview'!F14="","",'Cost Overview'!F14)</f>
        <v>4.00534657814463</v>
      </c>
      <c r="C638" s="73" t="s">
        <v>973</v>
      </c>
      <c r="D638" s="73" t="s">
        <v>2173</v>
      </c>
    </row>
    <row r="639" customFormat="false" ht="15" hidden="false" customHeight="false" outlineLevel="0" collapsed="false">
      <c r="A639" s="0" t="s">
        <v>2174</v>
      </c>
      <c r="B639" s="78" t="n">
        <f aca="false">IF('Cost Overview'!K14="","",'Cost Overview'!K14)</f>
        <v>3.72541833269499</v>
      </c>
      <c r="C639" s="73" t="s">
        <v>973</v>
      </c>
      <c r="D639" s="73" t="s">
        <v>2175</v>
      </c>
    </row>
    <row r="640" customFormat="false" ht="15" hidden="false" customHeight="false" outlineLevel="0" collapsed="false">
      <c r="A640" s="0" t="s">
        <v>2176</v>
      </c>
      <c r="B640" s="81" t="n">
        <f aca="false">IF('Cost Overview'!N14="","",'Cost Overview'!N14)</f>
        <v>0</v>
      </c>
      <c r="C640" s="73" t="s">
        <v>973</v>
      </c>
      <c r="D640" s="73" t="s">
        <v>2177</v>
      </c>
    </row>
    <row r="641" customFormat="false" ht="15" hidden="false" customHeight="false" outlineLevel="0" collapsed="false">
      <c r="A641" s="0" t="s">
        <v>2178</v>
      </c>
      <c r="B641" s="80" t="n">
        <f aca="false">IF('Cost Overview'!E5="","",'Cost Overview'!E5)</f>
        <v>59268.4864</v>
      </c>
      <c r="C641" s="73" t="s">
        <v>973</v>
      </c>
      <c r="D641" s="73" t="s">
        <v>2179</v>
      </c>
    </row>
    <row r="642" customFormat="false" ht="15" hidden="false" customHeight="false" outlineLevel="0" collapsed="false">
      <c r="A642" s="0" t="s">
        <v>2180</v>
      </c>
      <c r="B642" s="80" t="n">
        <f aca="false">IF('Cost Overview'!J5="","",'Cost Overview'!J5)</f>
        <v>135116.79684</v>
      </c>
      <c r="C642" s="73" t="s">
        <v>973</v>
      </c>
      <c r="D642" s="73" t="s">
        <v>2181</v>
      </c>
    </row>
    <row r="643" customFormat="false" ht="15" hidden="false" customHeight="false" outlineLevel="0" collapsed="false">
      <c r="A643" s="0" t="s">
        <v>2182</v>
      </c>
      <c r="B643" s="78" t="n">
        <f aca="false">IF('Cost Overview'!K5="","",'Cost Overview'!K5)</f>
        <v>3.36773253009646</v>
      </c>
      <c r="C643" s="73" t="s">
        <v>973</v>
      </c>
      <c r="D643" s="73" t="s">
        <v>2183</v>
      </c>
    </row>
    <row r="644" customFormat="false" ht="15" hidden="false" customHeight="false" outlineLevel="0" collapsed="false">
      <c r="A644" s="0" t="s">
        <v>2184</v>
      </c>
      <c r="B644" s="77" t="n">
        <f aca="false">IF('Cost Overview'!M5="","",'Cost Overview'!M5)</f>
        <v>2.25641025641026</v>
      </c>
      <c r="C644" s="73" t="s">
        <v>973</v>
      </c>
      <c r="D644" s="73" t="s">
        <v>2185</v>
      </c>
    </row>
    <row r="645" customFormat="false" ht="15" hidden="false" customHeight="false" outlineLevel="0" collapsed="false">
      <c r="A645" s="0" t="s">
        <v>2186</v>
      </c>
      <c r="B645" s="82" t="n">
        <f aca="false">IF('Timeline Summary'!G34="","",'Timeline Summary'!G34)</f>
        <v>0.6</v>
      </c>
      <c r="C645" s="73" t="s">
        <v>1100</v>
      </c>
      <c r="D645" s="73" t="s">
        <v>2187</v>
      </c>
    </row>
    <row r="646" customFormat="false" ht="15" hidden="false" customHeight="false" outlineLevel="0" collapsed="false">
      <c r="A646" s="0" t="s">
        <v>2188</v>
      </c>
      <c r="B646" s="77" t="n">
        <f aca="false">IF('Timeline Summary'!H34="","",'Timeline Summary'!H34)</f>
        <v>0.68</v>
      </c>
      <c r="C646" s="73" t="s">
        <v>973</v>
      </c>
      <c r="D646" s="73" t="s">
        <v>2189</v>
      </c>
    </row>
    <row r="647" customFormat="false" ht="15" hidden="false" customHeight="false" outlineLevel="0" collapsed="false">
      <c r="A647" s="0" t="s">
        <v>2190</v>
      </c>
      <c r="B647" s="82" t="n">
        <f aca="false">IF('Timeline Summary'!L34="","",'Timeline Summary'!L34)</f>
        <v>0.598290598290598</v>
      </c>
      <c r="C647" s="73" t="s">
        <v>1100</v>
      </c>
      <c r="D647" s="73" t="s">
        <v>2191</v>
      </c>
    </row>
    <row r="648" customFormat="false" ht="15" hidden="false" customHeight="false" outlineLevel="0" collapsed="false">
      <c r="A648" s="0" t="s">
        <v>2192</v>
      </c>
      <c r="B648" s="77" t="n">
        <f aca="false">IF('Timeline Summary'!M34="","",'Timeline Summary'!M34)</f>
        <v>0.692307692307692</v>
      </c>
      <c r="C648" s="73" t="s">
        <v>973</v>
      </c>
      <c r="D648" s="73" t="s">
        <v>2193</v>
      </c>
    </row>
    <row r="649" customFormat="false" ht="15" hidden="false" customHeight="false" outlineLevel="0" collapsed="false">
      <c r="A649" s="0" t="s">
        <v>2194</v>
      </c>
      <c r="B649" s="0" t="str">
        <f aca="false">IF('Optional Regional Stock'!I14="","",'Optional Regional Stock'!I14)</f>
        <v/>
      </c>
      <c r="C649" s="0" t="s">
        <v>988</v>
      </c>
      <c r="D649" s="0" t="s">
        <v>2195</v>
      </c>
    </row>
    <row r="650" customFormat="false" ht="15" hidden="false" customHeight="false" outlineLevel="0" collapsed="false">
      <c r="A650" s="0" t="s">
        <v>2196</v>
      </c>
      <c r="B650" s="0" t="str">
        <f aca="false">IF('Optional Regional Stock'!K14="","",'Optional Regional Stock'!K14)</f>
        <v/>
      </c>
      <c r="C650" s="0" t="s">
        <v>973</v>
      </c>
      <c r="D650" s="0" t="s">
        <v>2197</v>
      </c>
    </row>
    <row r="651" customFormat="false" ht="15" hidden="false" customHeight="false" outlineLevel="0" collapsed="false">
      <c r="A651" s="0" t="s">
        <v>2198</v>
      </c>
      <c r="B651" s="80" t="n">
        <f aca="false">IF('Cost Overview'!E6="","",'Cost Overview'!E6)</f>
        <v>8457.1976</v>
      </c>
      <c r="C651" s="73" t="s">
        <v>973</v>
      </c>
      <c r="D651" s="73" t="s">
        <v>2199</v>
      </c>
    </row>
    <row r="652" customFormat="false" ht="15" hidden="false" customHeight="false" outlineLevel="0" collapsed="false">
      <c r="A652" s="0" t="s">
        <v>2200</v>
      </c>
      <c r="B652" s="80" t="n">
        <f aca="false">IF('Cost Overview'!J6="","",'Cost Overview'!J6)</f>
        <v>18294.71487</v>
      </c>
      <c r="C652" s="73" t="s">
        <v>973</v>
      </c>
      <c r="D652" s="73" t="s">
        <v>2201</v>
      </c>
    </row>
    <row r="653" customFormat="false" ht="15" hidden="false" customHeight="false" outlineLevel="0" collapsed="false">
      <c r="A653" s="0" t="s">
        <v>2202</v>
      </c>
      <c r="B653" s="78" t="n">
        <f aca="false">IF('Cost Overview'!K6="","",'Cost Overview'!K6)</f>
        <v>5.78032065402844</v>
      </c>
      <c r="C653" s="73" t="s">
        <v>973</v>
      </c>
      <c r="D653" s="73" t="s">
        <v>2203</v>
      </c>
    </row>
    <row r="654" customFormat="false" ht="15" hidden="false" customHeight="false" outlineLevel="0" collapsed="false">
      <c r="A654" s="0" t="s">
        <v>2204</v>
      </c>
      <c r="B654" s="77" t="n">
        <f aca="false">IF('Cost Overview'!M6="","",'Cost Overview'!M6)</f>
        <v>1.21428571428571</v>
      </c>
      <c r="C654" s="73" t="s">
        <v>973</v>
      </c>
      <c r="D654" s="73" t="s">
        <v>2205</v>
      </c>
    </row>
    <row r="655" customFormat="false" ht="15" hidden="false" customHeight="false" outlineLevel="0" collapsed="false">
      <c r="A655" s="0" t="s">
        <v>2206</v>
      </c>
      <c r="B655" s="82" t="n">
        <f aca="false">IF('Timeline Summary'!G35="","",'Timeline Summary'!G35)</f>
        <v>0.888888888888889</v>
      </c>
      <c r="C655" s="73" t="s">
        <v>1100</v>
      </c>
      <c r="D655" s="73" t="s">
        <v>2207</v>
      </c>
    </row>
    <row r="656" customFormat="false" ht="15" hidden="false" customHeight="false" outlineLevel="0" collapsed="false">
      <c r="A656" s="0" t="s">
        <v>2208</v>
      </c>
      <c r="B656" s="77" t="n">
        <f aca="false">IF('Timeline Summary'!H35="","",'Timeline Summary'!H35)</f>
        <v>0.111111111111111</v>
      </c>
      <c r="C656" s="73" t="s">
        <v>973</v>
      </c>
      <c r="D656" s="73" t="s">
        <v>2209</v>
      </c>
    </row>
    <row r="657" customFormat="false" ht="15" hidden="false" customHeight="false" outlineLevel="0" collapsed="false">
      <c r="A657" s="0" t="s">
        <v>2210</v>
      </c>
      <c r="B657" s="82" t="n">
        <f aca="false">IF('Timeline Summary'!L35="","",'Timeline Summary'!L35)</f>
        <v>0.892857142857143</v>
      </c>
      <c r="C657" s="73" t="s">
        <v>1100</v>
      </c>
      <c r="D657" s="73" t="s">
        <v>2211</v>
      </c>
    </row>
    <row r="658" customFormat="false" ht="15" hidden="false" customHeight="false" outlineLevel="0" collapsed="false">
      <c r="A658" s="0" t="s">
        <v>2212</v>
      </c>
      <c r="B658" s="77" t="n">
        <f aca="false">IF('Timeline Summary'!M35="","",'Timeline Summary'!M35)</f>
        <v>0.107142857142857</v>
      </c>
      <c r="C658" s="73" t="s">
        <v>973</v>
      </c>
      <c r="D658" s="73" t="s">
        <v>2213</v>
      </c>
    </row>
    <row r="659" customFormat="false" ht="15" hidden="false" customHeight="false" outlineLevel="0" collapsed="false">
      <c r="A659" s="0" t="s">
        <v>2214</v>
      </c>
      <c r="B659" s="0" t="str">
        <f aca="false">IF('Optional Regional Stock'!I15="","",'Optional Regional Stock'!I15)</f>
        <v/>
      </c>
      <c r="C659" s="0" t="s">
        <v>988</v>
      </c>
      <c r="D659" s="0" t="s">
        <v>2215</v>
      </c>
    </row>
    <row r="660" customFormat="false" ht="15" hidden="false" customHeight="false" outlineLevel="0" collapsed="false">
      <c r="A660" s="0" t="s">
        <v>2216</v>
      </c>
      <c r="B660" s="0" t="str">
        <f aca="false">IF('Optional Regional Stock'!K15="","",'Optional Regional Stock'!K15)</f>
        <v/>
      </c>
      <c r="C660" s="0" t="s">
        <v>973</v>
      </c>
      <c r="D660" s="0" t="s">
        <v>2217</v>
      </c>
    </row>
    <row r="661" customFormat="false" ht="15" hidden="false" customHeight="false" outlineLevel="0" collapsed="false">
      <c r="A661" s="0" t="s">
        <v>2218</v>
      </c>
      <c r="B661" s="80" t="n">
        <f aca="false">IF('Cost Overview'!E7="","",'Cost Overview'!E7)</f>
        <v>17617.2256</v>
      </c>
      <c r="C661" s="73" t="s">
        <v>973</v>
      </c>
      <c r="D661" s="73" t="s">
        <v>2219</v>
      </c>
    </row>
    <row r="662" customFormat="false" ht="15" hidden="false" customHeight="false" outlineLevel="0" collapsed="false">
      <c r="A662" s="0" t="s">
        <v>2220</v>
      </c>
      <c r="B662" s="80" t="n">
        <f aca="false">IF('Cost Overview'!J7="","",'Cost Overview'!J7)</f>
        <v>40569.70687</v>
      </c>
      <c r="C662" s="73" t="s">
        <v>973</v>
      </c>
      <c r="D662" s="73" t="s">
        <v>2221</v>
      </c>
    </row>
    <row r="663" customFormat="false" ht="15" hidden="false" customHeight="false" outlineLevel="0" collapsed="false">
      <c r="A663" s="0" t="s">
        <v>2222</v>
      </c>
      <c r="B663" s="78" t="n">
        <f aca="false">IF('Cost Overview'!K7="","",'Cost Overview'!K7)</f>
        <v>3.87559293752388</v>
      </c>
      <c r="C663" s="73" t="s">
        <v>973</v>
      </c>
      <c r="D663" s="73" t="s">
        <v>2223</v>
      </c>
    </row>
    <row r="664" customFormat="false" ht="15" hidden="false" customHeight="false" outlineLevel="0" collapsed="false">
      <c r="A664" s="0" t="s">
        <v>2224</v>
      </c>
      <c r="B664" s="77" t="n">
        <f aca="false">IF('Cost Overview'!M7="","",'Cost Overview'!M7)</f>
        <v>2.82758620689655</v>
      </c>
      <c r="C664" s="73" t="s">
        <v>973</v>
      </c>
      <c r="D664" s="73" t="s">
        <v>2225</v>
      </c>
    </row>
    <row r="665" customFormat="false" ht="15" hidden="false" customHeight="false" outlineLevel="0" collapsed="false">
      <c r="A665" s="0" t="s">
        <v>2226</v>
      </c>
      <c r="B665" s="82" t="n">
        <f aca="false">IF('Timeline Summary'!G36="","",'Timeline Summary'!G36)</f>
        <v>0.166666666666667</v>
      </c>
      <c r="C665" s="73" t="s">
        <v>1100</v>
      </c>
      <c r="D665" s="73" t="s">
        <v>2227</v>
      </c>
    </row>
    <row r="666" customFormat="false" ht="15" hidden="false" customHeight="false" outlineLevel="0" collapsed="false">
      <c r="A666" s="0" t="s">
        <v>2228</v>
      </c>
      <c r="B666" s="77" t="n">
        <f aca="false">IF('Timeline Summary'!H36="","",'Timeline Summary'!H36)</f>
        <v>1</v>
      </c>
      <c r="C666" s="73" t="s">
        <v>973</v>
      </c>
      <c r="D666" s="73" t="s">
        <v>2229</v>
      </c>
    </row>
    <row r="667" customFormat="false" ht="15" hidden="false" customHeight="false" outlineLevel="0" collapsed="false">
      <c r="A667" s="0" t="s">
        <v>2230</v>
      </c>
      <c r="B667" s="82" t="n">
        <f aca="false">IF('Timeline Summary'!L36="","",'Timeline Summary'!L36)</f>
        <v>0.172413793103448</v>
      </c>
      <c r="C667" s="73" t="s">
        <v>1100</v>
      </c>
      <c r="D667" s="73" t="s">
        <v>2231</v>
      </c>
    </row>
    <row r="668" customFormat="false" ht="15" hidden="false" customHeight="false" outlineLevel="0" collapsed="false">
      <c r="A668" s="0" t="s">
        <v>2232</v>
      </c>
      <c r="B668" s="77" t="n">
        <f aca="false">IF('Timeline Summary'!M36="","",'Timeline Summary'!M36)</f>
        <v>1</v>
      </c>
      <c r="C668" s="73" t="s">
        <v>973</v>
      </c>
      <c r="D668" s="73" t="s">
        <v>2233</v>
      </c>
    </row>
    <row r="669" customFormat="false" ht="15" hidden="false" customHeight="false" outlineLevel="0" collapsed="false">
      <c r="A669" s="0" t="s">
        <v>2234</v>
      </c>
      <c r="B669" s="0" t="str">
        <f aca="false">IF('Optional Regional Stock'!I16="","",'Optional Regional Stock'!I16)</f>
        <v/>
      </c>
      <c r="C669" s="0" t="s">
        <v>988</v>
      </c>
      <c r="D669" s="0" t="s">
        <v>2235</v>
      </c>
    </row>
    <row r="670" customFormat="false" ht="15" hidden="false" customHeight="false" outlineLevel="0" collapsed="false">
      <c r="A670" s="0" t="s">
        <v>2236</v>
      </c>
      <c r="B670" s="0" t="str">
        <f aca="false">IF('Optional Regional Stock'!K16="","",'Optional Regional Stock'!K16)</f>
        <v/>
      </c>
      <c r="C670" s="0" t="s">
        <v>973</v>
      </c>
      <c r="D670" s="0" t="s">
        <v>2237</v>
      </c>
    </row>
    <row r="671" customFormat="false" ht="15" hidden="false" customHeight="false" outlineLevel="0" collapsed="false">
      <c r="A671" s="0" t="s">
        <v>2238</v>
      </c>
      <c r="B671" s="80" t="n">
        <f aca="false">IF('Cost Overview'!E8="","",'Cost Overview'!E8)</f>
        <v>1280.4064</v>
      </c>
      <c r="C671" s="73" t="s">
        <v>973</v>
      </c>
      <c r="D671" s="73" t="s">
        <v>2239</v>
      </c>
    </row>
    <row r="672" customFormat="false" ht="15" hidden="false" customHeight="false" outlineLevel="0" collapsed="false">
      <c r="A672" s="0" t="s">
        <v>2240</v>
      </c>
      <c r="B672" s="80" t="n">
        <f aca="false">IF('Cost Overview'!J8="","",'Cost Overview'!J8)</f>
        <v>2814.07252</v>
      </c>
      <c r="C672" s="73" t="s">
        <v>973</v>
      </c>
      <c r="D672" s="73" t="s">
        <v>2241</v>
      </c>
    </row>
    <row r="673" customFormat="false" ht="15" hidden="false" customHeight="false" outlineLevel="0" collapsed="false">
      <c r="A673" s="0" t="s">
        <v>2242</v>
      </c>
      <c r="B673" s="78" t="n">
        <f aca="false">IF('Cost Overview'!K8="","",'Cost Overview'!K8)</f>
        <v>3.2645852900232</v>
      </c>
      <c r="C673" s="73" t="s">
        <v>973</v>
      </c>
      <c r="D673" s="73" t="s">
        <v>2243</v>
      </c>
    </row>
    <row r="674" customFormat="false" ht="15" hidden="false" customHeight="false" outlineLevel="0" collapsed="false">
      <c r="A674" s="0" t="s">
        <v>2244</v>
      </c>
      <c r="B674" s="77" t="n">
        <f aca="false">IF('Cost Overview'!M8="","",'Cost Overview'!M8)</f>
        <v>1.60869565217391</v>
      </c>
      <c r="C674" s="73" t="s">
        <v>973</v>
      </c>
      <c r="D674" s="73" t="s">
        <v>2245</v>
      </c>
    </row>
    <row r="675" customFormat="false" ht="15" hidden="false" customHeight="false" outlineLevel="0" collapsed="false">
      <c r="A675" s="0" t="s">
        <v>2246</v>
      </c>
      <c r="B675" s="82" t="n">
        <f aca="false">IF('Timeline Summary'!G37="","",'Timeline Summary'!G37)</f>
        <v>1</v>
      </c>
      <c r="C675" s="73" t="s">
        <v>1100</v>
      </c>
      <c r="D675" s="73" t="s">
        <v>2247</v>
      </c>
    </row>
    <row r="676" customFormat="false" ht="15" hidden="false" customHeight="false" outlineLevel="0" collapsed="false">
      <c r="A676" s="0" t="s">
        <v>2248</v>
      </c>
      <c r="B676" s="77" t="n">
        <f aca="false">IF('Timeline Summary'!H37="","",'Timeline Summary'!H37)</f>
        <v>0</v>
      </c>
      <c r="C676" s="73" t="s">
        <v>973</v>
      </c>
      <c r="D676" s="73" t="s">
        <v>2249</v>
      </c>
    </row>
    <row r="677" customFormat="false" ht="15" hidden="false" customHeight="false" outlineLevel="0" collapsed="false">
      <c r="A677" s="0" t="s">
        <v>2250</v>
      </c>
      <c r="B677" s="82" t="n">
        <f aca="false">IF('Timeline Summary'!L37="","",'Timeline Summary'!L37)</f>
        <v>1</v>
      </c>
      <c r="C677" s="73" t="s">
        <v>1100</v>
      </c>
      <c r="D677" s="73" t="s">
        <v>2251</v>
      </c>
    </row>
    <row r="678" customFormat="false" ht="15" hidden="false" customHeight="false" outlineLevel="0" collapsed="false">
      <c r="A678" s="0" t="s">
        <v>2252</v>
      </c>
      <c r="B678" s="77" t="n">
        <f aca="false">IF('Timeline Summary'!M37="","",'Timeline Summary'!M37)</f>
        <v>0</v>
      </c>
      <c r="C678" s="73" t="s">
        <v>973</v>
      </c>
      <c r="D678" s="73" t="s">
        <v>2253</v>
      </c>
    </row>
    <row r="679" customFormat="false" ht="15" hidden="false" customHeight="false" outlineLevel="0" collapsed="false">
      <c r="A679" s="0" t="s">
        <v>2254</v>
      </c>
      <c r="B679" s="0" t="str">
        <f aca="false">IF('Optional Regional Stock'!I17="","",'Optional Regional Stock'!I17)</f>
        <v/>
      </c>
      <c r="C679" s="0" t="s">
        <v>988</v>
      </c>
      <c r="D679" s="0" t="s">
        <v>2255</v>
      </c>
    </row>
    <row r="680" customFormat="false" ht="15" hidden="false" customHeight="false" outlineLevel="0" collapsed="false">
      <c r="A680" s="0" t="s">
        <v>2256</v>
      </c>
      <c r="B680" s="0" t="str">
        <f aca="false">IF('Optional Regional Stock'!K17="","",'Optional Regional Stock'!K17)</f>
        <v/>
      </c>
      <c r="C680" s="0" t="s">
        <v>973</v>
      </c>
      <c r="D680" s="0" t="s">
        <v>2257</v>
      </c>
    </row>
    <row r="681" customFormat="false" ht="15" hidden="false" customHeight="false" outlineLevel="0" collapsed="false">
      <c r="A681" s="0" t="s">
        <v>2258</v>
      </c>
      <c r="B681" s="80" t="n">
        <f aca="false">IF('Cost Overview'!E9="","",'Cost Overview'!E9)</f>
        <v>10581.3624</v>
      </c>
      <c r="C681" s="73" t="s">
        <v>973</v>
      </c>
      <c r="D681" s="73" t="s">
        <v>2259</v>
      </c>
    </row>
    <row r="682" customFormat="false" ht="15" hidden="false" customHeight="false" outlineLevel="0" collapsed="false">
      <c r="A682" s="0" t="s">
        <v>2260</v>
      </c>
      <c r="B682" s="80" t="n">
        <f aca="false">IF('Cost Overview'!J9="","",'Cost Overview'!J9)</f>
        <v>23354.0818</v>
      </c>
      <c r="C682" s="73" t="s">
        <v>973</v>
      </c>
      <c r="D682" s="73" t="s">
        <v>2261</v>
      </c>
    </row>
    <row r="683" customFormat="false" ht="15" hidden="false" customHeight="false" outlineLevel="0" collapsed="false">
      <c r="A683" s="0" t="s">
        <v>2262</v>
      </c>
      <c r="B683" s="78" t="n">
        <f aca="false">IF('Cost Overview'!K9="","",'Cost Overview'!K9)</f>
        <v>5.1192638754932</v>
      </c>
      <c r="C683" s="73" t="s">
        <v>973</v>
      </c>
      <c r="D683" s="73" t="s">
        <v>2263</v>
      </c>
    </row>
    <row r="684" customFormat="false" ht="15" hidden="false" customHeight="false" outlineLevel="0" collapsed="false">
      <c r="A684" s="0" t="s">
        <v>2264</v>
      </c>
      <c r="B684" s="77" t="n">
        <f aca="false">IF('Cost Overview'!M9="","",'Cost Overview'!M9)</f>
        <v>2</v>
      </c>
      <c r="C684" s="73" t="s">
        <v>973</v>
      </c>
      <c r="D684" s="73" t="s">
        <v>2265</v>
      </c>
    </row>
    <row r="685" customFormat="false" ht="15" hidden="false" customHeight="false" outlineLevel="0" collapsed="false">
      <c r="A685" s="0" t="s">
        <v>2266</v>
      </c>
      <c r="B685" s="82" t="n">
        <f aca="false">IF('Timeline Summary'!G38="","",'Timeline Summary'!G38)</f>
        <v>1</v>
      </c>
      <c r="C685" s="73" t="s">
        <v>1100</v>
      </c>
      <c r="D685" s="73" t="s">
        <v>2267</v>
      </c>
    </row>
    <row r="686" customFormat="false" ht="15" hidden="false" customHeight="false" outlineLevel="0" collapsed="false">
      <c r="A686" s="0" t="s">
        <v>2268</v>
      </c>
      <c r="B686" s="77" t="n">
        <f aca="false">IF('Timeline Summary'!H38="","",'Timeline Summary'!H38)</f>
        <v>0</v>
      </c>
      <c r="C686" s="73" t="s">
        <v>973</v>
      </c>
      <c r="D686" s="73" t="s">
        <v>2269</v>
      </c>
    </row>
    <row r="687" customFormat="false" ht="15" hidden="false" customHeight="false" outlineLevel="0" collapsed="false">
      <c r="A687" s="0" t="s">
        <v>2270</v>
      </c>
      <c r="B687" s="82" t="n">
        <f aca="false">IF('Timeline Summary'!L38="","",'Timeline Summary'!L38)</f>
        <v>1</v>
      </c>
      <c r="C687" s="73" t="s">
        <v>1100</v>
      </c>
      <c r="D687" s="73" t="s">
        <v>2271</v>
      </c>
    </row>
    <row r="688" customFormat="false" ht="15" hidden="false" customHeight="false" outlineLevel="0" collapsed="false">
      <c r="A688" s="0" t="s">
        <v>2272</v>
      </c>
      <c r="B688" s="77" t="n">
        <f aca="false">IF('Timeline Summary'!M38="","",'Timeline Summary'!M38)</f>
        <v>0</v>
      </c>
      <c r="C688" s="73" t="s">
        <v>973</v>
      </c>
      <c r="D688" s="73" t="s">
        <v>2273</v>
      </c>
    </row>
    <row r="689" customFormat="false" ht="15" hidden="false" customHeight="false" outlineLevel="0" collapsed="false">
      <c r="A689" s="0" t="s">
        <v>2274</v>
      </c>
      <c r="B689" s="0" t="str">
        <f aca="false">IF('Optional Regional Stock'!I18="","",'Optional Regional Stock'!I18)</f>
        <v/>
      </c>
      <c r="C689" s="0" t="s">
        <v>988</v>
      </c>
      <c r="D689" s="0" t="s">
        <v>2275</v>
      </c>
    </row>
    <row r="690" customFormat="false" ht="15" hidden="false" customHeight="false" outlineLevel="0" collapsed="false">
      <c r="A690" s="0" t="s">
        <v>2276</v>
      </c>
      <c r="B690" s="0" t="str">
        <f aca="false">IF('Optional Regional Stock'!K18="","",'Optional Regional Stock'!K18)</f>
        <v/>
      </c>
      <c r="C690" s="0" t="s">
        <v>973</v>
      </c>
      <c r="D690" s="0" t="s">
        <v>2277</v>
      </c>
    </row>
    <row r="691" customFormat="false" ht="15" hidden="false" customHeight="false" outlineLevel="0" collapsed="false">
      <c r="A691" s="0" t="s">
        <v>2278</v>
      </c>
      <c r="B691" s="80" t="n">
        <f aca="false">IF('Cost Overview'!E10="","",'Cost Overview'!E10)</f>
        <v>5863.675</v>
      </c>
      <c r="C691" s="73" t="s">
        <v>973</v>
      </c>
      <c r="D691" s="73" t="s">
        <v>2279</v>
      </c>
    </row>
    <row r="692" customFormat="false" ht="15" hidden="false" customHeight="false" outlineLevel="0" collapsed="false">
      <c r="A692" s="0" t="s">
        <v>2280</v>
      </c>
      <c r="B692" s="80" t="n">
        <f aca="false">IF('Cost Overview'!J10="","",'Cost Overview'!J10)</f>
        <v>7521.08407</v>
      </c>
      <c r="C692" s="73" t="s">
        <v>973</v>
      </c>
      <c r="D692" s="73" t="s">
        <v>2281</v>
      </c>
    </row>
    <row r="693" customFormat="false" ht="15" hidden="false" customHeight="false" outlineLevel="0" collapsed="false">
      <c r="A693" s="0" t="s">
        <v>2282</v>
      </c>
      <c r="B693" s="78" t="n">
        <f aca="false">IF('Cost Overview'!K10="","",'Cost Overview'!K10)</f>
        <v>3.70132090059055</v>
      </c>
      <c r="C693" s="73" t="s">
        <v>973</v>
      </c>
      <c r="D693" s="73" t="s">
        <v>2283</v>
      </c>
    </row>
    <row r="694" customFormat="false" ht="15" hidden="false" customHeight="false" outlineLevel="0" collapsed="false">
      <c r="A694" s="0" t="s">
        <v>2284</v>
      </c>
      <c r="B694" s="77" t="n">
        <f aca="false">IF('Cost Overview'!M10="","",'Cost Overview'!M10)</f>
        <v>1.84615384615385</v>
      </c>
      <c r="C694" s="73" t="s">
        <v>973</v>
      </c>
      <c r="D694" s="73" t="s">
        <v>2285</v>
      </c>
    </row>
    <row r="695" customFormat="false" ht="15" hidden="false" customHeight="false" outlineLevel="0" collapsed="false">
      <c r="A695" s="0" t="s">
        <v>2286</v>
      </c>
      <c r="B695" s="82" t="n">
        <f aca="false">IF('Timeline Summary'!G39="","",'Timeline Summary'!G39)</f>
        <v>0.833333333333333</v>
      </c>
      <c r="C695" s="73" t="s">
        <v>1100</v>
      </c>
      <c r="D695" s="73" t="s">
        <v>2287</v>
      </c>
    </row>
    <row r="696" customFormat="false" ht="15" hidden="false" customHeight="false" outlineLevel="0" collapsed="false">
      <c r="A696" s="0" t="s">
        <v>2288</v>
      </c>
      <c r="B696" s="77" t="n">
        <f aca="false">IF('Timeline Summary'!H39="","",'Timeline Summary'!H39)</f>
        <v>0.166666666666667</v>
      </c>
      <c r="C696" s="73" t="s">
        <v>973</v>
      </c>
      <c r="D696" s="73" t="s">
        <v>2289</v>
      </c>
    </row>
    <row r="697" customFormat="false" ht="15" hidden="false" customHeight="false" outlineLevel="0" collapsed="false">
      <c r="A697" s="0" t="s">
        <v>2290</v>
      </c>
      <c r="B697" s="82" t="n">
        <f aca="false">IF('Timeline Summary'!L39="","",'Timeline Summary'!L39)</f>
        <v>0.923076923076923</v>
      </c>
      <c r="C697" s="73" t="s">
        <v>1100</v>
      </c>
      <c r="D697" s="73" t="s">
        <v>2291</v>
      </c>
    </row>
    <row r="698" customFormat="false" ht="15" hidden="false" customHeight="false" outlineLevel="0" collapsed="false">
      <c r="A698" s="0" t="s">
        <v>2292</v>
      </c>
      <c r="B698" s="77" t="n">
        <f aca="false">IF('Timeline Summary'!M39="","",'Timeline Summary'!M39)</f>
        <v>0.0769230769230769</v>
      </c>
      <c r="C698" s="73" t="s">
        <v>973</v>
      </c>
      <c r="D698" s="73" t="s">
        <v>2293</v>
      </c>
    </row>
    <row r="699" customFormat="false" ht="15" hidden="false" customHeight="false" outlineLevel="0" collapsed="false">
      <c r="A699" s="0" t="s">
        <v>2294</v>
      </c>
      <c r="B699" s="0" t="str">
        <f aca="false">IF('Optional Regional Stock'!I19="","",'Optional Regional Stock'!I19)</f>
        <v/>
      </c>
      <c r="C699" s="0" t="s">
        <v>988</v>
      </c>
      <c r="D699" s="0" t="s">
        <v>2295</v>
      </c>
    </row>
    <row r="700" customFormat="false" ht="15" hidden="false" customHeight="false" outlineLevel="0" collapsed="false">
      <c r="A700" s="0" t="s">
        <v>2296</v>
      </c>
      <c r="B700" s="0" t="str">
        <f aca="false">IF('Optional Regional Stock'!K19="","",'Optional Regional Stock'!K19)</f>
        <v/>
      </c>
      <c r="C700" s="0" t="s">
        <v>973</v>
      </c>
      <c r="D700" s="0" t="s">
        <v>2297</v>
      </c>
    </row>
    <row r="701" customFormat="false" ht="15" hidden="false" customHeight="false" outlineLevel="0" collapsed="false">
      <c r="A701" s="0" t="s">
        <v>2298</v>
      </c>
      <c r="B701" s="80" t="n">
        <f aca="false">IF('Cost Overview'!E11="","",'Cost Overview'!E11)</f>
        <v>1790.525</v>
      </c>
      <c r="C701" s="73" t="s">
        <v>973</v>
      </c>
      <c r="D701" s="73" t="s">
        <v>2299</v>
      </c>
    </row>
    <row r="702" customFormat="false" ht="15" hidden="false" customHeight="false" outlineLevel="0" collapsed="false">
      <c r="A702" s="0" t="s">
        <v>2300</v>
      </c>
      <c r="B702" s="80" t="n">
        <f aca="false">IF('Cost Overview'!J11="","",'Cost Overview'!J11)</f>
        <v>5690.0269</v>
      </c>
      <c r="C702" s="73" t="s">
        <v>973</v>
      </c>
      <c r="D702" s="73" t="s">
        <v>2301</v>
      </c>
    </row>
    <row r="703" customFormat="false" ht="15" hidden="false" customHeight="false" outlineLevel="0" collapsed="false">
      <c r="A703" s="0" t="s">
        <v>2302</v>
      </c>
      <c r="B703" s="78" t="n">
        <f aca="false">IF('Cost Overview'!K11="","",'Cost Overview'!K11)</f>
        <v>3.39297966607036</v>
      </c>
      <c r="C703" s="73" t="s">
        <v>973</v>
      </c>
      <c r="D703" s="73" t="s">
        <v>2303</v>
      </c>
    </row>
    <row r="704" customFormat="false" ht="15" hidden="false" customHeight="false" outlineLevel="0" collapsed="false">
      <c r="A704" s="0" t="s">
        <v>2304</v>
      </c>
      <c r="B704" s="77" t="n">
        <f aca="false">IF('Cost Overview'!M11="","",'Cost Overview'!M11)</f>
        <v>1.88888888888889</v>
      </c>
      <c r="C704" s="73" t="s">
        <v>973</v>
      </c>
      <c r="D704" s="73" t="s">
        <v>2305</v>
      </c>
    </row>
    <row r="705" customFormat="false" ht="15" hidden="false" customHeight="false" outlineLevel="0" collapsed="false">
      <c r="A705" s="0" t="s">
        <v>2306</v>
      </c>
      <c r="B705" s="82" t="n">
        <f aca="false">IF('Timeline Summary'!G40="","",'Timeline Summary'!G40)</f>
        <v>1</v>
      </c>
      <c r="C705" s="73" t="s">
        <v>1100</v>
      </c>
      <c r="D705" s="73" t="s">
        <v>2307</v>
      </c>
    </row>
    <row r="706" customFormat="false" ht="15" hidden="false" customHeight="false" outlineLevel="0" collapsed="false">
      <c r="A706" s="0" t="s">
        <v>2308</v>
      </c>
      <c r="B706" s="77" t="n">
        <f aca="false">IF('Timeline Summary'!H40="","",'Timeline Summary'!H40)</f>
        <v>0</v>
      </c>
      <c r="C706" s="73" t="s">
        <v>973</v>
      </c>
      <c r="D706" s="73" t="s">
        <v>2309</v>
      </c>
    </row>
    <row r="707" customFormat="false" ht="15" hidden="false" customHeight="false" outlineLevel="0" collapsed="false">
      <c r="A707" s="0" t="s">
        <v>2310</v>
      </c>
      <c r="B707" s="82" t="n">
        <f aca="false">IF('Timeline Summary'!L40="","",'Timeline Summary'!L40)</f>
        <v>1</v>
      </c>
      <c r="C707" s="73" t="s">
        <v>1100</v>
      </c>
      <c r="D707" s="73" t="s">
        <v>2311</v>
      </c>
    </row>
    <row r="708" customFormat="false" ht="15" hidden="false" customHeight="false" outlineLevel="0" collapsed="false">
      <c r="A708" s="0" t="s">
        <v>2312</v>
      </c>
      <c r="B708" s="77" t="n">
        <f aca="false">IF('Timeline Summary'!M40="","",'Timeline Summary'!M40)</f>
        <v>0</v>
      </c>
      <c r="C708" s="73" t="s">
        <v>973</v>
      </c>
      <c r="D708" s="73" t="s">
        <v>2313</v>
      </c>
    </row>
    <row r="709" customFormat="false" ht="15" hidden="false" customHeight="false" outlineLevel="0" collapsed="false">
      <c r="A709" s="0" t="s">
        <v>2314</v>
      </c>
      <c r="B709" s="0" t="str">
        <f aca="false">IF('Optional Regional Stock'!I20="","",'Optional Regional Stock'!I20)</f>
        <v/>
      </c>
      <c r="C709" s="0" t="s">
        <v>988</v>
      </c>
      <c r="D709" s="0" t="s">
        <v>2315</v>
      </c>
    </row>
    <row r="710" customFormat="false" ht="15" hidden="false" customHeight="false" outlineLevel="0" collapsed="false">
      <c r="A710" s="0" t="s">
        <v>2316</v>
      </c>
      <c r="B710" s="0" t="str">
        <f aca="false">IF('Optional Regional Stock'!K20="","",'Optional Regional Stock'!K20)</f>
        <v/>
      </c>
      <c r="C710" s="0" t="s">
        <v>973</v>
      </c>
      <c r="D710" s="0" t="s">
        <v>2317</v>
      </c>
    </row>
    <row r="711" customFormat="false" ht="15" hidden="false" customHeight="false" outlineLevel="0" collapsed="false">
      <c r="A711" s="0" t="s">
        <v>2318</v>
      </c>
      <c r="B711" s="80" t="n">
        <f aca="false">IF('Cost Overview'!E12="","",'Cost Overview'!E12)</f>
        <v>6673.804</v>
      </c>
      <c r="C711" s="73" t="s">
        <v>973</v>
      </c>
      <c r="D711" s="73" t="s">
        <v>2319</v>
      </c>
    </row>
    <row r="712" customFormat="false" ht="15" hidden="false" customHeight="false" outlineLevel="0" collapsed="false">
      <c r="A712" s="0" t="s">
        <v>2320</v>
      </c>
      <c r="B712" s="80" t="n">
        <f aca="false">IF('Cost Overview'!J12="","",'Cost Overview'!J12)</f>
        <v>8712.09052</v>
      </c>
      <c r="C712" s="73" t="s">
        <v>973</v>
      </c>
      <c r="D712" s="73" t="s">
        <v>2321</v>
      </c>
    </row>
    <row r="713" customFormat="false" ht="15" hidden="false" customHeight="false" outlineLevel="0" collapsed="false">
      <c r="A713" s="0" t="s">
        <v>2322</v>
      </c>
      <c r="B713" s="78" t="n">
        <f aca="false">IF('Cost Overview'!K12="","",'Cost Overview'!K12)</f>
        <v>4.28744612204724</v>
      </c>
      <c r="C713" s="73" t="s">
        <v>973</v>
      </c>
      <c r="D713" s="73" t="s">
        <v>2323</v>
      </c>
    </row>
    <row r="714" customFormat="false" ht="15" hidden="false" customHeight="false" outlineLevel="0" collapsed="false">
      <c r="A714" s="0" t="s">
        <v>2324</v>
      </c>
      <c r="B714" s="77" t="n">
        <f aca="false">IF('Cost Overview'!M12="","",'Cost Overview'!M12)</f>
        <v>1.84615384615385</v>
      </c>
      <c r="C714" s="73" t="s">
        <v>973</v>
      </c>
      <c r="D714" s="73" t="s">
        <v>2325</v>
      </c>
    </row>
    <row r="715" customFormat="false" ht="15" hidden="false" customHeight="false" outlineLevel="0" collapsed="false">
      <c r="A715" s="0" t="s">
        <v>2326</v>
      </c>
      <c r="B715" s="82" t="n">
        <f aca="false">IF('Timeline Summary'!G41="","",'Timeline Summary'!G41)</f>
        <v>1</v>
      </c>
      <c r="C715" s="73" t="s">
        <v>1100</v>
      </c>
      <c r="D715" s="73" t="s">
        <v>2327</v>
      </c>
    </row>
    <row r="716" customFormat="false" ht="15" hidden="false" customHeight="false" outlineLevel="0" collapsed="false">
      <c r="A716" s="0" t="s">
        <v>2328</v>
      </c>
      <c r="B716" s="77" t="n">
        <f aca="false">IF('Timeline Summary'!H41="","",'Timeline Summary'!H41)</f>
        <v>0</v>
      </c>
      <c r="C716" s="73" t="s">
        <v>973</v>
      </c>
      <c r="D716" s="73" t="s">
        <v>2329</v>
      </c>
    </row>
    <row r="717" customFormat="false" ht="15" hidden="false" customHeight="false" outlineLevel="0" collapsed="false">
      <c r="A717" s="0" t="s">
        <v>2330</v>
      </c>
      <c r="B717" s="82" t="n">
        <f aca="false">IF('Timeline Summary'!L41="","",'Timeline Summary'!L41)</f>
        <v>1</v>
      </c>
      <c r="C717" s="73" t="s">
        <v>1100</v>
      </c>
      <c r="D717" s="73" t="s">
        <v>2331</v>
      </c>
    </row>
    <row r="718" customFormat="false" ht="15" hidden="false" customHeight="false" outlineLevel="0" collapsed="false">
      <c r="A718" s="0" t="s">
        <v>2332</v>
      </c>
      <c r="B718" s="77" t="n">
        <f aca="false">IF('Timeline Summary'!M41="","",'Timeline Summary'!M41)</f>
        <v>0</v>
      </c>
      <c r="C718" s="73" t="s">
        <v>973</v>
      </c>
      <c r="D718" s="73" t="s">
        <v>2333</v>
      </c>
    </row>
    <row r="719" customFormat="false" ht="15" hidden="false" customHeight="false" outlineLevel="0" collapsed="false">
      <c r="A719" s="0" t="s">
        <v>2334</v>
      </c>
      <c r="B719" s="0" t="str">
        <f aca="false">IF('Optional Regional Stock'!I21="","",'Optional Regional Stock'!I21)</f>
        <v/>
      </c>
      <c r="C719" s="0" t="s">
        <v>988</v>
      </c>
      <c r="D719" s="0" t="s">
        <v>2335</v>
      </c>
    </row>
    <row r="720" customFormat="false" ht="15" hidden="false" customHeight="false" outlineLevel="0" collapsed="false">
      <c r="A720" s="0" t="s">
        <v>2336</v>
      </c>
      <c r="B720" s="0" t="str">
        <f aca="false">IF('Optional Regional Stock'!K21="","",'Optional Regional Stock'!K21)</f>
        <v/>
      </c>
      <c r="C720" s="0" t="s">
        <v>973</v>
      </c>
      <c r="D720" s="0" t="s">
        <v>2337</v>
      </c>
    </row>
    <row r="721" customFormat="false" ht="15" hidden="false" customHeight="false" outlineLevel="0" collapsed="false">
      <c r="A721" s="0" t="s">
        <v>2338</v>
      </c>
      <c r="B721" s="80" t="n">
        <f aca="false">IF('Cost Overview'!E13="","",'Cost Overview'!E13)</f>
        <v>76.3</v>
      </c>
      <c r="C721" s="73" t="s">
        <v>973</v>
      </c>
      <c r="D721" s="73" t="s">
        <v>2339</v>
      </c>
    </row>
    <row r="722" customFormat="false" ht="15" hidden="false" customHeight="false" outlineLevel="0" collapsed="false">
      <c r="A722" s="0" t="s">
        <v>2340</v>
      </c>
      <c r="B722" s="80" t="n">
        <f aca="false">IF('Cost Overview'!J13="","",'Cost Overview'!J13)</f>
        <v>1096.65644</v>
      </c>
      <c r="C722" s="73" t="s">
        <v>973</v>
      </c>
      <c r="D722" s="73" t="s">
        <v>2341</v>
      </c>
    </row>
    <row r="723" customFormat="false" ht="15" hidden="false" customHeight="false" outlineLevel="0" collapsed="false">
      <c r="A723" s="0" t="s">
        <v>2342</v>
      </c>
      <c r="B723" s="78" t="n">
        <f aca="false">IF('Cost Overview'!K13="","",'Cost Overview'!K13)</f>
        <v>3.0978995480226</v>
      </c>
      <c r="C723" s="73" t="s">
        <v>973</v>
      </c>
      <c r="D723" s="73" t="s">
        <v>2343</v>
      </c>
    </row>
    <row r="724" customFormat="false" ht="15" hidden="false" customHeight="false" outlineLevel="0" collapsed="false">
      <c r="A724" s="0" t="s">
        <v>2344</v>
      </c>
      <c r="B724" s="77" t="n">
        <f aca="false">IF('Cost Overview'!M13="","",'Cost Overview'!M13)</f>
        <v>1.75</v>
      </c>
      <c r="C724" s="73" t="s">
        <v>973</v>
      </c>
      <c r="D724" s="73" t="s">
        <v>2345</v>
      </c>
    </row>
    <row r="725" customFormat="false" ht="15" hidden="false" customHeight="false" outlineLevel="0" collapsed="false">
      <c r="A725" s="0" t="s">
        <v>2346</v>
      </c>
      <c r="B725" s="82" t="n">
        <f aca="false">IF('Timeline Summary'!G42="","",'Timeline Summary'!G42)</f>
        <v>1</v>
      </c>
      <c r="C725" s="73" t="s">
        <v>1100</v>
      </c>
      <c r="D725" s="73" t="s">
        <v>2347</v>
      </c>
    </row>
    <row r="726" customFormat="false" ht="15" hidden="false" customHeight="false" outlineLevel="0" collapsed="false">
      <c r="A726" s="0" t="s">
        <v>2348</v>
      </c>
      <c r="B726" s="77" t="n">
        <f aca="false">IF('Timeline Summary'!H42="","",'Timeline Summary'!H42)</f>
        <v>0</v>
      </c>
      <c r="C726" s="73" t="s">
        <v>973</v>
      </c>
      <c r="D726" s="73" t="s">
        <v>2349</v>
      </c>
    </row>
    <row r="727" customFormat="false" ht="15" hidden="false" customHeight="false" outlineLevel="0" collapsed="false">
      <c r="A727" s="0" t="s">
        <v>2350</v>
      </c>
      <c r="B727" s="82" t="n">
        <f aca="false">IF('Timeline Summary'!L42="","",'Timeline Summary'!L42)</f>
        <v>1</v>
      </c>
      <c r="C727" s="73" t="s">
        <v>1100</v>
      </c>
      <c r="D727" s="73" t="s">
        <v>2351</v>
      </c>
    </row>
    <row r="728" customFormat="false" ht="15" hidden="false" customHeight="false" outlineLevel="0" collapsed="false">
      <c r="A728" s="0" t="s">
        <v>2352</v>
      </c>
      <c r="B728" s="77" t="n">
        <f aca="false">IF('Timeline Summary'!M42="","",'Timeline Summary'!M42)</f>
        <v>0</v>
      </c>
      <c r="C728" s="73" t="s">
        <v>973</v>
      </c>
      <c r="D728" s="73" t="s">
        <v>2353</v>
      </c>
    </row>
    <row r="729" customFormat="false" ht="15" hidden="false" customHeight="false" outlineLevel="0" collapsed="false">
      <c r="A729" s="0" t="s">
        <v>2354</v>
      </c>
      <c r="B729" s="0" t="str">
        <f aca="false">IF('Optional Regional Stock'!I22="","",'Optional Regional Stock'!I22)</f>
        <v/>
      </c>
      <c r="C729" s="0" t="s">
        <v>988</v>
      </c>
      <c r="D729" s="0" t="s">
        <v>2355</v>
      </c>
    </row>
    <row r="730" customFormat="false" ht="15" hidden="false" customHeight="false" outlineLevel="0" collapsed="false">
      <c r="A730" s="0" t="s">
        <v>2356</v>
      </c>
      <c r="B730" s="0" t="str">
        <f aca="false">IF('Optional Regional Stock'!K22="","",'Optional Regional Stock'!K22)</f>
        <v/>
      </c>
      <c r="C730" s="0" t="s">
        <v>973</v>
      </c>
      <c r="D730" s="0" t="s">
        <v>2357</v>
      </c>
    </row>
    <row r="731" customFormat="false" ht="15" hidden="false" customHeight="false" outlineLevel="0" collapsed="false">
      <c r="A731" s="0" t="s">
        <v>2358</v>
      </c>
      <c r="B731" s="82" t="n">
        <f aca="false">IF('Timeline Summary'!G43="","",'Timeline Summary'!G43)</f>
        <v>0.75177304964539</v>
      </c>
      <c r="C731" s="73" t="s">
        <v>1100</v>
      </c>
      <c r="D731" s="73" t="s">
        <v>2359</v>
      </c>
    </row>
    <row r="732" customFormat="false" ht="15" hidden="false" customHeight="false" outlineLevel="0" collapsed="false">
      <c r="A732" s="0" t="s">
        <v>2360</v>
      </c>
      <c r="B732" s="82" t="n">
        <f aca="false">IF('Timeline Summary'!L43="","",'Timeline Summary'!L43)</f>
        <v>0.753799392097264</v>
      </c>
      <c r="C732" s="73" t="s">
        <v>1100</v>
      </c>
      <c r="D732" s="73" t="s">
        <v>2361</v>
      </c>
    </row>
    <row r="733" customFormat="false" ht="15" hidden="false" customHeight="false" outlineLevel="0" collapsed="false">
      <c r="A733" s="0" t="s">
        <v>2362</v>
      </c>
      <c r="B733" s="0" t="str">
        <f aca="false">IF('Optional Regional Stock'!B6="","",'Optional Regional Stock'!B6)</f>
        <v/>
      </c>
      <c r="C733" s="0" t="s">
        <v>970</v>
      </c>
      <c r="D733" s="0" t="s">
        <v>2363</v>
      </c>
    </row>
    <row r="734" customFormat="false" ht="15" hidden="false" customHeight="false" outlineLevel="0" collapsed="false">
      <c r="A734" s="0" t="s">
        <v>2364</v>
      </c>
      <c r="B734" s="0" t="str">
        <f aca="false">IF('Optional Regional Stock'!B7="","",'Optional Regional Stock'!B7)</f>
        <v/>
      </c>
      <c r="C734" s="0" t="s">
        <v>970</v>
      </c>
      <c r="D734" s="0" t="s">
        <v>2365</v>
      </c>
    </row>
    <row r="735" customFormat="false" ht="15" hidden="false" customHeight="false" outlineLevel="0" collapsed="false">
      <c r="A735" s="0" t="s">
        <v>2366</v>
      </c>
      <c r="B735" s="0" t="str">
        <f aca="false">IF('Optional Regional Stock'!B8="","",'Optional Regional Stock'!B8)</f>
        <v/>
      </c>
      <c r="C735" s="0" t="s">
        <v>970</v>
      </c>
      <c r="D735" s="0" t="s">
        <v>2367</v>
      </c>
    </row>
    <row r="736" customFormat="false" ht="15" hidden="false" customHeight="false" outlineLevel="0" collapsed="false">
      <c r="A736" s="0" t="s">
        <v>2368</v>
      </c>
      <c r="B736" s="80" t="n">
        <f aca="false">IF('Optional Regional Stock'!D44="","",'Optional Regional Stock'!D44)</f>
        <v>0</v>
      </c>
      <c r="C736" s="73" t="s">
        <v>973</v>
      </c>
      <c r="D736" s="73" t="s">
        <v>2369</v>
      </c>
    </row>
    <row r="737" customFormat="false" ht="15" hidden="false" customHeight="false" outlineLevel="0" collapsed="false">
      <c r="A737" s="0" t="s">
        <v>2370</v>
      </c>
      <c r="B737" s="80" t="n">
        <f aca="false">IF('Optional Regional Stock'!E44="","",'Optional Regional Stock'!E44)</f>
        <v>0</v>
      </c>
      <c r="C737" s="73" t="s">
        <v>973</v>
      </c>
      <c r="D737" s="73" t="s">
        <v>2371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2026-10-13T09:34:15Z</dcterms:created>
  <dc:creator>FlexiTog EU B.V.</dc:creator>
  <dc:description/>
  <dc:language>en-US</dc:language>
  <cp:lastModifiedBy/>
  <dcterms:modified xsi:type="dcterms:W3CDTF">2026-10-13T09:35:19Z</dcterms:modified>
  <cp:revision>1</cp:revision>
  <dc:subject/>
  <dc:title>Transport volume scenario RFQ</dc:title>
</cp:coreProperties>
</file>

<file path=docProps/custom.xml><?xml version="1.0" encoding="utf-8"?>
<Properties xmlns="http://schemas.openxmlformats.org/officeDocument/2006/custom-properties" xmlns:vt="http://schemas.openxmlformats.org/officeDocument/2006/docPropsVTypes"/>
</file>